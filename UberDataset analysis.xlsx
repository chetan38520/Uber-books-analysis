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E:\excel project\uber data analyst\"/>
    </mc:Choice>
  </mc:AlternateContent>
  <xr:revisionPtr revIDLastSave="0" documentId="8_{DDB71911-E8D3-4A94-87E0-6CC945A32BA0}" xr6:coauthVersionLast="47" xr6:coauthVersionMax="47" xr10:uidLastSave="{00000000-0000-0000-0000-000000000000}"/>
  <bookViews>
    <workbookView xWindow="-120" yWindow="-120" windowWidth="20730" windowHeight="11160" xr2:uid="{CC1F6EFD-0E9C-4CF7-B23A-A8CC60811E5D}"/>
  </bookViews>
  <sheets>
    <sheet name="Deshboard" sheetId="5" r:id="rId1"/>
    <sheet name="Pivot Tables" sheetId="3" r:id="rId2"/>
    <sheet name="in" sheetId="1" r:id="rId3"/>
  </sheets>
  <definedNames>
    <definedName name="_xlchart.v1.0" hidden="1">'Pivot Tables'!$B$58:$B$313</definedName>
    <definedName name="_xlchart.v1.1" hidden="1">'Pivot Tables'!$B$58:$B$313</definedName>
    <definedName name="Slicer_months1">#N/A</definedName>
    <definedName name="table2">in!$A$1:$N$1155</definedName>
  </definedNames>
  <calcPr calcId="191028"/>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 i="1" l="1"/>
  <c r="D2" i="1"/>
  <c r="E4" i="1"/>
  <c r="N4" i="1" s="1" a="1"/>
  <c r="N4" i="1" s="1"/>
  <c r="E3" i="1"/>
  <c r="N3" i="1" s="1" a="1"/>
  <c r="N3" i="1" s="1"/>
  <c r="E2" i="1"/>
  <c r="N2" i="1" s="1" a="1"/>
  <c r="N2" i="1" s="1"/>
  <c r="E5" i="1"/>
  <c r="N5" i="1" s="1" a="1"/>
  <c r="N5" i="1" s="1"/>
  <c r="E6" i="1"/>
  <c r="N6" i="1" s="1" a="1"/>
  <c r="N6" i="1" s="1"/>
  <c r="E7" i="1"/>
  <c r="N7" i="1" s="1" a="1"/>
  <c r="N7" i="1" s="1"/>
  <c r="E8" i="1"/>
  <c r="N8" i="1" s="1" a="1"/>
  <c r="N8" i="1" s="1"/>
  <c r="E9" i="1"/>
  <c r="N9" i="1" s="1" a="1"/>
  <c r="N9" i="1" s="1"/>
  <c r="E10" i="1"/>
  <c r="N10" i="1" s="1" a="1"/>
  <c r="N10" i="1" s="1"/>
  <c r="E11" i="1"/>
  <c r="N11" i="1" s="1" a="1"/>
  <c r="N11" i="1" s="1"/>
  <c r="E12" i="1"/>
  <c r="N12" i="1" s="1" a="1"/>
  <c r="N12" i="1" s="1"/>
  <c r="E13" i="1"/>
  <c r="N13" i="1" s="1" a="1"/>
  <c r="N13" i="1" s="1"/>
  <c r="E14" i="1"/>
  <c r="N14" i="1" s="1" a="1"/>
  <c r="N14" i="1" s="1"/>
  <c r="E15" i="1"/>
  <c r="N15" i="1" s="1" a="1"/>
  <c r="N15" i="1" s="1"/>
  <c r="E16" i="1"/>
  <c r="N16" i="1" s="1" a="1"/>
  <c r="N16" i="1" s="1"/>
  <c r="E17" i="1"/>
  <c r="N17" i="1" s="1" a="1"/>
  <c r="N17" i="1" s="1"/>
  <c r="E18" i="1"/>
  <c r="N18" i="1" s="1" a="1"/>
  <c r="N18" i="1" s="1"/>
  <c r="E19" i="1"/>
  <c r="N19" i="1" s="1" a="1"/>
  <c r="N19" i="1" s="1"/>
  <c r="E20" i="1"/>
  <c r="N20" i="1" s="1" a="1"/>
  <c r="N20" i="1" s="1"/>
  <c r="E21" i="1"/>
  <c r="N21" i="1" s="1" a="1"/>
  <c r="N21" i="1" s="1"/>
  <c r="E22" i="1"/>
  <c r="N22" i="1" s="1" a="1"/>
  <c r="N22" i="1" s="1"/>
  <c r="E23" i="1"/>
  <c r="N23" i="1" s="1" a="1"/>
  <c r="N23" i="1" s="1"/>
  <c r="E24" i="1"/>
  <c r="N24" i="1" s="1" a="1"/>
  <c r="N24" i="1" s="1"/>
  <c r="E25" i="1"/>
  <c r="N25" i="1" s="1" a="1"/>
  <c r="N25" i="1" s="1"/>
  <c r="E26" i="1"/>
  <c r="N26" i="1" s="1" a="1"/>
  <c r="N26" i="1" s="1"/>
  <c r="E27" i="1"/>
  <c r="N27" i="1" s="1" a="1"/>
  <c r="N27" i="1" s="1"/>
  <c r="E28" i="1"/>
  <c r="N28" i="1" s="1" a="1"/>
  <c r="N28" i="1" s="1"/>
  <c r="E29" i="1"/>
  <c r="N29" i="1" s="1" a="1"/>
  <c r="N29" i="1" s="1"/>
  <c r="E30" i="1"/>
  <c r="N30" i="1" s="1" a="1"/>
  <c r="N30" i="1" s="1"/>
  <c r="E31" i="1"/>
  <c r="N31" i="1" s="1" a="1"/>
  <c r="N31" i="1" s="1"/>
  <c r="E32" i="1"/>
  <c r="N32" i="1" s="1" a="1"/>
  <c r="N32" i="1" s="1"/>
  <c r="E33" i="1"/>
  <c r="N33" i="1" s="1" a="1"/>
  <c r="N33" i="1" s="1"/>
  <c r="E34" i="1"/>
  <c r="N34" i="1" s="1" a="1"/>
  <c r="N34" i="1" s="1"/>
  <c r="E35" i="1"/>
  <c r="N35" i="1" s="1" a="1"/>
  <c r="N35" i="1" s="1"/>
  <c r="E36" i="1"/>
  <c r="N36" i="1" s="1" a="1"/>
  <c r="N36" i="1" s="1"/>
  <c r="E37" i="1"/>
  <c r="N37" i="1" s="1" a="1"/>
  <c r="N37" i="1" s="1"/>
  <c r="E38" i="1"/>
  <c r="N38" i="1" s="1" a="1"/>
  <c r="N38" i="1" s="1"/>
  <c r="E39" i="1"/>
  <c r="N39" i="1" s="1" a="1"/>
  <c r="N39" i="1" s="1"/>
  <c r="E40" i="1"/>
  <c r="N40" i="1" s="1" a="1"/>
  <c r="N40" i="1" s="1"/>
  <c r="E41" i="1"/>
  <c r="N41" i="1" s="1" a="1"/>
  <c r="N41" i="1" s="1"/>
  <c r="E42" i="1"/>
  <c r="N42" i="1" s="1" a="1"/>
  <c r="N42" i="1" s="1"/>
  <c r="E43" i="1"/>
  <c r="N43" i="1" s="1" a="1"/>
  <c r="N43" i="1" s="1"/>
  <c r="E44" i="1"/>
  <c r="N44" i="1" s="1" a="1"/>
  <c r="N44" i="1" s="1"/>
  <c r="E45" i="1"/>
  <c r="N45" i="1" s="1" a="1"/>
  <c r="N45" i="1" s="1"/>
  <c r="E46" i="1"/>
  <c r="N46" i="1" s="1" a="1"/>
  <c r="N46" i="1" s="1"/>
  <c r="E47" i="1"/>
  <c r="N47" i="1" s="1" a="1"/>
  <c r="N47" i="1" s="1"/>
  <c r="E48" i="1"/>
  <c r="N48" i="1" s="1" a="1"/>
  <c r="N48" i="1" s="1"/>
  <c r="E49" i="1"/>
  <c r="N49" i="1" s="1" a="1"/>
  <c r="N49" i="1" s="1"/>
  <c r="E50" i="1"/>
  <c r="N50" i="1" s="1" a="1"/>
  <c r="N50" i="1" s="1"/>
  <c r="E51" i="1"/>
  <c r="N51" i="1" s="1" a="1"/>
  <c r="N51" i="1" s="1"/>
  <c r="E52" i="1"/>
  <c r="N52" i="1" s="1" a="1"/>
  <c r="N52" i="1" s="1"/>
  <c r="E53" i="1"/>
  <c r="N53" i="1" s="1" a="1"/>
  <c r="N53" i="1" s="1"/>
  <c r="E54" i="1"/>
  <c r="N54" i="1" s="1" a="1"/>
  <c r="N54" i="1" s="1"/>
  <c r="E55" i="1"/>
  <c r="N55" i="1" s="1" a="1"/>
  <c r="N55" i="1" s="1"/>
  <c r="E56" i="1"/>
  <c r="N56" i="1" s="1" a="1"/>
  <c r="N56" i="1" s="1"/>
  <c r="E57" i="1"/>
  <c r="N57" i="1" s="1" a="1"/>
  <c r="N57" i="1" s="1"/>
  <c r="E58" i="1"/>
  <c r="N58" i="1" s="1" a="1"/>
  <c r="N58" i="1" s="1"/>
  <c r="E59" i="1"/>
  <c r="N59" i="1" s="1" a="1"/>
  <c r="N59" i="1" s="1"/>
  <c r="E60" i="1"/>
  <c r="N60" i="1" s="1" a="1"/>
  <c r="N60" i="1" s="1"/>
  <c r="E61" i="1"/>
  <c r="N61" i="1" s="1" a="1"/>
  <c r="N61" i="1" s="1"/>
  <c r="E62" i="1"/>
  <c r="N62" i="1" s="1" a="1"/>
  <c r="N62" i="1" s="1"/>
  <c r="E63" i="1"/>
  <c r="N63" i="1" s="1" a="1"/>
  <c r="N63" i="1" s="1"/>
  <c r="E64" i="1"/>
  <c r="N64" i="1" s="1" a="1"/>
  <c r="N64" i="1" s="1"/>
  <c r="E65" i="1"/>
  <c r="N65" i="1" s="1" a="1"/>
  <c r="N65" i="1" s="1"/>
  <c r="E66" i="1"/>
  <c r="N66" i="1" s="1" a="1"/>
  <c r="N66" i="1" s="1"/>
  <c r="E67" i="1"/>
  <c r="N67" i="1" s="1" a="1"/>
  <c r="N67" i="1" s="1"/>
  <c r="E68" i="1"/>
  <c r="N68" i="1" s="1" a="1"/>
  <c r="N68" i="1" s="1"/>
  <c r="E69" i="1"/>
  <c r="N69" i="1" s="1" a="1"/>
  <c r="N69" i="1" s="1"/>
  <c r="E70" i="1"/>
  <c r="N70" i="1" s="1" a="1"/>
  <c r="N70" i="1" s="1"/>
  <c r="E71" i="1"/>
  <c r="N71" i="1" s="1" a="1"/>
  <c r="N71" i="1" s="1"/>
  <c r="E72" i="1"/>
  <c r="N72" i="1" s="1" a="1"/>
  <c r="N72" i="1" s="1"/>
  <c r="E73" i="1"/>
  <c r="N73" i="1" s="1" a="1"/>
  <c r="N73" i="1" s="1"/>
  <c r="E74" i="1"/>
  <c r="N74" i="1" s="1" a="1"/>
  <c r="N74" i="1" s="1"/>
  <c r="E75" i="1"/>
  <c r="N75" i="1" s="1" a="1"/>
  <c r="N75" i="1" s="1"/>
  <c r="E76" i="1"/>
  <c r="N76" i="1" s="1" a="1"/>
  <c r="N76" i="1" s="1"/>
  <c r="E77" i="1"/>
  <c r="N77" i="1" s="1" a="1"/>
  <c r="N77" i="1" s="1"/>
  <c r="E78" i="1"/>
  <c r="N78" i="1" s="1" a="1"/>
  <c r="N78" i="1" s="1"/>
  <c r="E79" i="1"/>
  <c r="N79" i="1" s="1" a="1"/>
  <c r="N79" i="1" s="1"/>
  <c r="E80" i="1"/>
  <c r="N80" i="1" s="1" a="1"/>
  <c r="N80" i="1" s="1"/>
  <c r="E81" i="1"/>
  <c r="N81" i="1" s="1" a="1"/>
  <c r="N81" i="1" s="1"/>
  <c r="E82" i="1"/>
  <c r="N82" i="1" s="1" a="1"/>
  <c r="N82" i="1" s="1"/>
  <c r="E83" i="1"/>
  <c r="N83" i="1" s="1" a="1"/>
  <c r="N83" i="1" s="1"/>
  <c r="E84" i="1"/>
  <c r="N84" i="1" s="1" a="1"/>
  <c r="N84" i="1" s="1"/>
  <c r="E85" i="1"/>
  <c r="N85" i="1" s="1" a="1"/>
  <c r="N85" i="1" s="1"/>
  <c r="E86" i="1"/>
  <c r="N86" i="1" s="1" a="1"/>
  <c r="N86" i="1" s="1"/>
  <c r="E87" i="1"/>
  <c r="N87" i="1" s="1" a="1"/>
  <c r="N87" i="1" s="1"/>
  <c r="E88" i="1"/>
  <c r="N88" i="1" s="1" a="1"/>
  <c r="N88" i="1" s="1"/>
  <c r="E89" i="1"/>
  <c r="N89" i="1" s="1" a="1"/>
  <c r="N89" i="1" s="1"/>
  <c r="E90" i="1"/>
  <c r="N90" i="1" s="1" a="1"/>
  <c r="N90" i="1" s="1"/>
  <c r="E91" i="1"/>
  <c r="N91" i="1" s="1" a="1"/>
  <c r="N91" i="1" s="1"/>
  <c r="E92" i="1"/>
  <c r="N92" i="1" s="1" a="1"/>
  <c r="N92" i="1" s="1"/>
  <c r="E93" i="1"/>
  <c r="N93" i="1" s="1" a="1"/>
  <c r="N93" i="1" s="1"/>
  <c r="E94" i="1"/>
  <c r="N94" i="1" s="1" a="1"/>
  <c r="N94" i="1" s="1"/>
  <c r="E95" i="1"/>
  <c r="N95" i="1" s="1" a="1"/>
  <c r="N95" i="1" s="1"/>
  <c r="E96" i="1"/>
  <c r="N96" i="1" s="1" a="1"/>
  <c r="N96" i="1" s="1"/>
  <c r="E97" i="1"/>
  <c r="N97" i="1" s="1" a="1"/>
  <c r="N97" i="1" s="1"/>
  <c r="E98" i="1"/>
  <c r="N98" i="1" s="1" a="1"/>
  <c r="N98" i="1" s="1"/>
  <c r="E99" i="1"/>
  <c r="N99" i="1" s="1" a="1"/>
  <c r="N99" i="1" s="1"/>
  <c r="E100" i="1"/>
  <c r="N100" i="1" s="1" a="1"/>
  <c r="N100" i="1" s="1"/>
  <c r="E101" i="1"/>
  <c r="N101" i="1" s="1" a="1"/>
  <c r="N101" i="1" s="1"/>
  <c r="E102" i="1"/>
  <c r="N102" i="1" s="1" a="1"/>
  <c r="N102" i="1" s="1"/>
  <c r="E103" i="1"/>
  <c r="N103" i="1" s="1" a="1"/>
  <c r="N103" i="1" s="1"/>
  <c r="E104" i="1"/>
  <c r="N104" i="1" s="1" a="1"/>
  <c r="N104" i="1" s="1"/>
  <c r="E105" i="1"/>
  <c r="N105" i="1" s="1" a="1"/>
  <c r="N105" i="1" s="1"/>
  <c r="E106" i="1"/>
  <c r="N106" i="1" s="1" a="1"/>
  <c r="N106" i="1" s="1"/>
  <c r="E107" i="1"/>
  <c r="N107" i="1" s="1" a="1"/>
  <c r="N107" i="1" s="1"/>
  <c r="E108" i="1"/>
  <c r="N108" i="1" s="1" a="1"/>
  <c r="N108" i="1" s="1"/>
  <c r="E109" i="1"/>
  <c r="N109" i="1" s="1" a="1"/>
  <c r="N109" i="1" s="1"/>
  <c r="E110" i="1"/>
  <c r="N110" i="1" s="1" a="1"/>
  <c r="N110" i="1" s="1"/>
  <c r="E111" i="1"/>
  <c r="N111" i="1" s="1" a="1"/>
  <c r="N111" i="1" s="1"/>
  <c r="E112" i="1"/>
  <c r="N112" i="1" s="1" a="1"/>
  <c r="N112" i="1" s="1"/>
  <c r="E113" i="1"/>
  <c r="N113" i="1" s="1" a="1"/>
  <c r="N113" i="1" s="1"/>
  <c r="E114" i="1"/>
  <c r="N114" i="1" s="1" a="1"/>
  <c r="N114" i="1" s="1"/>
  <c r="E115" i="1"/>
  <c r="N115" i="1" s="1" a="1"/>
  <c r="N115" i="1" s="1"/>
  <c r="E116" i="1"/>
  <c r="N116" i="1" s="1" a="1"/>
  <c r="N116" i="1" s="1"/>
  <c r="E117" i="1"/>
  <c r="N117" i="1" s="1" a="1"/>
  <c r="N117" i="1" s="1"/>
  <c r="E118" i="1"/>
  <c r="N118" i="1" s="1" a="1"/>
  <c r="N118" i="1" s="1"/>
  <c r="E119" i="1"/>
  <c r="N119" i="1" s="1" a="1"/>
  <c r="N119" i="1" s="1"/>
  <c r="E120" i="1"/>
  <c r="N120" i="1" s="1" a="1"/>
  <c r="N120" i="1" s="1"/>
  <c r="E121" i="1"/>
  <c r="N121" i="1" s="1" a="1"/>
  <c r="N121" i="1" s="1"/>
  <c r="E122" i="1"/>
  <c r="N122" i="1" s="1" a="1"/>
  <c r="N122" i="1" s="1"/>
  <c r="E123" i="1"/>
  <c r="N123" i="1" s="1" a="1"/>
  <c r="N123" i="1" s="1"/>
  <c r="E124" i="1"/>
  <c r="N124" i="1" s="1" a="1"/>
  <c r="N124" i="1" s="1"/>
  <c r="E125" i="1"/>
  <c r="N125" i="1" s="1" a="1"/>
  <c r="N125" i="1" s="1"/>
  <c r="E126" i="1"/>
  <c r="N126" i="1" s="1" a="1"/>
  <c r="N126" i="1" s="1"/>
  <c r="E127" i="1"/>
  <c r="N127" i="1" s="1" a="1"/>
  <c r="N127" i="1" s="1"/>
  <c r="E128" i="1"/>
  <c r="N128" i="1" s="1" a="1"/>
  <c r="N128" i="1" s="1"/>
  <c r="E129" i="1"/>
  <c r="N129" i="1" s="1" a="1"/>
  <c r="N129" i="1" s="1"/>
  <c r="E130" i="1"/>
  <c r="N130" i="1" s="1" a="1"/>
  <c r="N130" i="1" s="1"/>
  <c r="E131" i="1"/>
  <c r="N131" i="1" s="1" a="1"/>
  <c r="N131" i="1" s="1"/>
  <c r="E132" i="1"/>
  <c r="N132" i="1" s="1" a="1"/>
  <c r="N132" i="1" s="1"/>
  <c r="E133" i="1"/>
  <c r="N133" i="1" s="1" a="1"/>
  <c r="N133" i="1" s="1"/>
  <c r="E134" i="1"/>
  <c r="N134" i="1" s="1" a="1"/>
  <c r="N134" i="1" s="1"/>
  <c r="E135" i="1"/>
  <c r="N135" i="1" s="1" a="1"/>
  <c r="N135" i="1" s="1"/>
  <c r="E136" i="1"/>
  <c r="N136" i="1" s="1" a="1"/>
  <c r="N136" i="1" s="1"/>
  <c r="E137" i="1"/>
  <c r="N137" i="1" s="1" a="1"/>
  <c r="N137" i="1" s="1"/>
  <c r="E138" i="1"/>
  <c r="N138" i="1" s="1" a="1"/>
  <c r="N138" i="1" s="1"/>
  <c r="E139" i="1"/>
  <c r="N139" i="1" s="1" a="1"/>
  <c r="N139" i="1" s="1"/>
  <c r="E140" i="1"/>
  <c r="N140" i="1" s="1" a="1"/>
  <c r="N140" i="1" s="1"/>
  <c r="E141" i="1"/>
  <c r="N141" i="1" s="1" a="1"/>
  <c r="N141" i="1" s="1"/>
  <c r="E142" i="1"/>
  <c r="N142" i="1" s="1" a="1"/>
  <c r="N142" i="1" s="1"/>
  <c r="E143" i="1"/>
  <c r="N143" i="1" s="1" a="1"/>
  <c r="N143" i="1" s="1"/>
  <c r="E144" i="1"/>
  <c r="N144" i="1" s="1" a="1"/>
  <c r="N144" i="1" s="1"/>
  <c r="E145" i="1"/>
  <c r="N145" i="1" s="1" a="1"/>
  <c r="N145" i="1" s="1"/>
  <c r="E146" i="1"/>
  <c r="N146" i="1" s="1" a="1"/>
  <c r="N146" i="1" s="1"/>
  <c r="E147" i="1"/>
  <c r="N147" i="1" s="1" a="1"/>
  <c r="N147" i="1" s="1"/>
  <c r="E148" i="1"/>
  <c r="N148" i="1" s="1" a="1"/>
  <c r="N148" i="1" s="1"/>
  <c r="E149" i="1"/>
  <c r="N149" i="1" s="1" a="1"/>
  <c r="N149" i="1" s="1"/>
  <c r="E150" i="1"/>
  <c r="N150" i="1" s="1" a="1"/>
  <c r="N150" i="1" s="1"/>
  <c r="E151" i="1"/>
  <c r="N151" i="1" s="1" a="1"/>
  <c r="N151" i="1" s="1"/>
  <c r="E152" i="1"/>
  <c r="N152" i="1" s="1" a="1"/>
  <c r="N152" i="1" s="1"/>
  <c r="E153" i="1"/>
  <c r="N153" i="1" s="1" a="1"/>
  <c r="N153" i="1" s="1"/>
  <c r="E154" i="1"/>
  <c r="N154" i="1" s="1" a="1"/>
  <c r="N154" i="1" s="1"/>
  <c r="E155" i="1"/>
  <c r="N155" i="1" s="1" a="1"/>
  <c r="N155" i="1" s="1"/>
  <c r="E156" i="1"/>
  <c r="N156" i="1" s="1" a="1"/>
  <c r="N156" i="1" s="1"/>
  <c r="E157" i="1"/>
  <c r="N157" i="1" s="1" a="1"/>
  <c r="N157" i="1" s="1"/>
  <c r="E158" i="1"/>
  <c r="N158" i="1" s="1" a="1"/>
  <c r="N158" i="1" s="1"/>
  <c r="E159" i="1"/>
  <c r="N159" i="1" s="1" a="1"/>
  <c r="N159" i="1" s="1"/>
  <c r="E160" i="1"/>
  <c r="N160" i="1" s="1" a="1"/>
  <c r="N160" i="1" s="1"/>
  <c r="E161" i="1"/>
  <c r="N161" i="1" s="1" a="1"/>
  <c r="N161" i="1" s="1"/>
  <c r="E162" i="1"/>
  <c r="N162" i="1" s="1" a="1"/>
  <c r="N162" i="1" s="1"/>
  <c r="E163" i="1"/>
  <c r="N163" i="1" s="1" a="1"/>
  <c r="N163" i="1" s="1"/>
  <c r="E164" i="1"/>
  <c r="N164" i="1" s="1" a="1"/>
  <c r="N164" i="1" s="1"/>
  <c r="E165" i="1"/>
  <c r="N165" i="1" s="1" a="1"/>
  <c r="N165" i="1" s="1"/>
  <c r="E166" i="1"/>
  <c r="N166" i="1" s="1" a="1"/>
  <c r="N166" i="1" s="1"/>
  <c r="E167" i="1"/>
  <c r="N167" i="1" s="1" a="1"/>
  <c r="N167" i="1" s="1"/>
  <c r="E168" i="1"/>
  <c r="N168" i="1" s="1" a="1"/>
  <c r="N168" i="1" s="1"/>
  <c r="E169" i="1"/>
  <c r="N169" i="1" s="1" a="1"/>
  <c r="N169" i="1" s="1"/>
  <c r="E170" i="1"/>
  <c r="N170" i="1" s="1" a="1"/>
  <c r="N170" i="1" s="1"/>
  <c r="E171" i="1"/>
  <c r="N171" i="1" s="1" a="1"/>
  <c r="N171" i="1" s="1"/>
  <c r="E172" i="1"/>
  <c r="N172" i="1" s="1" a="1"/>
  <c r="N172" i="1" s="1"/>
  <c r="E173" i="1"/>
  <c r="N173" i="1" s="1" a="1"/>
  <c r="N173" i="1" s="1"/>
  <c r="E174" i="1"/>
  <c r="N174" i="1" s="1" a="1"/>
  <c r="N174" i="1" s="1"/>
  <c r="E175" i="1"/>
  <c r="N175" i="1" s="1" a="1"/>
  <c r="N175" i="1" s="1"/>
  <c r="E176" i="1"/>
  <c r="N176" i="1" s="1" a="1"/>
  <c r="N176" i="1" s="1"/>
  <c r="E177" i="1"/>
  <c r="N177" i="1" s="1" a="1"/>
  <c r="N177" i="1" s="1"/>
  <c r="E178" i="1"/>
  <c r="N178" i="1" s="1" a="1"/>
  <c r="N178" i="1" s="1"/>
  <c r="E179" i="1"/>
  <c r="N179" i="1" s="1" a="1"/>
  <c r="N179" i="1" s="1"/>
  <c r="E180" i="1"/>
  <c r="N180" i="1" s="1" a="1"/>
  <c r="N180" i="1" s="1"/>
  <c r="E181" i="1"/>
  <c r="N181" i="1" s="1" a="1"/>
  <c r="N181" i="1" s="1"/>
  <c r="E182" i="1"/>
  <c r="N182" i="1" s="1" a="1"/>
  <c r="N182" i="1" s="1"/>
  <c r="E183" i="1"/>
  <c r="N183" i="1" s="1" a="1"/>
  <c r="N183" i="1" s="1"/>
  <c r="E184" i="1"/>
  <c r="N184" i="1" s="1" a="1"/>
  <c r="N184" i="1" s="1"/>
  <c r="E185" i="1"/>
  <c r="N185" i="1" s="1" a="1"/>
  <c r="N185" i="1" s="1"/>
  <c r="E186" i="1"/>
  <c r="N186" i="1" s="1" a="1"/>
  <c r="N186" i="1" s="1"/>
  <c r="E187" i="1"/>
  <c r="N187" i="1" s="1" a="1"/>
  <c r="N187" i="1" s="1"/>
  <c r="E188" i="1"/>
  <c r="N188" i="1" s="1" a="1"/>
  <c r="N188" i="1" s="1"/>
  <c r="E189" i="1"/>
  <c r="N189" i="1" s="1" a="1"/>
  <c r="N189" i="1" s="1"/>
  <c r="E190" i="1"/>
  <c r="N190" i="1" s="1" a="1"/>
  <c r="N190" i="1" s="1"/>
  <c r="E191" i="1"/>
  <c r="N191" i="1" s="1" a="1"/>
  <c r="N191" i="1" s="1"/>
  <c r="E192" i="1"/>
  <c r="N192" i="1" s="1" a="1"/>
  <c r="N192" i="1" s="1"/>
  <c r="E193" i="1"/>
  <c r="N193" i="1" s="1" a="1"/>
  <c r="N193" i="1" s="1"/>
  <c r="E194" i="1"/>
  <c r="N194" i="1" s="1" a="1"/>
  <c r="N194" i="1" s="1"/>
  <c r="E195" i="1"/>
  <c r="N195" i="1" s="1" a="1"/>
  <c r="N195" i="1" s="1"/>
  <c r="E196" i="1"/>
  <c r="N196" i="1" s="1" a="1"/>
  <c r="N196" i="1" s="1"/>
  <c r="E197" i="1"/>
  <c r="N197" i="1" s="1" a="1"/>
  <c r="N197" i="1" s="1"/>
  <c r="E198" i="1"/>
  <c r="N198" i="1" s="1" a="1"/>
  <c r="N198" i="1" s="1"/>
  <c r="E199" i="1"/>
  <c r="N199" i="1" s="1" a="1"/>
  <c r="N199" i="1" s="1"/>
  <c r="E200" i="1"/>
  <c r="N200" i="1" s="1" a="1"/>
  <c r="N200" i="1" s="1"/>
  <c r="E201" i="1"/>
  <c r="N201" i="1" s="1" a="1"/>
  <c r="N201" i="1" s="1"/>
  <c r="E202" i="1"/>
  <c r="N202" i="1" s="1" a="1"/>
  <c r="N202" i="1" s="1"/>
  <c r="E203" i="1"/>
  <c r="N203" i="1" s="1" a="1"/>
  <c r="N203" i="1" s="1"/>
  <c r="E204" i="1"/>
  <c r="N204" i="1" s="1" a="1"/>
  <c r="N204" i="1" s="1"/>
  <c r="E205" i="1"/>
  <c r="N205" i="1" s="1" a="1"/>
  <c r="N205" i="1" s="1"/>
  <c r="E206" i="1"/>
  <c r="N206" i="1" s="1" a="1"/>
  <c r="N206" i="1" s="1"/>
  <c r="E207" i="1"/>
  <c r="N207" i="1" s="1" a="1"/>
  <c r="N207" i="1" s="1"/>
  <c r="E208" i="1"/>
  <c r="N208" i="1" s="1" a="1"/>
  <c r="N208" i="1" s="1"/>
  <c r="E209" i="1"/>
  <c r="N209" i="1" s="1" a="1"/>
  <c r="N209" i="1" s="1"/>
  <c r="E210" i="1"/>
  <c r="N210" i="1" s="1" a="1"/>
  <c r="N210" i="1" s="1"/>
  <c r="E211" i="1"/>
  <c r="N211" i="1" s="1" a="1"/>
  <c r="N211" i="1" s="1"/>
  <c r="E212" i="1"/>
  <c r="N212" i="1" s="1" a="1"/>
  <c r="N212" i="1" s="1"/>
  <c r="E213" i="1"/>
  <c r="N213" i="1" s="1" a="1"/>
  <c r="N213" i="1" s="1"/>
  <c r="E214" i="1"/>
  <c r="N214" i="1" s="1" a="1"/>
  <c r="N214" i="1" s="1"/>
  <c r="E215" i="1"/>
  <c r="N215" i="1" s="1" a="1"/>
  <c r="N215" i="1" s="1"/>
  <c r="E216" i="1"/>
  <c r="N216" i="1" s="1" a="1"/>
  <c r="N216" i="1" s="1"/>
  <c r="E217" i="1"/>
  <c r="N217" i="1" s="1" a="1"/>
  <c r="N217" i="1" s="1"/>
  <c r="E218" i="1"/>
  <c r="N218" i="1" s="1" a="1"/>
  <c r="N218" i="1" s="1"/>
  <c r="E219" i="1"/>
  <c r="N219" i="1" s="1" a="1"/>
  <c r="N219" i="1" s="1"/>
  <c r="E220" i="1"/>
  <c r="N220" i="1" s="1" a="1"/>
  <c r="N220" i="1" s="1"/>
  <c r="E221" i="1"/>
  <c r="N221" i="1" s="1" a="1"/>
  <c r="N221" i="1" s="1"/>
  <c r="E222" i="1"/>
  <c r="N222" i="1" s="1" a="1"/>
  <c r="N222" i="1" s="1"/>
  <c r="E223" i="1"/>
  <c r="N223" i="1" s="1" a="1"/>
  <c r="N223" i="1" s="1"/>
  <c r="E224" i="1"/>
  <c r="N224" i="1" s="1" a="1"/>
  <c r="N224" i="1" s="1"/>
  <c r="E225" i="1"/>
  <c r="N225" i="1" s="1" a="1"/>
  <c r="N225" i="1" s="1"/>
  <c r="E226" i="1"/>
  <c r="N226" i="1" s="1" a="1"/>
  <c r="N226" i="1" s="1"/>
  <c r="E227" i="1"/>
  <c r="N227" i="1" s="1" a="1"/>
  <c r="N227" i="1" s="1"/>
  <c r="E228" i="1"/>
  <c r="N228" i="1" s="1" a="1"/>
  <c r="N228" i="1" s="1"/>
  <c r="E229" i="1"/>
  <c r="N229" i="1" s="1" a="1"/>
  <c r="N229" i="1" s="1"/>
  <c r="E230" i="1"/>
  <c r="N230" i="1" s="1" a="1"/>
  <c r="N230" i="1" s="1"/>
  <c r="E231" i="1"/>
  <c r="N231" i="1" s="1" a="1"/>
  <c r="N231" i="1" s="1"/>
  <c r="E232" i="1"/>
  <c r="N232" i="1" s="1" a="1"/>
  <c r="N232" i="1" s="1"/>
  <c r="E233" i="1"/>
  <c r="N233" i="1" s="1" a="1"/>
  <c r="N233" i="1" s="1"/>
  <c r="E234" i="1"/>
  <c r="N234" i="1" s="1" a="1"/>
  <c r="N234" i="1" s="1"/>
  <c r="E235" i="1"/>
  <c r="N235" i="1" s="1" a="1"/>
  <c r="N235" i="1" s="1"/>
  <c r="E236" i="1"/>
  <c r="N236" i="1" s="1" a="1"/>
  <c r="N236" i="1" s="1"/>
  <c r="E237" i="1"/>
  <c r="N237" i="1" s="1" a="1"/>
  <c r="N237" i="1" s="1"/>
  <c r="E238" i="1"/>
  <c r="N238" i="1" s="1" a="1"/>
  <c r="N238" i="1" s="1"/>
  <c r="E239" i="1"/>
  <c r="N239" i="1" s="1" a="1"/>
  <c r="N239" i="1" s="1"/>
  <c r="E240" i="1"/>
  <c r="N240" i="1" s="1" a="1"/>
  <c r="N240" i="1" s="1"/>
  <c r="E241" i="1"/>
  <c r="N241" i="1" s="1" a="1"/>
  <c r="N241" i="1" s="1"/>
  <c r="E242" i="1"/>
  <c r="N242" i="1" s="1" a="1"/>
  <c r="N242" i="1" s="1"/>
  <c r="E243" i="1"/>
  <c r="N243" i="1" s="1" a="1"/>
  <c r="N243" i="1" s="1"/>
  <c r="E244" i="1"/>
  <c r="N244" i="1" s="1" a="1"/>
  <c r="N244" i="1" s="1"/>
  <c r="E245" i="1"/>
  <c r="N245" i="1" s="1" a="1"/>
  <c r="N245" i="1" s="1"/>
  <c r="E246" i="1"/>
  <c r="N246" i="1" s="1" a="1"/>
  <c r="N246" i="1" s="1"/>
  <c r="E247" i="1"/>
  <c r="N247" i="1" s="1" a="1"/>
  <c r="N247" i="1" s="1"/>
  <c r="E248" i="1"/>
  <c r="N248" i="1" s="1" a="1"/>
  <c r="N248" i="1" s="1"/>
  <c r="E249" i="1"/>
  <c r="N249" i="1" s="1" a="1"/>
  <c r="N249" i="1" s="1"/>
  <c r="E250" i="1"/>
  <c r="N250" i="1" s="1" a="1"/>
  <c r="N250" i="1" s="1"/>
  <c r="E251" i="1"/>
  <c r="N251" i="1" s="1" a="1"/>
  <c r="N251" i="1" s="1"/>
  <c r="E252" i="1"/>
  <c r="N252" i="1" s="1" a="1"/>
  <c r="N252" i="1" s="1"/>
  <c r="E253" i="1"/>
  <c r="N253" i="1" s="1" a="1"/>
  <c r="N253" i="1" s="1"/>
  <c r="E254" i="1"/>
  <c r="N254" i="1" s="1" a="1"/>
  <c r="N254" i="1" s="1"/>
  <c r="E255" i="1"/>
  <c r="N255" i="1" s="1" a="1"/>
  <c r="N255" i="1" s="1"/>
  <c r="E256" i="1"/>
  <c r="N256" i="1" s="1" a="1"/>
  <c r="N256" i="1" s="1"/>
  <c r="E257" i="1"/>
  <c r="N257" i="1" s="1" a="1"/>
  <c r="N257" i="1" s="1"/>
  <c r="E258" i="1"/>
  <c r="N258" i="1" s="1" a="1"/>
  <c r="N258" i="1" s="1"/>
  <c r="E259" i="1"/>
  <c r="N259" i="1" s="1" a="1"/>
  <c r="N259" i="1" s="1"/>
  <c r="E260" i="1"/>
  <c r="N260" i="1" s="1" a="1"/>
  <c r="N260" i="1" s="1"/>
  <c r="E261" i="1"/>
  <c r="N261" i="1" s="1" a="1"/>
  <c r="N261" i="1" s="1"/>
  <c r="E262" i="1"/>
  <c r="N262" i="1" s="1" a="1"/>
  <c r="N262" i="1" s="1"/>
  <c r="E263" i="1"/>
  <c r="N263" i="1" s="1" a="1"/>
  <c r="N263" i="1" s="1"/>
  <c r="E264" i="1"/>
  <c r="N264" i="1" s="1" a="1"/>
  <c r="N264" i="1" s="1"/>
  <c r="E265" i="1"/>
  <c r="N265" i="1" s="1" a="1"/>
  <c r="N265" i="1" s="1"/>
  <c r="E266" i="1"/>
  <c r="N266" i="1" s="1" a="1"/>
  <c r="N266" i="1" s="1"/>
  <c r="E267" i="1"/>
  <c r="N267" i="1" s="1" a="1"/>
  <c r="N267" i="1" s="1"/>
  <c r="E268" i="1"/>
  <c r="N268" i="1" s="1" a="1"/>
  <c r="N268" i="1" s="1"/>
  <c r="E269" i="1"/>
  <c r="N269" i="1" s="1" a="1"/>
  <c r="N269" i="1" s="1"/>
  <c r="E270" i="1"/>
  <c r="N270" i="1" s="1" a="1"/>
  <c r="N270" i="1" s="1"/>
  <c r="E271" i="1"/>
  <c r="N271" i="1" s="1" a="1"/>
  <c r="N271" i="1" s="1"/>
  <c r="E272" i="1"/>
  <c r="N272" i="1" s="1" a="1"/>
  <c r="N272" i="1" s="1"/>
  <c r="E273" i="1"/>
  <c r="N273" i="1" s="1" a="1"/>
  <c r="N273" i="1" s="1"/>
  <c r="E274" i="1"/>
  <c r="N274" i="1" s="1" a="1"/>
  <c r="N274" i="1" s="1"/>
  <c r="E275" i="1"/>
  <c r="N275" i="1" s="1" a="1"/>
  <c r="N275" i="1" s="1"/>
  <c r="E276" i="1"/>
  <c r="N276" i="1" s="1" a="1"/>
  <c r="N276" i="1" s="1"/>
  <c r="E277" i="1"/>
  <c r="N277" i="1" s="1" a="1"/>
  <c r="N277" i="1" s="1"/>
  <c r="E278" i="1"/>
  <c r="N278" i="1" s="1" a="1"/>
  <c r="N278" i="1" s="1"/>
  <c r="E279" i="1"/>
  <c r="N279" i="1" s="1" a="1"/>
  <c r="N279" i="1" s="1"/>
  <c r="E280" i="1"/>
  <c r="N280" i="1" s="1" a="1"/>
  <c r="N280" i="1" s="1"/>
  <c r="E281" i="1"/>
  <c r="N281" i="1" s="1" a="1"/>
  <c r="N281" i="1" s="1"/>
  <c r="E282" i="1"/>
  <c r="N282" i="1" s="1" a="1"/>
  <c r="N282" i="1" s="1"/>
  <c r="E283" i="1"/>
  <c r="N283" i="1" s="1" a="1"/>
  <c r="N283" i="1" s="1"/>
  <c r="E284" i="1"/>
  <c r="N284" i="1" s="1" a="1"/>
  <c r="N284" i="1" s="1"/>
  <c r="E285" i="1"/>
  <c r="N285" i="1" s="1" a="1"/>
  <c r="N285" i="1" s="1"/>
  <c r="E286" i="1"/>
  <c r="N286" i="1" s="1" a="1"/>
  <c r="N286" i="1" s="1"/>
  <c r="E287" i="1"/>
  <c r="N287" i="1" s="1" a="1"/>
  <c r="N287" i="1" s="1"/>
  <c r="E288" i="1"/>
  <c r="N288" i="1" s="1" a="1"/>
  <c r="N288" i="1" s="1"/>
  <c r="E289" i="1"/>
  <c r="N289" i="1" s="1" a="1"/>
  <c r="N289" i="1" s="1"/>
  <c r="E290" i="1"/>
  <c r="N290" i="1" s="1" a="1"/>
  <c r="N290" i="1" s="1"/>
  <c r="E291" i="1"/>
  <c r="N291" i="1" s="1" a="1"/>
  <c r="N291" i="1" s="1"/>
  <c r="E292" i="1"/>
  <c r="N292" i="1" s="1" a="1"/>
  <c r="N292" i="1" s="1"/>
  <c r="E293" i="1"/>
  <c r="N293" i="1" s="1" a="1"/>
  <c r="N293" i="1" s="1"/>
  <c r="E294" i="1"/>
  <c r="N294" i="1" s="1" a="1"/>
  <c r="N294" i="1" s="1"/>
  <c r="E295" i="1"/>
  <c r="N295" i="1" s="1" a="1"/>
  <c r="N295" i="1" s="1"/>
  <c r="E296" i="1"/>
  <c r="N296" i="1" s="1" a="1"/>
  <c r="N296" i="1" s="1"/>
  <c r="E297" i="1"/>
  <c r="N297" i="1" s="1" a="1"/>
  <c r="N297" i="1" s="1"/>
  <c r="E298" i="1"/>
  <c r="N298" i="1" s="1" a="1"/>
  <c r="N298" i="1" s="1"/>
  <c r="E299" i="1"/>
  <c r="N299" i="1" s="1" a="1"/>
  <c r="N299" i="1" s="1"/>
  <c r="E300" i="1"/>
  <c r="N300" i="1" s="1" a="1"/>
  <c r="N300" i="1" s="1"/>
  <c r="E301" i="1"/>
  <c r="N301" i="1" s="1" a="1"/>
  <c r="N301" i="1" s="1"/>
  <c r="E302" i="1"/>
  <c r="N302" i="1" s="1" a="1"/>
  <c r="N302" i="1" s="1"/>
  <c r="E303" i="1"/>
  <c r="N303" i="1" s="1" a="1"/>
  <c r="N303" i="1" s="1"/>
  <c r="E304" i="1"/>
  <c r="N304" i="1" s="1" a="1"/>
  <c r="N304" i="1" s="1"/>
  <c r="E305" i="1"/>
  <c r="N305" i="1" s="1" a="1"/>
  <c r="N305" i="1" s="1"/>
  <c r="E306" i="1"/>
  <c r="N306" i="1" s="1" a="1"/>
  <c r="N306" i="1" s="1"/>
  <c r="E307" i="1"/>
  <c r="N307" i="1" s="1" a="1"/>
  <c r="N307" i="1" s="1"/>
  <c r="E308" i="1"/>
  <c r="N308" i="1" s="1" a="1"/>
  <c r="N308" i="1" s="1"/>
  <c r="E309" i="1"/>
  <c r="N309" i="1" s="1" a="1"/>
  <c r="N309" i="1" s="1"/>
  <c r="E310" i="1"/>
  <c r="N310" i="1" s="1" a="1"/>
  <c r="N310" i="1" s="1"/>
  <c r="E311" i="1"/>
  <c r="N311" i="1" s="1" a="1"/>
  <c r="N311" i="1" s="1"/>
  <c r="E312" i="1"/>
  <c r="N312" i="1" s="1" a="1"/>
  <c r="N312" i="1" s="1"/>
  <c r="E313" i="1"/>
  <c r="N313" i="1" s="1" a="1"/>
  <c r="N313" i="1" s="1"/>
  <c r="E314" i="1"/>
  <c r="N314" i="1" s="1" a="1"/>
  <c r="N314" i="1" s="1"/>
  <c r="E315" i="1"/>
  <c r="N315" i="1" s="1" a="1"/>
  <c r="N315" i="1" s="1"/>
  <c r="E316" i="1"/>
  <c r="N316" i="1" s="1" a="1"/>
  <c r="N316" i="1" s="1"/>
  <c r="E317" i="1"/>
  <c r="N317" i="1" s="1" a="1"/>
  <c r="N317" i="1" s="1"/>
  <c r="E318" i="1"/>
  <c r="N318" i="1" s="1" a="1"/>
  <c r="N318" i="1" s="1"/>
  <c r="E319" i="1"/>
  <c r="N319" i="1" s="1" a="1"/>
  <c r="N319" i="1" s="1"/>
  <c r="E320" i="1"/>
  <c r="N320" i="1" s="1" a="1"/>
  <c r="N320" i="1" s="1"/>
  <c r="E321" i="1"/>
  <c r="N321" i="1" s="1" a="1"/>
  <c r="N321" i="1" s="1"/>
  <c r="E322" i="1"/>
  <c r="N322" i="1" s="1" a="1"/>
  <c r="N322" i="1" s="1"/>
  <c r="E323" i="1"/>
  <c r="N323" i="1" s="1" a="1"/>
  <c r="N323" i="1" s="1"/>
  <c r="E324" i="1"/>
  <c r="N324" i="1" s="1" a="1"/>
  <c r="N324" i="1" s="1"/>
  <c r="E325" i="1"/>
  <c r="N325" i="1" s="1" a="1"/>
  <c r="N325" i="1" s="1"/>
  <c r="E326" i="1"/>
  <c r="N326" i="1" s="1" a="1"/>
  <c r="N326" i="1" s="1"/>
  <c r="E327" i="1"/>
  <c r="N327" i="1" s="1" a="1"/>
  <c r="N327" i="1" s="1"/>
  <c r="E328" i="1"/>
  <c r="N328" i="1" s="1" a="1"/>
  <c r="N328" i="1" s="1"/>
  <c r="E329" i="1"/>
  <c r="N329" i="1" s="1" a="1"/>
  <c r="N329" i="1" s="1"/>
  <c r="E330" i="1"/>
  <c r="N330" i="1" s="1" a="1"/>
  <c r="N330" i="1" s="1"/>
  <c r="E331" i="1"/>
  <c r="N331" i="1" s="1" a="1"/>
  <c r="N331" i="1" s="1"/>
  <c r="E332" i="1"/>
  <c r="N332" i="1" s="1" a="1"/>
  <c r="N332" i="1" s="1"/>
  <c r="E333" i="1"/>
  <c r="N333" i="1" s="1" a="1"/>
  <c r="N333" i="1" s="1"/>
  <c r="E334" i="1"/>
  <c r="N334" i="1" s="1" a="1"/>
  <c r="N334" i="1" s="1"/>
  <c r="E335" i="1"/>
  <c r="N335" i="1" s="1" a="1"/>
  <c r="N335" i="1" s="1"/>
  <c r="E336" i="1"/>
  <c r="N336" i="1" s="1" a="1"/>
  <c r="N336" i="1" s="1"/>
  <c r="E337" i="1"/>
  <c r="N337" i="1" s="1" a="1"/>
  <c r="N337" i="1" s="1"/>
  <c r="E338" i="1"/>
  <c r="N338" i="1" s="1" a="1"/>
  <c r="N338" i="1" s="1"/>
  <c r="E339" i="1"/>
  <c r="N339" i="1" s="1" a="1"/>
  <c r="N339" i="1" s="1"/>
  <c r="E340" i="1"/>
  <c r="N340" i="1" s="1" a="1"/>
  <c r="N340" i="1" s="1"/>
  <c r="E341" i="1"/>
  <c r="N341" i="1" s="1" a="1"/>
  <c r="N341" i="1" s="1"/>
  <c r="E342" i="1"/>
  <c r="N342" i="1" s="1" a="1"/>
  <c r="N342" i="1" s="1"/>
  <c r="E343" i="1"/>
  <c r="N343" i="1" s="1" a="1"/>
  <c r="N343" i="1" s="1"/>
  <c r="E344" i="1"/>
  <c r="N344" i="1" s="1" a="1"/>
  <c r="N344" i="1" s="1"/>
  <c r="E345" i="1"/>
  <c r="N345" i="1" s="1" a="1"/>
  <c r="N345" i="1" s="1"/>
  <c r="E346" i="1"/>
  <c r="N346" i="1" s="1" a="1"/>
  <c r="N346" i="1" s="1"/>
  <c r="E347" i="1"/>
  <c r="N347" i="1" s="1" a="1"/>
  <c r="N347" i="1" s="1"/>
  <c r="E348" i="1"/>
  <c r="N348" i="1" s="1" a="1"/>
  <c r="N348" i="1" s="1"/>
  <c r="E349" i="1"/>
  <c r="N349" i="1" s="1" a="1"/>
  <c r="N349" i="1" s="1"/>
  <c r="E350" i="1"/>
  <c r="N350" i="1" s="1" a="1"/>
  <c r="N350" i="1" s="1"/>
  <c r="E351" i="1"/>
  <c r="N351" i="1" s="1" a="1"/>
  <c r="N351" i="1" s="1"/>
  <c r="E352" i="1"/>
  <c r="N352" i="1" s="1" a="1"/>
  <c r="N352" i="1" s="1"/>
  <c r="E353" i="1"/>
  <c r="N353" i="1" s="1" a="1"/>
  <c r="N353" i="1" s="1"/>
  <c r="E354" i="1"/>
  <c r="N354" i="1" s="1" a="1"/>
  <c r="N354" i="1" s="1"/>
  <c r="E355" i="1"/>
  <c r="N355" i="1" s="1" a="1"/>
  <c r="N355" i="1" s="1"/>
  <c r="E356" i="1"/>
  <c r="N356" i="1" s="1" a="1"/>
  <c r="N356" i="1" s="1"/>
  <c r="E357" i="1"/>
  <c r="N357" i="1" s="1" a="1"/>
  <c r="N357" i="1" s="1"/>
  <c r="E358" i="1"/>
  <c r="N358" i="1" s="1" a="1"/>
  <c r="N358" i="1" s="1"/>
  <c r="E359" i="1"/>
  <c r="N359" i="1" s="1" a="1"/>
  <c r="N359" i="1" s="1"/>
  <c r="E360" i="1"/>
  <c r="N360" i="1" s="1" a="1"/>
  <c r="N360" i="1" s="1"/>
  <c r="E361" i="1"/>
  <c r="N361" i="1" s="1" a="1"/>
  <c r="N361" i="1" s="1"/>
  <c r="E362" i="1"/>
  <c r="N362" i="1" s="1" a="1"/>
  <c r="N362" i="1" s="1"/>
  <c r="E363" i="1"/>
  <c r="N363" i="1" s="1" a="1"/>
  <c r="N363" i="1" s="1"/>
  <c r="E364" i="1"/>
  <c r="N364" i="1" s="1" a="1"/>
  <c r="N364" i="1" s="1"/>
  <c r="E365" i="1"/>
  <c r="N365" i="1" s="1" a="1"/>
  <c r="N365" i="1" s="1"/>
  <c r="E366" i="1"/>
  <c r="N366" i="1" s="1" a="1"/>
  <c r="N366" i="1" s="1"/>
  <c r="E367" i="1"/>
  <c r="N367" i="1" s="1" a="1"/>
  <c r="N367" i="1" s="1"/>
  <c r="E368" i="1"/>
  <c r="N368" i="1" s="1" a="1"/>
  <c r="N368" i="1" s="1"/>
  <c r="E369" i="1"/>
  <c r="N369" i="1" s="1" a="1"/>
  <c r="N369" i="1" s="1"/>
  <c r="E370" i="1"/>
  <c r="N370" i="1" s="1" a="1"/>
  <c r="N370" i="1" s="1"/>
  <c r="E371" i="1"/>
  <c r="N371" i="1" s="1" a="1"/>
  <c r="N371" i="1" s="1"/>
  <c r="E372" i="1"/>
  <c r="N372" i="1" s="1" a="1"/>
  <c r="N372" i="1" s="1"/>
  <c r="E373" i="1"/>
  <c r="N373" i="1" s="1" a="1"/>
  <c r="N373" i="1" s="1"/>
  <c r="E374" i="1"/>
  <c r="N374" i="1" s="1" a="1"/>
  <c r="N374" i="1" s="1"/>
  <c r="E375" i="1"/>
  <c r="N375" i="1" s="1" a="1"/>
  <c r="N375" i="1" s="1"/>
  <c r="E376" i="1"/>
  <c r="N376" i="1" s="1" a="1"/>
  <c r="N376" i="1" s="1"/>
  <c r="E377" i="1"/>
  <c r="N377" i="1" s="1" a="1"/>
  <c r="N377" i="1" s="1"/>
  <c r="E378" i="1"/>
  <c r="N378" i="1" s="1" a="1"/>
  <c r="N378" i="1" s="1"/>
  <c r="E379" i="1"/>
  <c r="N379" i="1" s="1" a="1"/>
  <c r="N379" i="1" s="1"/>
  <c r="E380" i="1"/>
  <c r="N380" i="1" s="1" a="1"/>
  <c r="N380" i="1" s="1"/>
  <c r="E381" i="1"/>
  <c r="N381" i="1" s="1" a="1"/>
  <c r="N381" i="1" s="1"/>
  <c r="E382" i="1"/>
  <c r="N382" i="1" s="1" a="1"/>
  <c r="N382" i="1" s="1"/>
  <c r="E383" i="1"/>
  <c r="N383" i="1" s="1" a="1"/>
  <c r="N383" i="1" s="1"/>
  <c r="E384" i="1"/>
  <c r="N384" i="1" s="1" a="1"/>
  <c r="N384" i="1" s="1"/>
  <c r="E385" i="1"/>
  <c r="N385" i="1" s="1" a="1"/>
  <c r="N385" i="1" s="1"/>
  <c r="E386" i="1"/>
  <c r="N386" i="1" s="1" a="1"/>
  <c r="N386" i="1" s="1"/>
  <c r="E387" i="1"/>
  <c r="N387" i="1" s="1" a="1"/>
  <c r="N387" i="1" s="1"/>
  <c r="E388" i="1"/>
  <c r="N388" i="1" s="1" a="1"/>
  <c r="N388" i="1" s="1"/>
  <c r="E389" i="1"/>
  <c r="N389" i="1" s="1" a="1"/>
  <c r="N389" i="1" s="1"/>
  <c r="E390" i="1"/>
  <c r="N390" i="1" s="1" a="1"/>
  <c r="N390" i="1" s="1"/>
  <c r="E391" i="1"/>
  <c r="N391" i="1" s="1" a="1"/>
  <c r="N391" i="1" s="1"/>
  <c r="E392" i="1"/>
  <c r="N392" i="1" s="1" a="1"/>
  <c r="N392" i="1" s="1"/>
  <c r="E393" i="1"/>
  <c r="N393" i="1" s="1" a="1"/>
  <c r="N393" i="1" s="1"/>
  <c r="E394" i="1"/>
  <c r="N394" i="1" s="1" a="1"/>
  <c r="N394" i="1" s="1"/>
  <c r="E395" i="1"/>
  <c r="N395" i="1" s="1" a="1"/>
  <c r="N395" i="1" s="1"/>
  <c r="E396" i="1"/>
  <c r="N396" i="1" s="1" a="1"/>
  <c r="N396" i="1" s="1"/>
  <c r="E397" i="1"/>
  <c r="N397" i="1" s="1" a="1"/>
  <c r="N397" i="1" s="1"/>
  <c r="E398" i="1"/>
  <c r="N398" i="1" s="1" a="1"/>
  <c r="N398" i="1" s="1"/>
  <c r="E399" i="1"/>
  <c r="N399" i="1" s="1" a="1"/>
  <c r="N399" i="1" s="1"/>
  <c r="E400" i="1"/>
  <c r="N400" i="1" s="1" a="1"/>
  <c r="N400" i="1" s="1"/>
  <c r="E401" i="1"/>
  <c r="N401" i="1" s="1" a="1"/>
  <c r="N401" i="1" s="1"/>
  <c r="E402" i="1"/>
  <c r="N402" i="1" s="1" a="1"/>
  <c r="N402" i="1" s="1"/>
  <c r="E403" i="1"/>
  <c r="N403" i="1" s="1" a="1"/>
  <c r="N403" i="1" s="1"/>
  <c r="E404" i="1"/>
  <c r="N404" i="1" s="1" a="1"/>
  <c r="N404" i="1" s="1"/>
  <c r="E405" i="1"/>
  <c r="N405" i="1" s="1" a="1"/>
  <c r="N405" i="1" s="1"/>
  <c r="E406" i="1"/>
  <c r="N406" i="1" s="1" a="1"/>
  <c r="N406" i="1" s="1"/>
  <c r="E407" i="1"/>
  <c r="N407" i="1" s="1" a="1"/>
  <c r="N407" i="1" s="1"/>
  <c r="E408" i="1"/>
  <c r="N408" i="1" s="1" a="1"/>
  <c r="N408" i="1" s="1"/>
  <c r="E409" i="1"/>
  <c r="N409" i="1" s="1" a="1"/>
  <c r="N409" i="1" s="1"/>
  <c r="E410" i="1"/>
  <c r="N410" i="1" s="1" a="1"/>
  <c r="N410" i="1" s="1"/>
  <c r="E411" i="1"/>
  <c r="N411" i="1" s="1" a="1"/>
  <c r="N411" i="1" s="1"/>
  <c r="E412" i="1"/>
  <c r="N412" i="1" s="1" a="1"/>
  <c r="N412" i="1" s="1"/>
  <c r="E413" i="1"/>
  <c r="N413" i="1" s="1" a="1"/>
  <c r="N413" i="1" s="1"/>
  <c r="E414" i="1"/>
  <c r="N414" i="1" s="1" a="1"/>
  <c r="N414" i="1" s="1"/>
  <c r="E415" i="1"/>
  <c r="N415" i="1" s="1" a="1"/>
  <c r="N415" i="1" s="1"/>
  <c r="E416" i="1"/>
  <c r="N416" i="1" s="1" a="1"/>
  <c r="N416" i="1" s="1"/>
  <c r="E417" i="1"/>
  <c r="N417" i="1" s="1" a="1"/>
  <c r="N417" i="1" s="1"/>
  <c r="E418" i="1"/>
  <c r="N418" i="1" s="1" a="1"/>
  <c r="N418" i="1" s="1"/>
  <c r="E419" i="1"/>
  <c r="N419" i="1" s="1" a="1"/>
  <c r="N419" i="1" s="1"/>
  <c r="E420" i="1"/>
  <c r="N420" i="1" s="1" a="1"/>
  <c r="N420" i="1" s="1"/>
  <c r="E421" i="1"/>
  <c r="N421" i="1" s="1" a="1"/>
  <c r="N421" i="1" s="1"/>
  <c r="E422" i="1"/>
  <c r="N422" i="1" s="1" a="1"/>
  <c r="N422" i="1" s="1"/>
  <c r="E423" i="1"/>
  <c r="N423" i="1" s="1" a="1"/>
  <c r="N423" i="1" s="1"/>
  <c r="E424" i="1"/>
  <c r="N424" i="1" s="1" a="1"/>
  <c r="N424" i="1" s="1"/>
  <c r="E425" i="1"/>
  <c r="N425" i="1" s="1" a="1"/>
  <c r="N425" i="1" s="1"/>
  <c r="E426" i="1"/>
  <c r="N426" i="1" s="1" a="1"/>
  <c r="N426" i="1" s="1"/>
  <c r="E427" i="1"/>
  <c r="N427" i="1" s="1" a="1"/>
  <c r="N427" i="1" s="1"/>
  <c r="E428" i="1"/>
  <c r="N428" i="1" s="1" a="1"/>
  <c r="N428" i="1" s="1"/>
  <c r="E429" i="1"/>
  <c r="N429" i="1" s="1" a="1"/>
  <c r="N429" i="1" s="1"/>
  <c r="E430" i="1"/>
  <c r="N430" i="1" s="1" a="1"/>
  <c r="N430" i="1" s="1"/>
  <c r="E431" i="1"/>
  <c r="N431" i="1" s="1" a="1"/>
  <c r="N431" i="1" s="1"/>
  <c r="E432" i="1"/>
  <c r="N432" i="1" s="1" a="1"/>
  <c r="N432" i="1" s="1"/>
  <c r="E433" i="1"/>
  <c r="N433" i="1" s="1" a="1"/>
  <c r="N433" i="1" s="1"/>
  <c r="E434" i="1"/>
  <c r="N434" i="1" s="1" a="1"/>
  <c r="N434" i="1" s="1"/>
  <c r="E435" i="1"/>
  <c r="N435" i="1" s="1" a="1"/>
  <c r="N435" i="1" s="1"/>
  <c r="E436" i="1"/>
  <c r="N436" i="1" s="1" a="1"/>
  <c r="N436" i="1" s="1"/>
  <c r="E437" i="1"/>
  <c r="N437" i="1" s="1" a="1"/>
  <c r="N437" i="1" s="1"/>
  <c r="E438" i="1"/>
  <c r="N438" i="1" s="1" a="1"/>
  <c r="N438" i="1" s="1"/>
  <c r="E439" i="1"/>
  <c r="N439" i="1" s="1" a="1"/>
  <c r="N439" i="1" s="1"/>
  <c r="E440" i="1"/>
  <c r="N440" i="1" s="1" a="1"/>
  <c r="N440" i="1" s="1"/>
  <c r="E441" i="1"/>
  <c r="N441" i="1" s="1" a="1"/>
  <c r="N441" i="1" s="1"/>
  <c r="E442" i="1"/>
  <c r="N442" i="1" s="1" a="1"/>
  <c r="N442" i="1" s="1"/>
  <c r="E443" i="1"/>
  <c r="N443" i="1" s="1" a="1"/>
  <c r="N443" i="1" s="1"/>
  <c r="E444" i="1"/>
  <c r="N444" i="1" s="1" a="1"/>
  <c r="N444" i="1" s="1"/>
  <c r="E445" i="1"/>
  <c r="N445" i="1" s="1" a="1"/>
  <c r="N445" i="1" s="1"/>
  <c r="E446" i="1"/>
  <c r="N446" i="1" s="1" a="1"/>
  <c r="N446" i="1" s="1"/>
  <c r="E447" i="1"/>
  <c r="N447" i="1" s="1" a="1"/>
  <c r="N447" i="1" s="1"/>
  <c r="E448" i="1"/>
  <c r="N448" i="1" s="1" a="1"/>
  <c r="N448" i="1" s="1"/>
  <c r="E449" i="1"/>
  <c r="N449" i="1" s="1" a="1"/>
  <c r="N449" i="1" s="1"/>
  <c r="E450" i="1"/>
  <c r="N450" i="1" s="1" a="1"/>
  <c r="N450" i="1" s="1"/>
  <c r="E451" i="1"/>
  <c r="N451" i="1" s="1" a="1"/>
  <c r="N451" i="1" s="1"/>
  <c r="E452" i="1"/>
  <c r="N452" i="1" s="1" a="1"/>
  <c r="N452" i="1" s="1"/>
  <c r="E453" i="1"/>
  <c r="N453" i="1" s="1" a="1"/>
  <c r="N453" i="1" s="1"/>
  <c r="E454" i="1"/>
  <c r="N454" i="1" s="1" a="1"/>
  <c r="N454" i="1" s="1"/>
  <c r="E455" i="1"/>
  <c r="N455" i="1" s="1" a="1"/>
  <c r="N455" i="1" s="1"/>
  <c r="E456" i="1"/>
  <c r="N456" i="1" s="1" a="1"/>
  <c r="N456" i="1" s="1"/>
  <c r="E457" i="1"/>
  <c r="N457" i="1" s="1" a="1"/>
  <c r="N457" i="1" s="1"/>
  <c r="E458" i="1"/>
  <c r="N458" i="1" s="1" a="1"/>
  <c r="N458" i="1" s="1"/>
  <c r="E459" i="1"/>
  <c r="N459" i="1" s="1" a="1"/>
  <c r="N459" i="1" s="1"/>
  <c r="E460" i="1"/>
  <c r="N460" i="1" s="1" a="1"/>
  <c r="N460" i="1" s="1"/>
  <c r="E461" i="1"/>
  <c r="N461" i="1" s="1" a="1"/>
  <c r="N461" i="1" s="1"/>
  <c r="E462" i="1"/>
  <c r="N462" i="1" s="1" a="1"/>
  <c r="N462" i="1" s="1"/>
  <c r="E463" i="1"/>
  <c r="N463" i="1" s="1" a="1"/>
  <c r="N463" i="1" s="1"/>
  <c r="E464" i="1"/>
  <c r="N464" i="1" s="1" a="1"/>
  <c r="N464" i="1" s="1"/>
  <c r="E465" i="1"/>
  <c r="N465" i="1" s="1" a="1"/>
  <c r="N465" i="1" s="1"/>
  <c r="E466" i="1"/>
  <c r="N466" i="1" s="1" a="1"/>
  <c r="N466" i="1" s="1"/>
  <c r="E467" i="1"/>
  <c r="N467" i="1" s="1" a="1"/>
  <c r="N467" i="1" s="1"/>
  <c r="E468" i="1"/>
  <c r="N468" i="1" s="1" a="1"/>
  <c r="N468" i="1" s="1"/>
  <c r="E469" i="1"/>
  <c r="N469" i="1" s="1" a="1"/>
  <c r="N469" i="1" s="1"/>
  <c r="E470" i="1"/>
  <c r="N470" i="1" s="1" a="1"/>
  <c r="N470" i="1" s="1"/>
  <c r="E471" i="1"/>
  <c r="N471" i="1" s="1" a="1"/>
  <c r="N471" i="1" s="1"/>
  <c r="E472" i="1"/>
  <c r="N472" i="1" s="1" a="1"/>
  <c r="N472" i="1" s="1"/>
  <c r="E473" i="1"/>
  <c r="N473" i="1" s="1" a="1"/>
  <c r="N473" i="1" s="1"/>
  <c r="E474" i="1"/>
  <c r="N474" i="1" s="1" a="1"/>
  <c r="N474" i="1" s="1"/>
  <c r="E475" i="1"/>
  <c r="N475" i="1" s="1" a="1"/>
  <c r="N475" i="1" s="1"/>
  <c r="E476" i="1"/>
  <c r="N476" i="1" s="1" a="1"/>
  <c r="N476" i="1" s="1"/>
  <c r="E477" i="1"/>
  <c r="N477" i="1" s="1" a="1"/>
  <c r="N477" i="1" s="1"/>
  <c r="E478" i="1"/>
  <c r="N478" i="1" s="1" a="1"/>
  <c r="N478" i="1" s="1"/>
  <c r="E479" i="1"/>
  <c r="N479" i="1" s="1" a="1"/>
  <c r="N479" i="1" s="1"/>
  <c r="E480" i="1"/>
  <c r="N480" i="1" s="1" a="1"/>
  <c r="N480" i="1" s="1"/>
  <c r="E481" i="1"/>
  <c r="N481" i="1" s="1" a="1"/>
  <c r="N481" i="1" s="1"/>
  <c r="E482" i="1"/>
  <c r="N482" i="1" s="1" a="1"/>
  <c r="N482" i="1" s="1"/>
  <c r="E483" i="1"/>
  <c r="N483" i="1" s="1" a="1"/>
  <c r="N483" i="1" s="1"/>
  <c r="E484" i="1"/>
  <c r="N484" i="1" s="1" a="1"/>
  <c r="N484" i="1" s="1"/>
  <c r="E485" i="1"/>
  <c r="N485" i="1" s="1" a="1"/>
  <c r="N485" i="1" s="1"/>
  <c r="E486" i="1"/>
  <c r="N486" i="1" s="1" a="1"/>
  <c r="N486" i="1" s="1"/>
  <c r="E487" i="1"/>
  <c r="N487" i="1" s="1" a="1"/>
  <c r="N487" i="1" s="1"/>
  <c r="E488" i="1"/>
  <c r="N488" i="1" s="1" a="1"/>
  <c r="N488" i="1" s="1"/>
  <c r="E489" i="1"/>
  <c r="N489" i="1" s="1" a="1"/>
  <c r="N489" i="1" s="1"/>
  <c r="E490" i="1"/>
  <c r="N490" i="1" s="1" a="1"/>
  <c r="N490" i="1" s="1"/>
  <c r="E491" i="1"/>
  <c r="N491" i="1" s="1" a="1"/>
  <c r="N491" i="1" s="1"/>
  <c r="E492" i="1"/>
  <c r="N492" i="1" s="1" a="1"/>
  <c r="N492" i="1" s="1"/>
  <c r="E493" i="1"/>
  <c r="N493" i="1" s="1" a="1"/>
  <c r="N493" i="1" s="1"/>
  <c r="E494" i="1"/>
  <c r="N494" i="1" s="1" a="1"/>
  <c r="N494" i="1" s="1"/>
  <c r="E495" i="1"/>
  <c r="N495" i="1" s="1" a="1"/>
  <c r="N495" i="1" s="1"/>
  <c r="E496" i="1"/>
  <c r="N496" i="1" s="1" a="1"/>
  <c r="N496" i="1" s="1"/>
  <c r="E497" i="1"/>
  <c r="N497" i="1" s="1" a="1"/>
  <c r="N497" i="1" s="1"/>
  <c r="E498" i="1"/>
  <c r="N498" i="1" s="1" a="1"/>
  <c r="N498" i="1" s="1"/>
  <c r="E499" i="1"/>
  <c r="N499" i="1" s="1" a="1"/>
  <c r="N499" i="1" s="1"/>
  <c r="E500" i="1"/>
  <c r="N500" i="1" s="1" a="1"/>
  <c r="N500" i="1" s="1"/>
  <c r="E501" i="1"/>
  <c r="N501" i="1" s="1" a="1"/>
  <c r="N501" i="1" s="1"/>
  <c r="E502" i="1"/>
  <c r="N502" i="1" s="1" a="1"/>
  <c r="N502" i="1" s="1"/>
  <c r="E503" i="1"/>
  <c r="N503" i="1" s="1" a="1"/>
  <c r="N503" i="1" s="1"/>
  <c r="E504" i="1"/>
  <c r="N504" i="1" s="1" a="1"/>
  <c r="N504" i="1" s="1"/>
  <c r="E505" i="1"/>
  <c r="N505" i="1" s="1" a="1"/>
  <c r="N505" i="1" s="1"/>
  <c r="E506" i="1"/>
  <c r="N506" i="1" s="1" a="1"/>
  <c r="N506" i="1" s="1"/>
  <c r="E507" i="1"/>
  <c r="N507" i="1" s="1" a="1"/>
  <c r="N507" i="1" s="1"/>
  <c r="E508" i="1"/>
  <c r="N508" i="1" s="1" a="1"/>
  <c r="N508" i="1" s="1"/>
  <c r="E509" i="1"/>
  <c r="N509" i="1" s="1" a="1"/>
  <c r="N509" i="1" s="1"/>
  <c r="E510" i="1"/>
  <c r="N510" i="1" s="1" a="1"/>
  <c r="N510" i="1" s="1"/>
  <c r="E511" i="1"/>
  <c r="N511" i="1" s="1" a="1"/>
  <c r="N511" i="1" s="1"/>
  <c r="E512" i="1"/>
  <c r="N512" i="1" s="1" a="1"/>
  <c r="N512" i="1" s="1"/>
  <c r="E513" i="1"/>
  <c r="N513" i="1" s="1" a="1"/>
  <c r="N513" i="1" s="1"/>
  <c r="E514" i="1"/>
  <c r="N514" i="1" s="1" a="1"/>
  <c r="N514" i="1" s="1"/>
  <c r="E515" i="1"/>
  <c r="N515" i="1" s="1" a="1"/>
  <c r="N515" i="1" s="1"/>
  <c r="E516" i="1"/>
  <c r="N516" i="1" s="1" a="1"/>
  <c r="N516" i="1" s="1"/>
  <c r="E517" i="1"/>
  <c r="N517" i="1" s="1" a="1"/>
  <c r="N517" i="1" s="1"/>
  <c r="E518" i="1"/>
  <c r="N518" i="1" s="1" a="1"/>
  <c r="N518" i="1" s="1"/>
  <c r="E519" i="1"/>
  <c r="N519" i="1" s="1" a="1"/>
  <c r="N519" i="1" s="1"/>
  <c r="E520" i="1"/>
  <c r="N520" i="1" s="1" a="1"/>
  <c r="N520" i="1" s="1"/>
  <c r="E521" i="1"/>
  <c r="N521" i="1" s="1" a="1"/>
  <c r="N521" i="1" s="1"/>
  <c r="E522" i="1"/>
  <c r="N522" i="1" s="1" a="1"/>
  <c r="N522" i="1" s="1"/>
  <c r="E523" i="1"/>
  <c r="N523" i="1" s="1" a="1"/>
  <c r="N523" i="1" s="1"/>
  <c r="E524" i="1"/>
  <c r="N524" i="1" s="1" a="1"/>
  <c r="N524" i="1" s="1"/>
  <c r="E525" i="1"/>
  <c r="N525" i="1" s="1" a="1"/>
  <c r="N525" i="1" s="1"/>
  <c r="E526" i="1"/>
  <c r="N526" i="1" s="1" a="1"/>
  <c r="N526" i="1" s="1"/>
  <c r="E527" i="1"/>
  <c r="N527" i="1" s="1" a="1"/>
  <c r="N527" i="1" s="1"/>
  <c r="E528" i="1"/>
  <c r="N528" i="1" s="1" a="1"/>
  <c r="N528" i="1" s="1"/>
  <c r="E529" i="1"/>
  <c r="N529" i="1" s="1" a="1"/>
  <c r="N529" i="1" s="1"/>
  <c r="E530" i="1"/>
  <c r="N530" i="1" s="1" a="1"/>
  <c r="N530" i="1" s="1"/>
  <c r="E531" i="1"/>
  <c r="N531" i="1" s="1" a="1"/>
  <c r="N531" i="1" s="1"/>
  <c r="E532" i="1"/>
  <c r="N532" i="1" s="1" a="1"/>
  <c r="N532" i="1" s="1"/>
  <c r="E533" i="1"/>
  <c r="N533" i="1" s="1" a="1"/>
  <c r="N533" i="1" s="1"/>
  <c r="E534" i="1"/>
  <c r="N534" i="1" s="1" a="1"/>
  <c r="N534" i="1" s="1"/>
  <c r="E535" i="1"/>
  <c r="N535" i="1" s="1" a="1"/>
  <c r="N535" i="1" s="1"/>
  <c r="E536" i="1"/>
  <c r="N536" i="1" s="1" a="1"/>
  <c r="N536" i="1" s="1"/>
  <c r="E537" i="1"/>
  <c r="N537" i="1" s="1" a="1"/>
  <c r="N537" i="1" s="1"/>
  <c r="E538" i="1"/>
  <c r="N538" i="1" s="1" a="1"/>
  <c r="N538" i="1" s="1"/>
  <c r="E539" i="1"/>
  <c r="N539" i="1" s="1" a="1"/>
  <c r="N539" i="1" s="1"/>
  <c r="E540" i="1"/>
  <c r="N540" i="1" s="1" a="1"/>
  <c r="N540" i="1" s="1"/>
  <c r="E541" i="1"/>
  <c r="N541" i="1" s="1" a="1"/>
  <c r="N541" i="1" s="1"/>
  <c r="E542" i="1"/>
  <c r="N542" i="1" s="1" a="1"/>
  <c r="N542" i="1" s="1"/>
  <c r="E543" i="1"/>
  <c r="N543" i="1" s="1" a="1"/>
  <c r="N543" i="1" s="1"/>
  <c r="E544" i="1"/>
  <c r="N544" i="1" s="1" a="1"/>
  <c r="N544" i="1" s="1"/>
  <c r="E545" i="1"/>
  <c r="N545" i="1" s="1" a="1"/>
  <c r="N545" i="1" s="1"/>
  <c r="E546" i="1"/>
  <c r="N546" i="1" s="1" a="1"/>
  <c r="N546" i="1" s="1"/>
  <c r="E547" i="1"/>
  <c r="N547" i="1" s="1" a="1"/>
  <c r="N547" i="1" s="1"/>
  <c r="E548" i="1"/>
  <c r="N548" i="1" s="1" a="1"/>
  <c r="N548" i="1" s="1"/>
  <c r="E549" i="1"/>
  <c r="N549" i="1" s="1" a="1"/>
  <c r="N549" i="1" s="1"/>
  <c r="E550" i="1"/>
  <c r="N550" i="1" s="1" a="1"/>
  <c r="N550" i="1" s="1"/>
  <c r="E551" i="1"/>
  <c r="N551" i="1" s="1" a="1"/>
  <c r="N551" i="1" s="1"/>
  <c r="E552" i="1"/>
  <c r="N552" i="1" s="1" a="1"/>
  <c r="N552" i="1" s="1"/>
  <c r="E553" i="1"/>
  <c r="N553" i="1" s="1" a="1"/>
  <c r="N553" i="1" s="1"/>
  <c r="E554" i="1"/>
  <c r="N554" i="1" s="1" a="1"/>
  <c r="N554" i="1" s="1"/>
  <c r="E555" i="1"/>
  <c r="N555" i="1" s="1" a="1"/>
  <c r="N555" i="1" s="1"/>
  <c r="E556" i="1"/>
  <c r="N556" i="1" s="1" a="1"/>
  <c r="N556" i="1" s="1"/>
  <c r="E557" i="1"/>
  <c r="N557" i="1" s="1" a="1"/>
  <c r="N557" i="1" s="1"/>
  <c r="E558" i="1"/>
  <c r="N558" i="1" s="1" a="1"/>
  <c r="N558" i="1" s="1"/>
  <c r="E559" i="1"/>
  <c r="N559" i="1" s="1" a="1"/>
  <c r="N559" i="1" s="1"/>
  <c r="E560" i="1"/>
  <c r="N560" i="1" s="1" a="1"/>
  <c r="N560" i="1" s="1"/>
  <c r="E561" i="1"/>
  <c r="N561" i="1" s="1" a="1"/>
  <c r="N561" i="1" s="1"/>
  <c r="E562" i="1"/>
  <c r="N562" i="1" s="1" a="1"/>
  <c r="N562" i="1" s="1"/>
  <c r="E563" i="1"/>
  <c r="N563" i="1" s="1" a="1"/>
  <c r="N563" i="1" s="1"/>
  <c r="E564" i="1"/>
  <c r="N564" i="1" s="1" a="1"/>
  <c r="N564" i="1" s="1"/>
  <c r="E565" i="1"/>
  <c r="N565" i="1" s="1" a="1"/>
  <c r="N565" i="1" s="1"/>
  <c r="E566" i="1"/>
  <c r="N566" i="1" s="1" a="1"/>
  <c r="N566" i="1" s="1"/>
  <c r="E567" i="1"/>
  <c r="N567" i="1" s="1" a="1"/>
  <c r="N567" i="1" s="1"/>
  <c r="E568" i="1"/>
  <c r="N568" i="1" s="1" a="1"/>
  <c r="N568" i="1" s="1"/>
  <c r="E569" i="1"/>
  <c r="N569" i="1" s="1" a="1"/>
  <c r="N569" i="1" s="1"/>
  <c r="E570" i="1"/>
  <c r="N570" i="1" s="1" a="1"/>
  <c r="N570" i="1" s="1"/>
  <c r="E571" i="1"/>
  <c r="N571" i="1" s="1" a="1"/>
  <c r="N571" i="1" s="1"/>
  <c r="E572" i="1"/>
  <c r="N572" i="1" s="1" a="1"/>
  <c r="N572" i="1" s="1"/>
  <c r="E573" i="1"/>
  <c r="N573" i="1" s="1" a="1"/>
  <c r="N573" i="1" s="1"/>
  <c r="E574" i="1"/>
  <c r="N574" i="1" s="1" a="1"/>
  <c r="N574" i="1" s="1"/>
  <c r="E575" i="1"/>
  <c r="N575" i="1" s="1" a="1"/>
  <c r="N575" i="1" s="1"/>
  <c r="E576" i="1"/>
  <c r="N576" i="1" s="1" a="1"/>
  <c r="N576" i="1" s="1"/>
  <c r="E577" i="1"/>
  <c r="N577" i="1" s="1" a="1"/>
  <c r="N577" i="1" s="1"/>
  <c r="E578" i="1"/>
  <c r="N578" i="1" s="1" a="1"/>
  <c r="N578" i="1" s="1"/>
  <c r="E579" i="1"/>
  <c r="N579" i="1" s="1" a="1"/>
  <c r="N579" i="1" s="1"/>
  <c r="E580" i="1"/>
  <c r="N580" i="1" s="1" a="1"/>
  <c r="N580" i="1" s="1"/>
  <c r="E581" i="1"/>
  <c r="N581" i="1" s="1" a="1"/>
  <c r="N581" i="1" s="1"/>
  <c r="E582" i="1"/>
  <c r="N582" i="1" s="1" a="1"/>
  <c r="N582" i="1" s="1"/>
  <c r="E583" i="1"/>
  <c r="N583" i="1" s="1" a="1"/>
  <c r="N583" i="1" s="1"/>
  <c r="E584" i="1"/>
  <c r="N584" i="1" s="1" a="1"/>
  <c r="N584" i="1" s="1"/>
  <c r="E585" i="1"/>
  <c r="N585" i="1" s="1" a="1"/>
  <c r="N585" i="1" s="1"/>
  <c r="E586" i="1"/>
  <c r="N586" i="1" s="1" a="1"/>
  <c r="N586" i="1" s="1"/>
  <c r="E587" i="1"/>
  <c r="N587" i="1" s="1" a="1"/>
  <c r="N587" i="1" s="1"/>
  <c r="E588" i="1"/>
  <c r="N588" i="1" s="1" a="1"/>
  <c r="N588" i="1" s="1"/>
  <c r="E589" i="1"/>
  <c r="N589" i="1" s="1" a="1"/>
  <c r="N589" i="1" s="1"/>
  <c r="E590" i="1"/>
  <c r="N590" i="1" s="1" a="1"/>
  <c r="N590" i="1" s="1"/>
  <c r="E591" i="1"/>
  <c r="N591" i="1" s="1" a="1"/>
  <c r="N591" i="1" s="1"/>
  <c r="E592" i="1"/>
  <c r="N592" i="1" s="1" a="1"/>
  <c r="N592" i="1" s="1"/>
  <c r="E593" i="1"/>
  <c r="N593" i="1" s="1" a="1"/>
  <c r="N593" i="1" s="1"/>
  <c r="E594" i="1"/>
  <c r="N594" i="1" s="1" a="1"/>
  <c r="N594" i="1" s="1"/>
  <c r="E595" i="1"/>
  <c r="N595" i="1" s="1" a="1"/>
  <c r="N595" i="1" s="1"/>
  <c r="E596" i="1"/>
  <c r="N596" i="1" s="1" a="1"/>
  <c r="N596" i="1" s="1"/>
  <c r="E597" i="1"/>
  <c r="N597" i="1" s="1" a="1"/>
  <c r="N597" i="1" s="1"/>
  <c r="E598" i="1"/>
  <c r="N598" i="1" s="1" a="1"/>
  <c r="N598" i="1" s="1"/>
  <c r="E599" i="1"/>
  <c r="N599" i="1" s="1" a="1"/>
  <c r="N599" i="1" s="1"/>
  <c r="E600" i="1"/>
  <c r="N600" i="1" s="1" a="1"/>
  <c r="N600" i="1" s="1"/>
  <c r="E601" i="1"/>
  <c r="N601" i="1" s="1" a="1"/>
  <c r="N601" i="1" s="1"/>
  <c r="E602" i="1"/>
  <c r="N602" i="1" s="1" a="1"/>
  <c r="N602" i="1" s="1"/>
  <c r="E603" i="1"/>
  <c r="N603" i="1" s="1" a="1"/>
  <c r="N603" i="1" s="1"/>
  <c r="E604" i="1"/>
  <c r="N604" i="1" s="1" a="1"/>
  <c r="N604" i="1" s="1"/>
  <c r="E605" i="1"/>
  <c r="N605" i="1" s="1" a="1"/>
  <c r="N605" i="1" s="1"/>
  <c r="E606" i="1"/>
  <c r="N606" i="1" s="1" a="1"/>
  <c r="N606" i="1" s="1"/>
  <c r="E607" i="1"/>
  <c r="N607" i="1" s="1" a="1"/>
  <c r="N607" i="1" s="1"/>
  <c r="E608" i="1"/>
  <c r="N608" i="1" s="1" a="1"/>
  <c r="N608" i="1" s="1"/>
  <c r="E609" i="1"/>
  <c r="N609" i="1" s="1" a="1"/>
  <c r="N609" i="1" s="1"/>
  <c r="E610" i="1"/>
  <c r="N610" i="1" s="1" a="1"/>
  <c r="N610" i="1" s="1"/>
  <c r="E611" i="1"/>
  <c r="N611" i="1" s="1" a="1"/>
  <c r="N611" i="1" s="1"/>
  <c r="E612" i="1"/>
  <c r="N612" i="1" s="1" a="1"/>
  <c r="N612" i="1" s="1"/>
  <c r="E613" i="1"/>
  <c r="N613" i="1" s="1" a="1"/>
  <c r="N613" i="1" s="1"/>
  <c r="E614" i="1"/>
  <c r="N614" i="1" s="1" a="1"/>
  <c r="N614" i="1" s="1"/>
  <c r="E615" i="1"/>
  <c r="N615" i="1" s="1" a="1"/>
  <c r="N615" i="1" s="1"/>
  <c r="E616" i="1"/>
  <c r="N616" i="1" s="1" a="1"/>
  <c r="N616" i="1" s="1"/>
  <c r="E617" i="1"/>
  <c r="N617" i="1" s="1" a="1"/>
  <c r="N617" i="1" s="1"/>
  <c r="E618" i="1"/>
  <c r="N618" i="1" s="1" a="1"/>
  <c r="N618" i="1" s="1"/>
  <c r="E619" i="1"/>
  <c r="N619" i="1" s="1" a="1"/>
  <c r="N619" i="1" s="1"/>
  <c r="E620" i="1"/>
  <c r="N620" i="1" s="1" a="1"/>
  <c r="N620" i="1" s="1"/>
  <c r="E621" i="1"/>
  <c r="N621" i="1" s="1" a="1"/>
  <c r="N621" i="1" s="1"/>
  <c r="E622" i="1"/>
  <c r="N622" i="1" s="1" a="1"/>
  <c r="N622" i="1" s="1"/>
  <c r="E623" i="1"/>
  <c r="N623" i="1" s="1" a="1"/>
  <c r="N623" i="1" s="1"/>
  <c r="E624" i="1"/>
  <c r="N624" i="1" s="1" a="1"/>
  <c r="N624" i="1" s="1"/>
  <c r="E625" i="1"/>
  <c r="N625" i="1" s="1" a="1"/>
  <c r="N625" i="1" s="1"/>
  <c r="E626" i="1"/>
  <c r="N626" i="1" s="1" a="1"/>
  <c r="N626" i="1" s="1"/>
  <c r="E627" i="1"/>
  <c r="N627" i="1" s="1" a="1"/>
  <c r="N627" i="1" s="1"/>
  <c r="E628" i="1"/>
  <c r="N628" i="1" s="1" a="1"/>
  <c r="N628" i="1" s="1"/>
  <c r="E629" i="1"/>
  <c r="N629" i="1" s="1" a="1"/>
  <c r="N629" i="1" s="1"/>
  <c r="E630" i="1"/>
  <c r="N630" i="1" s="1" a="1"/>
  <c r="N630" i="1" s="1"/>
  <c r="E631" i="1"/>
  <c r="N631" i="1" s="1" a="1"/>
  <c r="N631" i="1" s="1"/>
  <c r="E632" i="1"/>
  <c r="N632" i="1" s="1" a="1"/>
  <c r="N632" i="1" s="1"/>
  <c r="E633" i="1"/>
  <c r="N633" i="1" s="1" a="1"/>
  <c r="N633" i="1" s="1"/>
  <c r="E634" i="1"/>
  <c r="N634" i="1" s="1" a="1"/>
  <c r="N634" i="1" s="1"/>
  <c r="E635" i="1"/>
  <c r="N635" i="1" s="1" a="1"/>
  <c r="N635" i="1" s="1"/>
  <c r="E636" i="1"/>
  <c r="N636" i="1" s="1" a="1"/>
  <c r="N636" i="1" s="1"/>
  <c r="E637" i="1"/>
  <c r="N637" i="1" s="1" a="1"/>
  <c r="N637" i="1" s="1"/>
  <c r="E638" i="1"/>
  <c r="N638" i="1" s="1" a="1"/>
  <c r="N638" i="1" s="1"/>
  <c r="E639" i="1"/>
  <c r="N639" i="1" s="1" a="1"/>
  <c r="N639" i="1" s="1"/>
  <c r="E640" i="1"/>
  <c r="N640" i="1" s="1" a="1"/>
  <c r="N640" i="1" s="1"/>
  <c r="E641" i="1"/>
  <c r="N641" i="1" s="1" a="1"/>
  <c r="N641" i="1" s="1"/>
  <c r="E642" i="1"/>
  <c r="N642" i="1" s="1" a="1"/>
  <c r="N642" i="1" s="1"/>
  <c r="E643" i="1"/>
  <c r="N643" i="1" s="1" a="1"/>
  <c r="N643" i="1" s="1"/>
  <c r="E644" i="1"/>
  <c r="N644" i="1" s="1" a="1"/>
  <c r="N644" i="1" s="1"/>
  <c r="E645" i="1"/>
  <c r="N645" i="1" s="1" a="1"/>
  <c r="N645" i="1" s="1"/>
  <c r="E646" i="1"/>
  <c r="N646" i="1" s="1" a="1"/>
  <c r="N646" i="1" s="1"/>
  <c r="E647" i="1"/>
  <c r="N647" i="1" s="1" a="1"/>
  <c r="N647" i="1" s="1"/>
  <c r="E648" i="1"/>
  <c r="N648" i="1" s="1" a="1"/>
  <c r="N648" i="1" s="1"/>
  <c r="E649" i="1"/>
  <c r="N649" i="1" s="1" a="1"/>
  <c r="N649" i="1" s="1"/>
  <c r="E650" i="1"/>
  <c r="N650" i="1" s="1" a="1"/>
  <c r="N650" i="1" s="1"/>
  <c r="E651" i="1"/>
  <c r="N651" i="1" s="1" a="1"/>
  <c r="N651" i="1" s="1"/>
  <c r="E652" i="1"/>
  <c r="N652" i="1" s="1" a="1"/>
  <c r="N652" i="1" s="1"/>
  <c r="E653" i="1"/>
  <c r="N653" i="1" s="1" a="1"/>
  <c r="N653" i="1" s="1"/>
  <c r="E654" i="1"/>
  <c r="N654" i="1" s="1" a="1"/>
  <c r="N654" i="1" s="1"/>
  <c r="E655" i="1"/>
  <c r="N655" i="1" s="1" a="1"/>
  <c r="N655" i="1" s="1"/>
  <c r="E656" i="1"/>
  <c r="N656" i="1" s="1" a="1"/>
  <c r="N656" i="1" s="1"/>
  <c r="E657" i="1"/>
  <c r="N657" i="1" s="1" a="1"/>
  <c r="N657" i="1" s="1"/>
  <c r="E658" i="1"/>
  <c r="N658" i="1" s="1" a="1"/>
  <c r="N658" i="1" s="1"/>
  <c r="E659" i="1"/>
  <c r="N659" i="1" s="1" a="1"/>
  <c r="N659" i="1" s="1"/>
  <c r="E660" i="1"/>
  <c r="N660" i="1" s="1" a="1"/>
  <c r="N660" i="1" s="1"/>
  <c r="E661" i="1"/>
  <c r="N661" i="1" s="1" a="1"/>
  <c r="N661" i="1" s="1"/>
  <c r="E662" i="1"/>
  <c r="N662" i="1" s="1" a="1"/>
  <c r="N662" i="1" s="1"/>
  <c r="E663" i="1"/>
  <c r="N663" i="1" s="1" a="1"/>
  <c r="N663" i="1" s="1"/>
  <c r="E664" i="1"/>
  <c r="N664" i="1" s="1" a="1"/>
  <c r="N664" i="1" s="1"/>
  <c r="E665" i="1"/>
  <c r="N665" i="1" s="1" a="1"/>
  <c r="N665" i="1" s="1"/>
  <c r="E666" i="1"/>
  <c r="N666" i="1" s="1" a="1"/>
  <c r="N666" i="1" s="1"/>
  <c r="E667" i="1"/>
  <c r="N667" i="1" s="1" a="1"/>
  <c r="N667" i="1" s="1"/>
  <c r="E668" i="1"/>
  <c r="N668" i="1" s="1" a="1"/>
  <c r="N668" i="1" s="1"/>
  <c r="E669" i="1"/>
  <c r="N669" i="1" s="1" a="1"/>
  <c r="N669" i="1" s="1"/>
  <c r="E670" i="1"/>
  <c r="N670" i="1" s="1" a="1"/>
  <c r="N670" i="1" s="1"/>
  <c r="E671" i="1"/>
  <c r="N671" i="1" s="1" a="1"/>
  <c r="N671" i="1" s="1"/>
  <c r="E672" i="1"/>
  <c r="N672" i="1" s="1" a="1"/>
  <c r="N672" i="1" s="1"/>
  <c r="E673" i="1"/>
  <c r="N673" i="1" s="1" a="1"/>
  <c r="N673" i="1" s="1"/>
  <c r="E674" i="1"/>
  <c r="N674" i="1" s="1" a="1"/>
  <c r="N674" i="1" s="1"/>
  <c r="E675" i="1"/>
  <c r="N675" i="1" s="1" a="1"/>
  <c r="N675" i="1" s="1"/>
  <c r="E676" i="1"/>
  <c r="N676" i="1" s="1" a="1"/>
  <c r="N676" i="1" s="1"/>
  <c r="E677" i="1"/>
  <c r="N677" i="1" s="1" a="1"/>
  <c r="N677" i="1" s="1"/>
  <c r="E678" i="1"/>
  <c r="N678" i="1" s="1" a="1"/>
  <c r="N678" i="1" s="1"/>
  <c r="E679" i="1"/>
  <c r="N679" i="1" s="1" a="1"/>
  <c r="N679" i="1" s="1"/>
  <c r="E680" i="1"/>
  <c r="N680" i="1" s="1" a="1"/>
  <c r="N680" i="1" s="1"/>
  <c r="E681" i="1"/>
  <c r="N681" i="1" s="1" a="1"/>
  <c r="N681" i="1" s="1"/>
  <c r="E682" i="1"/>
  <c r="N682" i="1" s="1" a="1"/>
  <c r="N682" i="1" s="1"/>
  <c r="E683" i="1"/>
  <c r="N683" i="1" s="1" a="1"/>
  <c r="N683" i="1" s="1"/>
  <c r="E684" i="1"/>
  <c r="N684" i="1" s="1" a="1"/>
  <c r="N684" i="1" s="1"/>
  <c r="E685" i="1"/>
  <c r="N685" i="1" s="1" a="1"/>
  <c r="N685" i="1" s="1"/>
  <c r="E686" i="1"/>
  <c r="N686" i="1" s="1" a="1"/>
  <c r="N686" i="1" s="1"/>
  <c r="E687" i="1"/>
  <c r="N687" i="1" s="1" a="1"/>
  <c r="N687" i="1" s="1"/>
  <c r="E688" i="1"/>
  <c r="N688" i="1" s="1" a="1"/>
  <c r="N688" i="1" s="1"/>
  <c r="E689" i="1"/>
  <c r="N689" i="1" s="1" a="1"/>
  <c r="N689" i="1" s="1"/>
  <c r="E690" i="1"/>
  <c r="N690" i="1" s="1" a="1"/>
  <c r="N690" i="1" s="1"/>
  <c r="E691" i="1"/>
  <c r="N691" i="1" s="1" a="1"/>
  <c r="N691" i="1" s="1"/>
  <c r="E692" i="1"/>
  <c r="N692" i="1" s="1" a="1"/>
  <c r="N692" i="1" s="1"/>
  <c r="E693" i="1"/>
  <c r="N693" i="1" s="1" a="1"/>
  <c r="N693" i="1" s="1"/>
  <c r="E694" i="1"/>
  <c r="N694" i="1" s="1" a="1"/>
  <c r="N694" i="1" s="1"/>
  <c r="E695" i="1"/>
  <c r="N695" i="1" s="1" a="1"/>
  <c r="N695" i="1" s="1"/>
  <c r="E696" i="1"/>
  <c r="N696" i="1" s="1" a="1"/>
  <c r="N696" i="1" s="1"/>
  <c r="E697" i="1"/>
  <c r="N697" i="1" s="1" a="1"/>
  <c r="N697" i="1" s="1"/>
  <c r="E698" i="1"/>
  <c r="N698" i="1" s="1" a="1"/>
  <c r="N698" i="1" s="1"/>
  <c r="E699" i="1"/>
  <c r="N699" i="1" s="1" a="1"/>
  <c r="N699" i="1" s="1"/>
  <c r="E700" i="1"/>
  <c r="N700" i="1" s="1" a="1"/>
  <c r="N700" i="1" s="1"/>
  <c r="E701" i="1"/>
  <c r="N701" i="1" s="1" a="1"/>
  <c r="N701" i="1" s="1"/>
  <c r="E702" i="1"/>
  <c r="N702" i="1" s="1" a="1"/>
  <c r="N702" i="1" s="1"/>
  <c r="E703" i="1"/>
  <c r="N703" i="1" s="1" a="1"/>
  <c r="N703" i="1" s="1"/>
  <c r="E704" i="1"/>
  <c r="N704" i="1" s="1" a="1"/>
  <c r="N704" i="1" s="1"/>
  <c r="E705" i="1"/>
  <c r="N705" i="1" s="1" a="1"/>
  <c r="N705" i="1" s="1"/>
  <c r="E706" i="1"/>
  <c r="N706" i="1" s="1" a="1"/>
  <c r="N706" i="1" s="1"/>
  <c r="E707" i="1"/>
  <c r="N707" i="1" s="1" a="1"/>
  <c r="N707" i="1" s="1"/>
  <c r="E708" i="1"/>
  <c r="N708" i="1" s="1" a="1"/>
  <c r="N708" i="1" s="1"/>
  <c r="E709" i="1"/>
  <c r="N709" i="1" s="1" a="1"/>
  <c r="N709" i="1" s="1"/>
  <c r="E710" i="1"/>
  <c r="N710" i="1" s="1" a="1"/>
  <c r="N710" i="1" s="1"/>
  <c r="E711" i="1"/>
  <c r="N711" i="1" s="1" a="1"/>
  <c r="N711" i="1" s="1"/>
  <c r="E712" i="1"/>
  <c r="N712" i="1" s="1" a="1"/>
  <c r="N712" i="1" s="1"/>
  <c r="E713" i="1"/>
  <c r="N713" i="1" s="1" a="1"/>
  <c r="N713" i="1" s="1"/>
  <c r="E714" i="1"/>
  <c r="N714" i="1" s="1" a="1"/>
  <c r="N714" i="1" s="1"/>
  <c r="E715" i="1"/>
  <c r="N715" i="1" s="1" a="1"/>
  <c r="N715" i="1" s="1"/>
  <c r="E716" i="1"/>
  <c r="N716" i="1" s="1" a="1"/>
  <c r="N716" i="1" s="1"/>
  <c r="E717" i="1"/>
  <c r="N717" i="1" s="1" a="1"/>
  <c r="N717" i="1" s="1"/>
  <c r="E718" i="1"/>
  <c r="N718" i="1" s="1" a="1"/>
  <c r="N718" i="1" s="1"/>
  <c r="E719" i="1"/>
  <c r="N719" i="1" s="1" a="1"/>
  <c r="N719" i="1" s="1"/>
  <c r="E720" i="1"/>
  <c r="N720" i="1" s="1" a="1"/>
  <c r="N720" i="1" s="1"/>
  <c r="E721" i="1"/>
  <c r="N721" i="1" s="1" a="1"/>
  <c r="N721" i="1" s="1"/>
  <c r="E722" i="1"/>
  <c r="N722" i="1" s="1" a="1"/>
  <c r="N722" i="1" s="1"/>
  <c r="E723" i="1"/>
  <c r="N723" i="1" s="1" a="1"/>
  <c r="N723" i="1" s="1"/>
  <c r="E724" i="1"/>
  <c r="N724" i="1" s="1" a="1"/>
  <c r="N724" i="1" s="1"/>
  <c r="E725" i="1"/>
  <c r="N725" i="1" s="1" a="1"/>
  <c r="N725" i="1" s="1"/>
  <c r="E726" i="1"/>
  <c r="N726" i="1" s="1" a="1"/>
  <c r="N726" i="1" s="1"/>
  <c r="E727" i="1"/>
  <c r="N727" i="1" s="1" a="1"/>
  <c r="N727" i="1" s="1"/>
  <c r="E728" i="1"/>
  <c r="N728" i="1" s="1" a="1"/>
  <c r="N728" i="1" s="1"/>
  <c r="E729" i="1"/>
  <c r="N729" i="1" s="1" a="1"/>
  <c r="N729" i="1" s="1"/>
  <c r="E730" i="1"/>
  <c r="N730" i="1" s="1" a="1"/>
  <c r="N730" i="1" s="1"/>
  <c r="E731" i="1"/>
  <c r="N731" i="1" s="1" a="1"/>
  <c r="N731" i="1" s="1"/>
  <c r="E732" i="1"/>
  <c r="N732" i="1" s="1" a="1"/>
  <c r="N732" i="1" s="1"/>
  <c r="E733" i="1"/>
  <c r="N733" i="1" s="1" a="1"/>
  <c r="N733" i="1" s="1"/>
  <c r="E734" i="1"/>
  <c r="N734" i="1" s="1" a="1"/>
  <c r="N734" i="1" s="1"/>
  <c r="E735" i="1"/>
  <c r="N735" i="1" s="1" a="1"/>
  <c r="N735" i="1" s="1"/>
  <c r="E736" i="1"/>
  <c r="N736" i="1" s="1" a="1"/>
  <c r="N736" i="1" s="1"/>
  <c r="E737" i="1"/>
  <c r="N737" i="1" s="1" a="1"/>
  <c r="N737" i="1" s="1"/>
  <c r="E738" i="1"/>
  <c r="N738" i="1" s="1" a="1"/>
  <c r="N738" i="1" s="1"/>
  <c r="E739" i="1"/>
  <c r="N739" i="1" s="1" a="1"/>
  <c r="N739" i="1" s="1"/>
  <c r="E740" i="1"/>
  <c r="N740" i="1" s="1" a="1"/>
  <c r="N740" i="1" s="1"/>
  <c r="E741" i="1"/>
  <c r="N741" i="1" s="1" a="1"/>
  <c r="N741" i="1" s="1"/>
  <c r="E742" i="1"/>
  <c r="N742" i="1" s="1" a="1"/>
  <c r="N742" i="1" s="1"/>
  <c r="E743" i="1"/>
  <c r="N743" i="1" s="1" a="1"/>
  <c r="N743" i="1" s="1"/>
  <c r="E744" i="1"/>
  <c r="N744" i="1" s="1" a="1"/>
  <c r="N744" i="1" s="1"/>
  <c r="E745" i="1"/>
  <c r="N745" i="1" s="1" a="1"/>
  <c r="N745" i="1" s="1"/>
  <c r="E746" i="1"/>
  <c r="N746" i="1" s="1" a="1"/>
  <c r="N746" i="1" s="1"/>
  <c r="E747" i="1"/>
  <c r="N747" i="1" s="1" a="1"/>
  <c r="N747" i="1" s="1"/>
  <c r="E748" i="1"/>
  <c r="N748" i="1" s="1" a="1"/>
  <c r="N748" i="1" s="1"/>
  <c r="E749" i="1"/>
  <c r="N749" i="1" s="1" a="1"/>
  <c r="N749" i="1" s="1"/>
  <c r="E750" i="1"/>
  <c r="N750" i="1" s="1" a="1"/>
  <c r="N750" i="1" s="1"/>
  <c r="E751" i="1"/>
  <c r="N751" i="1" s="1" a="1"/>
  <c r="N751" i="1" s="1"/>
  <c r="E752" i="1"/>
  <c r="N752" i="1" s="1" a="1"/>
  <c r="N752" i="1" s="1"/>
  <c r="E753" i="1"/>
  <c r="N753" i="1" s="1" a="1"/>
  <c r="N753" i="1" s="1"/>
  <c r="E754" i="1"/>
  <c r="N754" i="1" s="1" a="1"/>
  <c r="N754" i="1" s="1"/>
  <c r="E755" i="1"/>
  <c r="N755" i="1" s="1" a="1"/>
  <c r="N755" i="1" s="1"/>
  <c r="E756" i="1"/>
  <c r="N756" i="1" s="1" a="1"/>
  <c r="N756" i="1" s="1"/>
  <c r="E757" i="1"/>
  <c r="N757" i="1" s="1" a="1"/>
  <c r="N757" i="1" s="1"/>
  <c r="E758" i="1"/>
  <c r="N758" i="1" s="1" a="1"/>
  <c r="N758" i="1" s="1"/>
  <c r="E759" i="1"/>
  <c r="N759" i="1" s="1" a="1"/>
  <c r="N759" i="1" s="1"/>
  <c r="E760" i="1"/>
  <c r="N760" i="1" s="1" a="1"/>
  <c r="N760" i="1" s="1"/>
  <c r="E761" i="1"/>
  <c r="N761" i="1" s="1" a="1"/>
  <c r="N761" i="1" s="1"/>
  <c r="E762" i="1"/>
  <c r="N762" i="1" s="1" a="1"/>
  <c r="N762" i="1" s="1"/>
  <c r="E763" i="1"/>
  <c r="N763" i="1" s="1" a="1"/>
  <c r="N763" i="1" s="1"/>
  <c r="E764" i="1"/>
  <c r="N764" i="1" s="1" a="1"/>
  <c r="N764" i="1" s="1"/>
  <c r="E765" i="1"/>
  <c r="N765" i="1" s="1" a="1"/>
  <c r="N765" i="1" s="1"/>
  <c r="E766" i="1"/>
  <c r="N766" i="1" s="1" a="1"/>
  <c r="N766" i="1" s="1"/>
  <c r="E767" i="1"/>
  <c r="N767" i="1" s="1" a="1"/>
  <c r="N767" i="1" s="1"/>
  <c r="E768" i="1"/>
  <c r="N768" i="1" s="1" a="1"/>
  <c r="N768" i="1" s="1"/>
  <c r="E769" i="1"/>
  <c r="N769" i="1" s="1" a="1"/>
  <c r="N769" i="1" s="1"/>
  <c r="E770" i="1"/>
  <c r="N770" i="1" s="1" a="1"/>
  <c r="N770" i="1" s="1"/>
  <c r="E771" i="1"/>
  <c r="N771" i="1" s="1" a="1"/>
  <c r="N771" i="1" s="1"/>
  <c r="E772" i="1"/>
  <c r="N772" i="1" s="1" a="1"/>
  <c r="N772" i="1" s="1"/>
  <c r="E773" i="1"/>
  <c r="N773" i="1" s="1" a="1"/>
  <c r="N773" i="1" s="1"/>
  <c r="E774" i="1"/>
  <c r="N774" i="1" s="1" a="1"/>
  <c r="N774" i="1" s="1"/>
  <c r="E775" i="1"/>
  <c r="N775" i="1" s="1" a="1"/>
  <c r="N775" i="1" s="1"/>
  <c r="E776" i="1"/>
  <c r="N776" i="1" s="1" a="1"/>
  <c r="N776" i="1" s="1"/>
  <c r="E777" i="1"/>
  <c r="N777" i="1" s="1" a="1"/>
  <c r="N777" i="1" s="1"/>
  <c r="E778" i="1"/>
  <c r="N778" i="1" s="1" a="1"/>
  <c r="N778" i="1" s="1"/>
  <c r="E779" i="1"/>
  <c r="N779" i="1" s="1" a="1"/>
  <c r="N779" i="1" s="1"/>
  <c r="E780" i="1"/>
  <c r="N780" i="1" s="1" a="1"/>
  <c r="N780" i="1" s="1"/>
  <c r="E781" i="1"/>
  <c r="N781" i="1" s="1" a="1"/>
  <c r="N781" i="1" s="1"/>
  <c r="E782" i="1"/>
  <c r="N782" i="1" s="1" a="1"/>
  <c r="N782" i="1" s="1"/>
  <c r="E783" i="1"/>
  <c r="N783" i="1" s="1" a="1"/>
  <c r="N783" i="1" s="1"/>
  <c r="E784" i="1"/>
  <c r="N784" i="1" s="1" a="1"/>
  <c r="N784" i="1" s="1"/>
  <c r="E785" i="1"/>
  <c r="N785" i="1" s="1" a="1"/>
  <c r="N785" i="1" s="1"/>
  <c r="E786" i="1"/>
  <c r="N786" i="1" s="1" a="1"/>
  <c r="N786" i="1" s="1"/>
  <c r="E787" i="1"/>
  <c r="N787" i="1" s="1" a="1"/>
  <c r="N787" i="1" s="1"/>
  <c r="E788" i="1"/>
  <c r="N788" i="1" s="1" a="1"/>
  <c r="N788" i="1" s="1"/>
  <c r="E789" i="1"/>
  <c r="N789" i="1" s="1" a="1"/>
  <c r="N789" i="1" s="1"/>
  <c r="E790" i="1"/>
  <c r="N790" i="1" s="1" a="1"/>
  <c r="N790" i="1" s="1"/>
  <c r="E791" i="1"/>
  <c r="N791" i="1" s="1" a="1"/>
  <c r="N791" i="1" s="1"/>
  <c r="E792" i="1"/>
  <c r="N792" i="1" s="1" a="1"/>
  <c r="N792" i="1" s="1"/>
  <c r="E793" i="1"/>
  <c r="N793" i="1" s="1" a="1"/>
  <c r="N793" i="1" s="1"/>
  <c r="E794" i="1"/>
  <c r="N794" i="1" s="1" a="1"/>
  <c r="N794" i="1" s="1"/>
  <c r="E795" i="1"/>
  <c r="N795" i="1" s="1" a="1"/>
  <c r="N795" i="1" s="1"/>
  <c r="E796" i="1"/>
  <c r="N796" i="1" s="1" a="1"/>
  <c r="N796" i="1" s="1"/>
  <c r="E797" i="1"/>
  <c r="N797" i="1" s="1" a="1"/>
  <c r="N797" i="1" s="1"/>
  <c r="E798" i="1"/>
  <c r="N798" i="1" s="1" a="1"/>
  <c r="N798" i="1" s="1"/>
  <c r="E799" i="1"/>
  <c r="N799" i="1" s="1" a="1"/>
  <c r="N799" i="1" s="1"/>
  <c r="E800" i="1"/>
  <c r="N800" i="1" s="1" a="1"/>
  <c r="N800" i="1" s="1"/>
  <c r="E801" i="1"/>
  <c r="N801" i="1" s="1" a="1"/>
  <c r="N801" i="1" s="1"/>
  <c r="E802" i="1"/>
  <c r="N802" i="1" s="1" a="1"/>
  <c r="N802" i="1" s="1"/>
  <c r="E803" i="1"/>
  <c r="N803" i="1" s="1" a="1"/>
  <c r="N803" i="1" s="1"/>
  <c r="E804" i="1"/>
  <c r="N804" i="1" s="1" a="1"/>
  <c r="N804" i="1" s="1"/>
  <c r="E805" i="1"/>
  <c r="N805" i="1" s="1" a="1"/>
  <c r="N805" i="1" s="1"/>
  <c r="E806" i="1"/>
  <c r="N806" i="1" s="1" a="1"/>
  <c r="N806" i="1" s="1"/>
  <c r="E807" i="1"/>
  <c r="N807" i="1" s="1" a="1"/>
  <c r="N807" i="1" s="1"/>
  <c r="E808" i="1"/>
  <c r="N808" i="1" s="1" a="1"/>
  <c r="N808" i="1" s="1"/>
  <c r="E809" i="1"/>
  <c r="N809" i="1" s="1" a="1"/>
  <c r="N809" i="1" s="1"/>
  <c r="E810" i="1"/>
  <c r="N810" i="1" s="1" a="1"/>
  <c r="N810" i="1" s="1"/>
  <c r="E811" i="1"/>
  <c r="N811" i="1" s="1" a="1"/>
  <c r="N811" i="1" s="1"/>
  <c r="E812" i="1"/>
  <c r="N812" i="1" s="1" a="1"/>
  <c r="N812" i="1" s="1"/>
  <c r="E813" i="1"/>
  <c r="N813" i="1" s="1" a="1"/>
  <c r="N813" i="1" s="1"/>
  <c r="E814" i="1"/>
  <c r="N814" i="1" s="1" a="1"/>
  <c r="N814" i="1" s="1"/>
  <c r="E815" i="1"/>
  <c r="N815" i="1" s="1" a="1"/>
  <c r="N815" i="1" s="1"/>
  <c r="E816" i="1"/>
  <c r="N816" i="1" s="1" a="1"/>
  <c r="N816" i="1" s="1"/>
  <c r="E817" i="1"/>
  <c r="N817" i="1" s="1" a="1"/>
  <c r="N817" i="1" s="1"/>
  <c r="E818" i="1"/>
  <c r="N818" i="1" s="1" a="1"/>
  <c r="N818" i="1" s="1"/>
  <c r="E819" i="1"/>
  <c r="N819" i="1" s="1" a="1"/>
  <c r="N819" i="1" s="1"/>
  <c r="E820" i="1"/>
  <c r="N820" i="1" s="1" a="1"/>
  <c r="N820" i="1" s="1"/>
  <c r="E821" i="1"/>
  <c r="N821" i="1" s="1" a="1"/>
  <c r="N821" i="1" s="1"/>
  <c r="E822" i="1"/>
  <c r="N822" i="1" s="1" a="1"/>
  <c r="N822" i="1" s="1"/>
  <c r="E823" i="1"/>
  <c r="N823" i="1" s="1" a="1"/>
  <c r="N823" i="1" s="1"/>
  <c r="E824" i="1"/>
  <c r="N824" i="1" s="1" a="1"/>
  <c r="N824" i="1" s="1"/>
  <c r="E825" i="1"/>
  <c r="N825" i="1" s="1" a="1"/>
  <c r="N825" i="1" s="1"/>
  <c r="E826" i="1"/>
  <c r="N826" i="1" s="1" a="1"/>
  <c r="N826" i="1" s="1"/>
  <c r="E827" i="1"/>
  <c r="N827" i="1" s="1" a="1"/>
  <c r="N827" i="1" s="1"/>
  <c r="E828" i="1"/>
  <c r="N828" i="1" s="1" a="1"/>
  <c r="N828" i="1" s="1"/>
  <c r="E829" i="1"/>
  <c r="N829" i="1" s="1" a="1"/>
  <c r="N829" i="1" s="1"/>
  <c r="E830" i="1"/>
  <c r="N830" i="1" s="1" a="1"/>
  <c r="N830" i="1" s="1"/>
  <c r="E831" i="1"/>
  <c r="N831" i="1" s="1" a="1"/>
  <c r="N831" i="1" s="1"/>
  <c r="E832" i="1"/>
  <c r="N832" i="1" s="1" a="1"/>
  <c r="N832" i="1" s="1"/>
  <c r="E833" i="1"/>
  <c r="N833" i="1" s="1" a="1"/>
  <c r="N833" i="1" s="1"/>
  <c r="E834" i="1"/>
  <c r="N834" i="1" s="1" a="1"/>
  <c r="N834" i="1" s="1"/>
  <c r="E835" i="1"/>
  <c r="N835" i="1" s="1" a="1"/>
  <c r="N835" i="1" s="1"/>
  <c r="E836" i="1"/>
  <c r="N836" i="1" s="1" a="1"/>
  <c r="N836" i="1" s="1"/>
  <c r="E837" i="1"/>
  <c r="N837" i="1" s="1" a="1"/>
  <c r="N837" i="1" s="1"/>
  <c r="E838" i="1"/>
  <c r="N838" i="1" s="1" a="1"/>
  <c r="N838" i="1" s="1"/>
  <c r="E839" i="1"/>
  <c r="N839" i="1" s="1" a="1"/>
  <c r="N839" i="1" s="1"/>
  <c r="E840" i="1"/>
  <c r="N840" i="1" s="1" a="1"/>
  <c r="N840" i="1" s="1"/>
  <c r="E841" i="1"/>
  <c r="N841" i="1" s="1" a="1"/>
  <c r="N841" i="1" s="1"/>
  <c r="E842" i="1"/>
  <c r="N842" i="1" s="1" a="1"/>
  <c r="N842" i="1" s="1"/>
  <c r="E843" i="1"/>
  <c r="N843" i="1" s="1" a="1"/>
  <c r="N843" i="1" s="1"/>
  <c r="E844" i="1"/>
  <c r="N844" i="1" s="1" a="1"/>
  <c r="N844" i="1" s="1"/>
  <c r="E845" i="1"/>
  <c r="N845" i="1" s="1" a="1"/>
  <c r="N845" i="1" s="1"/>
  <c r="E846" i="1"/>
  <c r="N846" i="1" s="1" a="1"/>
  <c r="N846" i="1" s="1"/>
  <c r="E847" i="1"/>
  <c r="N847" i="1" s="1" a="1"/>
  <c r="N847" i="1" s="1"/>
  <c r="E848" i="1"/>
  <c r="N848" i="1" s="1" a="1"/>
  <c r="N848" i="1" s="1"/>
  <c r="E849" i="1"/>
  <c r="N849" i="1" s="1" a="1"/>
  <c r="N849" i="1" s="1"/>
  <c r="E850" i="1"/>
  <c r="N850" i="1" s="1" a="1"/>
  <c r="N850" i="1" s="1"/>
  <c r="E851" i="1"/>
  <c r="N851" i="1" s="1" a="1"/>
  <c r="N851" i="1" s="1"/>
  <c r="E852" i="1"/>
  <c r="N852" i="1" s="1" a="1"/>
  <c r="N852" i="1" s="1"/>
  <c r="E853" i="1"/>
  <c r="N853" i="1" s="1" a="1"/>
  <c r="N853" i="1" s="1"/>
  <c r="E854" i="1"/>
  <c r="N854" i="1" s="1" a="1"/>
  <c r="N854" i="1" s="1"/>
  <c r="E855" i="1"/>
  <c r="N855" i="1" s="1" a="1"/>
  <c r="N855" i="1" s="1"/>
  <c r="E856" i="1"/>
  <c r="N856" i="1" s="1" a="1"/>
  <c r="N856" i="1" s="1"/>
  <c r="E857" i="1"/>
  <c r="N857" i="1" s="1" a="1"/>
  <c r="N857" i="1" s="1"/>
  <c r="E858" i="1"/>
  <c r="N858" i="1" s="1" a="1"/>
  <c r="N858" i="1" s="1"/>
  <c r="E859" i="1"/>
  <c r="N859" i="1" s="1" a="1"/>
  <c r="N859" i="1" s="1"/>
  <c r="E860" i="1"/>
  <c r="N860" i="1" s="1" a="1"/>
  <c r="N860" i="1" s="1"/>
  <c r="E861" i="1"/>
  <c r="N861" i="1" s="1" a="1"/>
  <c r="N861" i="1" s="1"/>
  <c r="E862" i="1"/>
  <c r="N862" i="1" s="1" a="1"/>
  <c r="N862" i="1" s="1"/>
  <c r="E863" i="1"/>
  <c r="N863" i="1" s="1" a="1"/>
  <c r="N863" i="1" s="1"/>
  <c r="E864" i="1"/>
  <c r="N864" i="1" s="1" a="1"/>
  <c r="N864" i="1" s="1"/>
  <c r="E865" i="1"/>
  <c r="N865" i="1" s="1" a="1"/>
  <c r="N865" i="1" s="1"/>
  <c r="E866" i="1"/>
  <c r="N866" i="1" s="1" a="1"/>
  <c r="N866" i="1" s="1"/>
  <c r="E867" i="1"/>
  <c r="N867" i="1" s="1" a="1"/>
  <c r="N867" i="1" s="1"/>
  <c r="E868" i="1"/>
  <c r="N868" i="1" s="1" a="1"/>
  <c r="N868" i="1" s="1"/>
  <c r="E869" i="1"/>
  <c r="N869" i="1" s="1" a="1"/>
  <c r="N869" i="1" s="1"/>
  <c r="E870" i="1"/>
  <c r="N870" i="1" s="1" a="1"/>
  <c r="N870" i="1" s="1"/>
  <c r="E871" i="1"/>
  <c r="N871" i="1" s="1" a="1"/>
  <c r="N871" i="1" s="1"/>
  <c r="E872" i="1"/>
  <c r="N872" i="1" s="1" a="1"/>
  <c r="N872" i="1" s="1"/>
  <c r="E873" i="1"/>
  <c r="N873" i="1" s="1" a="1"/>
  <c r="N873" i="1" s="1"/>
  <c r="E874" i="1"/>
  <c r="N874" i="1" s="1" a="1"/>
  <c r="N874" i="1" s="1"/>
  <c r="E875" i="1"/>
  <c r="N875" i="1" s="1" a="1"/>
  <c r="N875" i="1" s="1"/>
  <c r="E876" i="1"/>
  <c r="N876" i="1" s="1" a="1"/>
  <c r="N876" i="1" s="1"/>
  <c r="E877" i="1"/>
  <c r="N877" i="1" s="1" a="1"/>
  <c r="N877" i="1" s="1"/>
  <c r="E878" i="1"/>
  <c r="N878" i="1" s="1" a="1"/>
  <c r="N878" i="1" s="1"/>
  <c r="E879" i="1"/>
  <c r="N879" i="1" s="1" a="1"/>
  <c r="N879" i="1" s="1"/>
  <c r="E880" i="1"/>
  <c r="N880" i="1" s="1" a="1"/>
  <c r="N880" i="1" s="1"/>
  <c r="E881" i="1"/>
  <c r="N881" i="1" s="1" a="1"/>
  <c r="N881" i="1" s="1"/>
  <c r="E882" i="1"/>
  <c r="N882" i="1" s="1" a="1"/>
  <c r="N882" i="1" s="1"/>
  <c r="E883" i="1"/>
  <c r="N883" i="1" s="1" a="1"/>
  <c r="N883" i="1" s="1"/>
  <c r="E884" i="1"/>
  <c r="N884" i="1" s="1" a="1"/>
  <c r="N884" i="1" s="1"/>
  <c r="E885" i="1"/>
  <c r="N885" i="1" s="1" a="1"/>
  <c r="N885" i="1" s="1"/>
  <c r="E886" i="1"/>
  <c r="N886" i="1" s="1" a="1"/>
  <c r="N886" i="1" s="1"/>
  <c r="E887" i="1"/>
  <c r="N887" i="1" s="1" a="1"/>
  <c r="N887" i="1" s="1"/>
  <c r="E888" i="1"/>
  <c r="N888" i="1" s="1" a="1"/>
  <c r="N888" i="1" s="1"/>
  <c r="E889" i="1"/>
  <c r="N889" i="1" s="1" a="1"/>
  <c r="N889" i="1" s="1"/>
  <c r="E890" i="1"/>
  <c r="N890" i="1" s="1" a="1"/>
  <c r="N890" i="1" s="1"/>
  <c r="E891" i="1"/>
  <c r="N891" i="1" s="1" a="1"/>
  <c r="N891" i="1" s="1"/>
  <c r="E892" i="1"/>
  <c r="N892" i="1" s="1" a="1"/>
  <c r="N892" i="1" s="1"/>
  <c r="E893" i="1"/>
  <c r="N893" i="1" s="1" a="1"/>
  <c r="N893" i="1" s="1"/>
  <c r="E894" i="1"/>
  <c r="N894" i="1" s="1" a="1"/>
  <c r="N894" i="1" s="1"/>
  <c r="E895" i="1"/>
  <c r="N895" i="1" s="1" a="1"/>
  <c r="N895" i="1" s="1"/>
  <c r="E896" i="1"/>
  <c r="N896" i="1" s="1" a="1"/>
  <c r="N896" i="1" s="1"/>
  <c r="E897" i="1"/>
  <c r="N897" i="1" s="1" a="1"/>
  <c r="N897" i="1" s="1"/>
  <c r="E898" i="1"/>
  <c r="N898" i="1" s="1" a="1"/>
  <c r="N898" i="1" s="1"/>
  <c r="E899" i="1"/>
  <c r="N899" i="1" s="1" a="1"/>
  <c r="N899" i="1" s="1"/>
  <c r="E900" i="1"/>
  <c r="N900" i="1" s="1" a="1"/>
  <c r="N900" i="1" s="1"/>
  <c r="E901" i="1"/>
  <c r="N901" i="1" s="1" a="1"/>
  <c r="N901" i="1" s="1"/>
  <c r="E902" i="1"/>
  <c r="N902" i="1" s="1" a="1"/>
  <c r="N902" i="1" s="1"/>
  <c r="E903" i="1"/>
  <c r="N903" i="1" s="1" a="1"/>
  <c r="N903" i="1" s="1"/>
  <c r="E904" i="1"/>
  <c r="N904" i="1" s="1" a="1"/>
  <c r="N904" i="1" s="1"/>
  <c r="E905" i="1"/>
  <c r="N905" i="1" s="1" a="1"/>
  <c r="N905" i="1" s="1"/>
  <c r="E906" i="1"/>
  <c r="N906" i="1" s="1" a="1"/>
  <c r="N906" i="1" s="1"/>
  <c r="E907" i="1"/>
  <c r="N907" i="1" s="1" a="1"/>
  <c r="N907" i="1" s="1"/>
  <c r="E908" i="1"/>
  <c r="N908" i="1" s="1" a="1"/>
  <c r="N908" i="1" s="1"/>
  <c r="E909" i="1"/>
  <c r="N909" i="1" s="1" a="1"/>
  <c r="N909" i="1" s="1"/>
  <c r="E910" i="1"/>
  <c r="N910" i="1" s="1" a="1"/>
  <c r="N910" i="1" s="1"/>
  <c r="E911" i="1"/>
  <c r="N911" i="1" s="1" a="1"/>
  <c r="N911" i="1" s="1"/>
  <c r="E912" i="1"/>
  <c r="N912" i="1" s="1" a="1"/>
  <c r="N912" i="1" s="1"/>
  <c r="E913" i="1"/>
  <c r="N913" i="1" s="1" a="1"/>
  <c r="N913" i="1" s="1"/>
  <c r="E914" i="1"/>
  <c r="N914" i="1" s="1" a="1"/>
  <c r="N914" i="1" s="1"/>
  <c r="E915" i="1"/>
  <c r="N915" i="1" s="1" a="1"/>
  <c r="N915" i="1" s="1"/>
  <c r="E916" i="1"/>
  <c r="N916" i="1" s="1" a="1"/>
  <c r="N916" i="1" s="1"/>
  <c r="E917" i="1"/>
  <c r="N917" i="1" s="1" a="1"/>
  <c r="N917" i="1" s="1"/>
  <c r="E918" i="1"/>
  <c r="N918" i="1" s="1" a="1"/>
  <c r="N918" i="1" s="1"/>
  <c r="E919" i="1"/>
  <c r="N919" i="1" s="1" a="1"/>
  <c r="N919" i="1" s="1"/>
  <c r="E920" i="1"/>
  <c r="N920" i="1" s="1" a="1"/>
  <c r="N920" i="1" s="1"/>
  <c r="E921" i="1"/>
  <c r="N921" i="1" s="1" a="1"/>
  <c r="N921" i="1" s="1"/>
  <c r="E922" i="1"/>
  <c r="N922" i="1" s="1" a="1"/>
  <c r="N922" i="1" s="1"/>
  <c r="E923" i="1"/>
  <c r="N923" i="1" s="1" a="1"/>
  <c r="N923" i="1" s="1"/>
  <c r="E924" i="1"/>
  <c r="N924" i="1" s="1" a="1"/>
  <c r="N924" i="1" s="1"/>
  <c r="E925" i="1"/>
  <c r="N925" i="1" s="1" a="1"/>
  <c r="N925" i="1" s="1"/>
  <c r="E926" i="1"/>
  <c r="N926" i="1" s="1" a="1"/>
  <c r="N926" i="1" s="1"/>
  <c r="E927" i="1"/>
  <c r="N927" i="1" s="1" a="1"/>
  <c r="N927" i="1" s="1"/>
  <c r="E928" i="1"/>
  <c r="N928" i="1" s="1" a="1"/>
  <c r="N928" i="1" s="1"/>
  <c r="E929" i="1"/>
  <c r="N929" i="1" s="1" a="1"/>
  <c r="N929" i="1" s="1"/>
  <c r="E930" i="1"/>
  <c r="N930" i="1" s="1" a="1"/>
  <c r="N930" i="1" s="1"/>
  <c r="E931" i="1"/>
  <c r="N931" i="1" s="1" a="1"/>
  <c r="N931" i="1" s="1"/>
  <c r="E932" i="1"/>
  <c r="N932" i="1" s="1" a="1"/>
  <c r="N932" i="1" s="1"/>
  <c r="E933" i="1"/>
  <c r="N933" i="1" s="1" a="1"/>
  <c r="N933" i="1" s="1"/>
  <c r="E934" i="1"/>
  <c r="N934" i="1" s="1" a="1"/>
  <c r="N934" i="1" s="1"/>
  <c r="E935" i="1"/>
  <c r="N935" i="1" s="1" a="1"/>
  <c r="N935" i="1" s="1"/>
  <c r="E936" i="1"/>
  <c r="N936" i="1" s="1" a="1"/>
  <c r="N936" i="1" s="1"/>
  <c r="E937" i="1"/>
  <c r="N937" i="1" s="1" a="1"/>
  <c r="N937" i="1" s="1"/>
  <c r="E938" i="1"/>
  <c r="N938" i="1" s="1" a="1"/>
  <c r="N938" i="1" s="1"/>
  <c r="E939" i="1"/>
  <c r="N939" i="1" s="1" a="1"/>
  <c r="N939" i="1" s="1"/>
  <c r="E940" i="1"/>
  <c r="N940" i="1" s="1" a="1"/>
  <c r="N940" i="1" s="1"/>
  <c r="E941" i="1"/>
  <c r="N941" i="1" s="1" a="1"/>
  <c r="N941" i="1" s="1"/>
  <c r="E942" i="1"/>
  <c r="N942" i="1" s="1" a="1"/>
  <c r="N942" i="1" s="1"/>
  <c r="E943" i="1"/>
  <c r="N943" i="1" s="1" a="1"/>
  <c r="N943" i="1" s="1"/>
  <c r="E944" i="1"/>
  <c r="N944" i="1" s="1" a="1"/>
  <c r="N944" i="1" s="1"/>
  <c r="E945" i="1"/>
  <c r="N945" i="1" s="1" a="1"/>
  <c r="N945" i="1" s="1"/>
  <c r="E946" i="1"/>
  <c r="N946" i="1" s="1" a="1"/>
  <c r="N946" i="1" s="1"/>
  <c r="E947" i="1"/>
  <c r="N947" i="1" s="1" a="1"/>
  <c r="N947" i="1" s="1"/>
  <c r="E948" i="1"/>
  <c r="N948" i="1" s="1" a="1"/>
  <c r="N948" i="1" s="1"/>
  <c r="E949" i="1"/>
  <c r="N949" i="1" s="1" a="1"/>
  <c r="N949" i="1" s="1"/>
  <c r="E950" i="1"/>
  <c r="N950" i="1" s="1" a="1"/>
  <c r="N950" i="1" s="1"/>
  <c r="E951" i="1"/>
  <c r="N951" i="1" s="1" a="1"/>
  <c r="N951" i="1" s="1"/>
  <c r="E952" i="1"/>
  <c r="N952" i="1" s="1" a="1"/>
  <c r="N952" i="1" s="1"/>
  <c r="E953" i="1"/>
  <c r="N953" i="1" s="1" a="1"/>
  <c r="N953" i="1" s="1"/>
  <c r="E954" i="1"/>
  <c r="N954" i="1" s="1" a="1"/>
  <c r="N954" i="1" s="1"/>
  <c r="E955" i="1"/>
  <c r="N955" i="1" s="1" a="1"/>
  <c r="N955" i="1" s="1"/>
  <c r="E956" i="1"/>
  <c r="N956" i="1" s="1" a="1"/>
  <c r="N956" i="1" s="1"/>
  <c r="E957" i="1"/>
  <c r="N957" i="1" s="1" a="1"/>
  <c r="N957" i="1" s="1"/>
  <c r="E958" i="1"/>
  <c r="N958" i="1" s="1" a="1"/>
  <c r="N958" i="1" s="1"/>
  <c r="E959" i="1"/>
  <c r="N959" i="1" s="1" a="1"/>
  <c r="N959" i="1" s="1"/>
  <c r="E960" i="1"/>
  <c r="N960" i="1" s="1" a="1"/>
  <c r="N960" i="1" s="1"/>
  <c r="E961" i="1"/>
  <c r="N961" i="1" s="1" a="1"/>
  <c r="N961" i="1" s="1"/>
  <c r="E962" i="1"/>
  <c r="N962" i="1" s="1" a="1"/>
  <c r="N962" i="1" s="1"/>
  <c r="E963" i="1"/>
  <c r="N963" i="1" s="1" a="1"/>
  <c r="N963" i="1" s="1"/>
  <c r="E964" i="1"/>
  <c r="N964" i="1" s="1" a="1"/>
  <c r="N964" i="1" s="1"/>
  <c r="E965" i="1"/>
  <c r="N965" i="1" s="1" a="1"/>
  <c r="N965" i="1" s="1"/>
  <c r="E966" i="1"/>
  <c r="N966" i="1" s="1" a="1"/>
  <c r="N966" i="1" s="1"/>
  <c r="E967" i="1"/>
  <c r="N967" i="1" s="1" a="1"/>
  <c r="N967" i="1" s="1"/>
  <c r="E968" i="1"/>
  <c r="N968" i="1" s="1" a="1"/>
  <c r="N968" i="1" s="1"/>
  <c r="E969" i="1"/>
  <c r="N969" i="1" s="1" a="1"/>
  <c r="N969" i="1" s="1"/>
  <c r="E970" i="1"/>
  <c r="N970" i="1" s="1" a="1"/>
  <c r="N970" i="1" s="1"/>
  <c r="E971" i="1"/>
  <c r="N971" i="1" s="1" a="1"/>
  <c r="N971" i="1" s="1"/>
  <c r="E972" i="1"/>
  <c r="N972" i="1" s="1" a="1"/>
  <c r="N972" i="1" s="1"/>
  <c r="E973" i="1"/>
  <c r="N973" i="1" s="1" a="1"/>
  <c r="N973" i="1" s="1"/>
  <c r="E974" i="1"/>
  <c r="N974" i="1" s="1" a="1"/>
  <c r="N974" i="1" s="1"/>
  <c r="E975" i="1"/>
  <c r="N975" i="1" s="1" a="1"/>
  <c r="N975" i="1" s="1"/>
  <c r="E976" i="1"/>
  <c r="N976" i="1" s="1" a="1"/>
  <c r="N976" i="1" s="1"/>
  <c r="E977" i="1"/>
  <c r="N977" i="1" s="1" a="1"/>
  <c r="N977" i="1" s="1"/>
  <c r="E978" i="1"/>
  <c r="N978" i="1" s="1" a="1"/>
  <c r="N978" i="1" s="1"/>
  <c r="E979" i="1"/>
  <c r="N979" i="1" s="1" a="1"/>
  <c r="N979" i="1" s="1"/>
  <c r="E980" i="1"/>
  <c r="N980" i="1" s="1" a="1"/>
  <c r="N980" i="1" s="1"/>
  <c r="E981" i="1"/>
  <c r="N981" i="1" s="1" a="1"/>
  <c r="N981" i="1" s="1"/>
  <c r="E982" i="1"/>
  <c r="N982" i="1" s="1" a="1"/>
  <c r="N982" i="1" s="1"/>
  <c r="E983" i="1"/>
  <c r="N983" i="1" s="1" a="1"/>
  <c r="N983" i="1" s="1"/>
  <c r="E984" i="1"/>
  <c r="N984" i="1" s="1" a="1"/>
  <c r="N984" i="1" s="1"/>
  <c r="E985" i="1"/>
  <c r="N985" i="1" s="1" a="1"/>
  <c r="N985" i="1" s="1"/>
  <c r="E986" i="1"/>
  <c r="N986" i="1" s="1" a="1"/>
  <c r="N986" i="1" s="1"/>
  <c r="E987" i="1"/>
  <c r="N987" i="1" s="1" a="1"/>
  <c r="N987" i="1" s="1"/>
  <c r="E988" i="1"/>
  <c r="N988" i="1" s="1" a="1"/>
  <c r="N988" i="1" s="1"/>
  <c r="E989" i="1"/>
  <c r="N989" i="1" s="1" a="1"/>
  <c r="N989" i="1" s="1"/>
  <c r="E990" i="1"/>
  <c r="N990" i="1" s="1" a="1"/>
  <c r="N990" i="1" s="1"/>
  <c r="E991" i="1"/>
  <c r="N991" i="1" s="1" a="1"/>
  <c r="N991" i="1" s="1"/>
  <c r="E992" i="1"/>
  <c r="N992" i="1" s="1" a="1"/>
  <c r="N992" i="1" s="1"/>
  <c r="E993" i="1"/>
  <c r="N993" i="1" s="1" a="1"/>
  <c r="N993" i="1" s="1"/>
  <c r="E994" i="1"/>
  <c r="N994" i="1" s="1" a="1"/>
  <c r="N994" i="1" s="1"/>
  <c r="E995" i="1"/>
  <c r="N995" i="1" s="1" a="1"/>
  <c r="N995" i="1" s="1"/>
  <c r="E996" i="1"/>
  <c r="N996" i="1" s="1" a="1"/>
  <c r="N996" i="1" s="1"/>
  <c r="E997" i="1"/>
  <c r="N997" i="1" s="1" a="1"/>
  <c r="N997" i="1" s="1"/>
  <c r="E998" i="1"/>
  <c r="N998" i="1" s="1" a="1"/>
  <c r="N998" i="1" s="1"/>
  <c r="E999" i="1"/>
  <c r="N999" i="1" s="1" a="1"/>
  <c r="N999" i="1" s="1"/>
  <c r="E1000" i="1"/>
  <c r="N1000" i="1" s="1" a="1"/>
  <c r="N1000" i="1" s="1"/>
  <c r="E1001" i="1"/>
  <c r="N1001" i="1" s="1" a="1"/>
  <c r="N1001" i="1" s="1"/>
  <c r="E1002" i="1"/>
  <c r="N1002" i="1" s="1" a="1"/>
  <c r="N1002" i="1" s="1"/>
  <c r="E1003" i="1"/>
  <c r="N1003" i="1" s="1" a="1"/>
  <c r="N1003" i="1" s="1"/>
  <c r="E1004" i="1"/>
  <c r="N1004" i="1" s="1" a="1"/>
  <c r="N1004" i="1" s="1"/>
  <c r="E1005" i="1"/>
  <c r="N1005" i="1" s="1" a="1"/>
  <c r="N1005" i="1" s="1"/>
  <c r="E1006" i="1"/>
  <c r="N1006" i="1" s="1" a="1"/>
  <c r="N1006" i="1" s="1"/>
  <c r="E1007" i="1"/>
  <c r="N1007" i="1" s="1" a="1"/>
  <c r="N1007" i="1" s="1"/>
  <c r="E1008" i="1"/>
  <c r="N1008" i="1" s="1" a="1"/>
  <c r="N1008" i="1" s="1"/>
  <c r="E1009" i="1"/>
  <c r="N1009" i="1" s="1" a="1"/>
  <c r="N1009" i="1" s="1"/>
  <c r="E1010" i="1"/>
  <c r="N1010" i="1" s="1" a="1"/>
  <c r="N1010" i="1" s="1"/>
  <c r="E1011" i="1"/>
  <c r="N1011" i="1" s="1" a="1"/>
  <c r="N1011" i="1" s="1"/>
  <c r="E1012" i="1"/>
  <c r="N1012" i="1" s="1" a="1"/>
  <c r="N1012" i="1" s="1"/>
  <c r="E1013" i="1"/>
  <c r="N1013" i="1" s="1" a="1"/>
  <c r="N1013" i="1" s="1"/>
  <c r="E1014" i="1"/>
  <c r="N1014" i="1" s="1" a="1"/>
  <c r="N1014" i="1" s="1"/>
  <c r="E1015" i="1"/>
  <c r="N1015" i="1" s="1" a="1"/>
  <c r="N1015" i="1" s="1"/>
  <c r="E1016" i="1"/>
  <c r="N1016" i="1" s="1" a="1"/>
  <c r="N1016" i="1" s="1"/>
  <c r="E1017" i="1"/>
  <c r="N1017" i="1" s="1" a="1"/>
  <c r="N1017" i="1" s="1"/>
  <c r="E1018" i="1"/>
  <c r="N1018" i="1" s="1" a="1"/>
  <c r="N1018" i="1" s="1"/>
  <c r="E1019" i="1"/>
  <c r="N1019" i="1" s="1" a="1"/>
  <c r="N1019" i="1" s="1"/>
  <c r="E1020" i="1"/>
  <c r="N1020" i="1" s="1" a="1"/>
  <c r="N1020" i="1" s="1"/>
  <c r="E1021" i="1"/>
  <c r="N1021" i="1" s="1" a="1"/>
  <c r="N1021" i="1" s="1"/>
  <c r="E1022" i="1"/>
  <c r="N1022" i="1" s="1" a="1"/>
  <c r="N1022" i="1" s="1"/>
  <c r="E1023" i="1"/>
  <c r="N1023" i="1" s="1" a="1"/>
  <c r="N1023" i="1" s="1"/>
  <c r="E1024" i="1"/>
  <c r="N1024" i="1" s="1" a="1"/>
  <c r="N1024" i="1" s="1"/>
  <c r="E1025" i="1"/>
  <c r="N1025" i="1" s="1" a="1"/>
  <c r="N1025" i="1" s="1"/>
  <c r="E1026" i="1"/>
  <c r="N1026" i="1" s="1" a="1"/>
  <c r="N1026" i="1" s="1"/>
  <c r="E1027" i="1"/>
  <c r="N1027" i="1" s="1" a="1"/>
  <c r="N1027" i="1" s="1"/>
  <c r="E1028" i="1"/>
  <c r="N1028" i="1" s="1" a="1"/>
  <c r="N1028" i="1" s="1"/>
  <c r="E1029" i="1"/>
  <c r="N1029" i="1" s="1" a="1"/>
  <c r="N1029" i="1" s="1"/>
  <c r="E1030" i="1"/>
  <c r="N1030" i="1" s="1" a="1"/>
  <c r="N1030" i="1" s="1"/>
  <c r="E1031" i="1"/>
  <c r="N1031" i="1" s="1" a="1"/>
  <c r="N1031" i="1" s="1"/>
  <c r="E1032" i="1"/>
  <c r="N1032" i="1" s="1" a="1"/>
  <c r="N1032" i="1" s="1"/>
  <c r="E1033" i="1"/>
  <c r="N1033" i="1" s="1" a="1"/>
  <c r="N1033" i="1" s="1"/>
  <c r="E1034" i="1"/>
  <c r="N1034" i="1" s="1" a="1"/>
  <c r="N1034" i="1" s="1"/>
  <c r="E1035" i="1"/>
  <c r="N1035" i="1" s="1" a="1"/>
  <c r="N1035" i="1" s="1"/>
  <c r="E1036" i="1"/>
  <c r="N1036" i="1" s="1" a="1"/>
  <c r="N1036" i="1" s="1"/>
  <c r="E1037" i="1"/>
  <c r="N1037" i="1" s="1" a="1"/>
  <c r="N1037" i="1" s="1"/>
  <c r="E1038" i="1"/>
  <c r="N1038" i="1" s="1" a="1"/>
  <c r="N1038" i="1" s="1"/>
  <c r="E1039" i="1"/>
  <c r="N1039" i="1" s="1" a="1"/>
  <c r="N1039" i="1" s="1"/>
  <c r="E1040" i="1"/>
  <c r="N1040" i="1" s="1" a="1"/>
  <c r="N1040" i="1" s="1"/>
  <c r="E1041" i="1"/>
  <c r="N1041" i="1" s="1" a="1"/>
  <c r="N1041" i="1" s="1"/>
  <c r="E1042" i="1"/>
  <c r="N1042" i="1" s="1" a="1"/>
  <c r="N1042" i="1" s="1"/>
  <c r="E1043" i="1"/>
  <c r="N1043" i="1" s="1" a="1"/>
  <c r="N1043" i="1" s="1"/>
  <c r="E1044" i="1"/>
  <c r="N1044" i="1" s="1" a="1"/>
  <c r="N1044" i="1" s="1"/>
  <c r="E1045" i="1"/>
  <c r="N1045" i="1" s="1" a="1"/>
  <c r="N1045" i="1" s="1"/>
  <c r="E1046" i="1"/>
  <c r="N1046" i="1" s="1" a="1"/>
  <c r="N1046" i="1" s="1"/>
  <c r="E1047" i="1"/>
  <c r="N1047" i="1" s="1" a="1"/>
  <c r="N1047" i="1" s="1"/>
  <c r="E1048" i="1"/>
  <c r="N1048" i="1" s="1" a="1"/>
  <c r="N1048" i="1" s="1"/>
  <c r="E1049" i="1"/>
  <c r="N1049" i="1" s="1" a="1"/>
  <c r="N1049" i="1" s="1"/>
  <c r="E1050" i="1"/>
  <c r="N1050" i="1" s="1" a="1"/>
  <c r="N1050" i="1" s="1"/>
  <c r="E1051" i="1"/>
  <c r="N1051" i="1" s="1" a="1"/>
  <c r="N1051" i="1" s="1"/>
  <c r="E1052" i="1"/>
  <c r="N1052" i="1" s="1" a="1"/>
  <c r="N1052" i="1" s="1"/>
  <c r="E1053" i="1"/>
  <c r="N1053" i="1" s="1" a="1"/>
  <c r="N1053" i="1" s="1"/>
  <c r="E1054" i="1"/>
  <c r="N1054" i="1" s="1" a="1"/>
  <c r="N1054" i="1" s="1"/>
  <c r="E1055" i="1"/>
  <c r="N1055" i="1" s="1" a="1"/>
  <c r="N1055" i="1" s="1"/>
  <c r="E1056" i="1"/>
  <c r="N1056" i="1" s="1" a="1"/>
  <c r="N1056" i="1" s="1"/>
  <c r="E1057" i="1"/>
  <c r="N1057" i="1" s="1" a="1"/>
  <c r="N1057" i="1" s="1"/>
  <c r="E1058" i="1"/>
  <c r="N1058" i="1" s="1" a="1"/>
  <c r="N1058" i="1" s="1"/>
  <c r="E1059" i="1"/>
  <c r="N1059" i="1" s="1" a="1"/>
  <c r="N1059" i="1" s="1"/>
  <c r="E1060" i="1"/>
  <c r="N1060" i="1" s="1" a="1"/>
  <c r="N1060" i="1" s="1"/>
  <c r="E1061" i="1"/>
  <c r="N1061" i="1" s="1" a="1"/>
  <c r="N1061" i="1" s="1"/>
  <c r="E1062" i="1"/>
  <c r="N1062" i="1" s="1" a="1"/>
  <c r="N1062" i="1" s="1"/>
  <c r="E1063" i="1"/>
  <c r="N1063" i="1" s="1" a="1"/>
  <c r="N1063" i="1" s="1"/>
  <c r="E1064" i="1"/>
  <c r="N1064" i="1" s="1" a="1"/>
  <c r="N1064" i="1" s="1"/>
  <c r="E1065" i="1"/>
  <c r="N1065" i="1" s="1" a="1"/>
  <c r="N1065" i="1" s="1"/>
  <c r="E1066" i="1"/>
  <c r="N1066" i="1" s="1" a="1"/>
  <c r="N1066" i="1" s="1"/>
  <c r="E1067" i="1"/>
  <c r="N1067" i="1" s="1" a="1"/>
  <c r="N1067" i="1" s="1"/>
  <c r="E1068" i="1"/>
  <c r="N1068" i="1" s="1" a="1"/>
  <c r="N1068" i="1" s="1"/>
  <c r="E1069" i="1"/>
  <c r="N1069" i="1" s="1" a="1"/>
  <c r="N1069" i="1" s="1"/>
  <c r="E1070" i="1"/>
  <c r="N1070" i="1" s="1" a="1"/>
  <c r="N1070" i="1" s="1"/>
  <c r="E1071" i="1"/>
  <c r="N1071" i="1" s="1" a="1"/>
  <c r="N1071" i="1" s="1"/>
  <c r="E1072" i="1"/>
  <c r="N1072" i="1" s="1" a="1"/>
  <c r="N1072" i="1" s="1"/>
  <c r="E1073" i="1"/>
  <c r="N1073" i="1" s="1" a="1"/>
  <c r="N1073" i="1" s="1"/>
  <c r="E1074" i="1"/>
  <c r="N1074" i="1" s="1" a="1"/>
  <c r="N1074" i="1" s="1"/>
  <c r="E1075" i="1"/>
  <c r="N1075" i="1" s="1" a="1"/>
  <c r="N1075" i="1" s="1"/>
  <c r="E1076" i="1"/>
  <c r="N1076" i="1" s="1" a="1"/>
  <c r="N1076" i="1" s="1"/>
  <c r="E1077" i="1"/>
  <c r="N1077" i="1" s="1" a="1"/>
  <c r="N1077" i="1" s="1"/>
  <c r="E1078" i="1"/>
  <c r="N1078" i="1" s="1" a="1"/>
  <c r="N1078" i="1" s="1"/>
  <c r="E1079" i="1"/>
  <c r="N1079" i="1" s="1" a="1"/>
  <c r="N1079" i="1" s="1"/>
  <c r="E1080" i="1"/>
  <c r="N1080" i="1" s="1" a="1"/>
  <c r="N1080" i="1" s="1"/>
  <c r="E1081" i="1"/>
  <c r="N1081" i="1" s="1" a="1"/>
  <c r="N1081" i="1" s="1"/>
  <c r="E1082" i="1"/>
  <c r="N1082" i="1" s="1" a="1"/>
  <c r="N1082" i="1" s="1"/>
  <c r="E1083" i="1"/>
  <c r="N1083" i="1" s="1" a="1"/>
  <c r="N1083" i="1" s="1"/>
  <c r="E1084" i="1"/>
  <c r="N1084" i="1" s="1" a="1"/>
  <c r="N1084" i="1" s="1"/>
  <c r="E1085" i="1"/>
  <c r="N1085" i="1" s="1" a="1"/>
  <c r="N1085" i="1" s="1"/>
  <c r="E1086" i="1"/>
  <c r="N1086" i="1" s="1" a="1"/>
  <c r="N1086" i="1" s="1"/>
  <c r="E1087" i="1"/>
  <c r="N1087" i="1" s="1" a="1"/>
  <c r="N1087" i="1" s="1"/>
  <c r="E1088" i="1"/>
  <c r="N1088" i="1" s="1" a="1"/>
  <c r="N1088" i="1" s="1"/>
  <c r="E1089" i="1"/>
  <c r="N1089" i="1" s="1" a="1"/>
  <c r="N1089" i="1" s="1"/>
  <c r="E1090" i="1"/>
  <c r="N1090" i="1" s="1" a="1"/>
  <c r="N1090" i="1" s="1"/>
  <c r="E1091" i="1"/>
  <c r="N1091" i="1" s="1" a="1"/>
  <c r="N1091" i="1" s="1"/>
  <c r="E1092" i="1"/>
  <c r="N1092" i="1" s="1" a="1"/>
  <c r="N1092" i="1" s="1"/>
  <c r="E1093" i="1"/>
  <c r="N1093" i="1" s="1" a="1"/>
  <c r="N1093" i="1" s="1"/>
  <c r="E1094" i="1"/>
  <c r="N1094" i="1" s="1" a="1"/>
  <c r="N1094" i="1" s="1"/>
  <c r="E1095" i="1"/>
  <c r="N1095" i="1" s="1" a="1"/>
  <c r="N1095" i="1" s="1"/>
  <c r="E1096" i="1"/>
  <c r="N1096" i="1" s="1" a="1"/>
  <c r="N1096" i="1" s="1"/>
  <c r="E1097" i="1"/>
  <c r="N1097" i="1" s="1" a="1"/>
  <c r="N1097" i="1" s="1"/>
  <c r="E1098" i="1"/>
  <c r="N1098" i="1" s="1" a="1"/>
  <c r="N1098" i="1" s="1"/>
  <c r="E1099" i="1"/>
  <c r="N1099" i="1" s="1" a="1"/>
  <c r="N1099" i="1" s="1"/>
  <c r="E1100" i="1"/>
  <c r="N1100" i="1" s="1" a="1"/>
  <c r="N1100" i="1" s="1"/>
  <c r="E1101" i="1"/>
  <c r="N1101" i="1" s="1" a="1"/>
  <c r="N1101" i="1" s="1"/>
  <c r="E1102" i="1"/>
  <c r="N1102" i="1" s="1" a="1"/>
  <c r="N1102" i="1" s="1"/>
  <c r="E1103" i="1"/>
  <c r="N1103" i="1" s="1" a="1"/>
  <c r="N1103" i="1" s="1"/>
  <c r="E1104" i="1"/>
  <c r="N1104" i="1" s="1" a="1"/>
  <c r="N1104" i="1" s="1"/>
  <c r="E1105" i="1"/>
  <c r="N1105" i="1" s="1" a="1"/>
  <c r="N1105" i="1" s="1"/>
  <c r="E1106" i="1"/>
  <c r="N1106" i="1" s="1" a="1"/>
  <c r="N1106" i="1" s="1"/>
  <c r="E1107" i="1"/>
  <c r="N1107" i="1" s="1" a="1"/>
  <c r="N1107" i="1" s="1"/>
  <c r="E1108" i="1"/>
  <c r="N1108" i="1" s="1" a="1"/>
  <c r="N1108" i="1" s="1"/>
  <c r="E1109" i="1"/>
  <c r="N1109" i="1" s="1" a="1"/>
  <c r="N1109" i="1" s="1"/>
  <c r="E1110" i="1"/>
  <c r="N1110" i="1" s="1" a="1"/>
  <c r="N1110" i="1" s="1"/>
  <c r="E1111" i="1"/>
  <c r="N1111" i="1" s="1" a="1"/>
  <c r="N1111" i="1" s="1"/>
  <c r="E1112" i="1"/>
  <c r="N1112" i="1" s="1" a="1"/>
  <c r="N1112" i="1" s="1"/>
  <c r="E1113" i="1"/>
  <c r="N1113" i="1" s="1" a="1"/>
  <c r="N1113" i="1" s="1"/>
  <c r="E1114" i="1"/>
  <c r="N1114" i="1" s="1" a="1"/>
  <c r="N1114" i="1" s="1"/>
  <c r="E1115" i="1"/>
  <c r="N1115" i="1" s="1" a="1"/>
  <c r="N1115" i="1" s="1"/>
  <c r="E1116" i="1"/>
  <c r="N1116" i="1" s="1" a="1"/>
  <c r="N1116" i="1" s="1"/>
  <c r="E1117" i="1"/>
  <c r="N1117" i="1" s="1" a="1"/>
  <c r="N1117" i="1" s="1"/>
  <c r="E1118" i="1"/>
  <c r="N1118" i="1" s="1" a="1"/>
  <c r="N1118" i="1" s="1"/>
  <c r="E1119" i="1"/>
  <c r="N1119" i="1" s="1" a="1"/>
  <c r="N1119" i="1" s="1"/>
  <c r="E1120" i="1"/>
  <c r="N1120" i="1" s="1" a="1"/>
  <c r="N1120" i="1" s="1"/>
  <c r="E1121" i="1"/>
  <c r="N1121" i="1" s="1" a="1"/>
  <c r="N1121" i="1" s="1"/>
  <c r="E1122" i="1"/>
  <c r="N1122" i="1" s="1" a="1"/>
  <c r="N1122" i="1" s="1"/>
  <c r="E1123" i="1"/>
  <c r="N1123" i="1" s="1" a="1"/>
  <c r="N1123" i="1" s="1"/>
  <c r="E1124" i="1"/>
  <c r="N1124" i="1" s="1" a="1"/>
  <c r="N1124" i="1" s="1"/>
  <c r="E1125" i="1"/>
  <c r="N1125" i="1" s="1" a="1"/>
  <c r="N1125" i="1" s="1"/>
  <c r="E1126" i="1"/>
  <c r="N1126" i="1" s="1" a="1"/>
  <c r="N1126" i="1" s="1"/>
  <c r="E1127" i="1"/>
  <c r="N1127" i="1" s="1" a="1"/>
  <c r="N1127" i="1" s="1"/>
  <c r="E1128" i="1"/>
  <c r="N1128" i="1" s="1" a="1"/>
  <c r="N1128" i="1" s="1"/>
  <c r="E1129" i="1"/>
  <c r="N1129" i="1" s="1" a="1"/>
  <c r="N1129" i="1" s="1"/>
  <c r="E1130" i="1"/>
  <c r="N1130" i="1" s="1" a="1"/>
  <c r="N1130" i="1" s="1"/>
  <c r="E1131" i="1"/>
  <c r="N1131" i="1" s="1" a="1"/>
  <c r="N1131" i="1" s="1"/>
  <c r="E1132" i="1"/>
  <c r="N1132" i="1" s="1" a="1"/>
  <c r="N1132" i="1" s="1"/>
  <c r="E1133" i="1"/>
  <c r="N1133" i="1" s="1" a="1"/>
  <c r="N1133" i="1" s="1"/>
  <c r="E1134" i="1"/>
  <c r="N1134" i="1" s="1" a="1"/>
  <c r="N1134" i="1" s="1"/>
  <c r="E1135" i="1"/>
  <c r="N1135" i="1" s="1" a="1"/>
  <c r="N1135" i="1" s="1"/>
  <c r="E1136" i="1"/>
  <c r="N1136" i="1" s="1" a="1"/>
  <c r="N1136" i="1" s="1"/>
  <c r="E1137" i="1"/>
  <c r="N1137" i="1" s="1" a="1"/>
  <c r="N1137" i="1" s="1"/>
  <c r="E1138" i="1"/>
  <c r="N1138" i="1" s="1" a="1"/>
  <c r="N1138" i="1" s="1"/>
  <c r="E1139" i="1"/>
  <c r="N1139" i="1" s="1" a="1"/>
  <c r="N1139" i="1" s="1"/>
  <c r="E1140" i="1"/>
  <c r="N1140" i="1" s="1" a="1"/>
  <c r="N1140" i="1" s="1"/>
  <c r="E1141" i="1"/>
  <c r="N1141" i="1" s="1" a="1"/>
  <c r="N1141" i="1" s="1"/>
  <c r="E1142" i="1"/>
  <c r="N1142" i="1" s="1" a="1"/>
  <c r="N1142" i="1" s="1"/>
  <c r="E1143" i="1"/>
  <c r="N1143" i="1" s="1" a="1"/>
  <c r="N1143" i="1" s="1"/>
  <c r="E1144" i="1"/>
  <c r="N1144" i="1" s="1" a="1"/>
  <c r="N1144" i="1" s="1"/>
  <c r="E1145" i="1"/>
  <c r="N1145" i="1" s="1" a="1"/>
  <c r="N1145" i="1" s="1"/>
  <c r="E1146" i="1"/>
  <c r="N1146" i="1" s="1" a="1"/>
  <c r="N1146" i="1" s="1"/>
  <c r="E1147" i="1"/>
  <c r="N1147" i="1" s="1" a="1"/>
  <c r="N1147" i="1" s="1"/>
  <c r="E1148" i="1"/>
  <c r="N1148" i="1" s="1" a="1"/>
  <c r="N1148" i="1" s="1"/>
  <c r="E1149" i="1"/>
  <c r="N1149" i="1" s="1" a="1"/>
  <c r="N1149" i="1" s="1"/>
  <c r="E1150" i="1"/>
  <c r="N1150" i="1" s="1" a="1"/>
  <c r="N1150" i="1" s="1"/>
  <c r="E1151" i="1"/>
  <c r="N1151" i="1" s="1" a="1"/>
  <c r="N1151" i="1" s="1"/>
  <c r="E1152" i="1"/>
  <c r="N1152" i="1" s="1" a="1"/>
  <c r="N1152" i="1" s="1"/>
  <c r="E1153" i="1"/>
  <c r="N1153" i="1" s="1" a="1"/>
  <c r="N1153" i="1" s="1"/>
  <c r="E1154" i="1"/>
  <c r="N1154" i="1" s="1" a="1"/>
  <c r="N1154" i="1" s="1"/>
  <c r="E1155" i="1"/>
  <c r="N1155" i="1" s="1" a="1"/>
  <c r="N1155" i="1" s="1"/>
  <c r="G2" i="1"/>
  <c r="H2" i="1" s="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H104" i="1" s="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B888" i="1"/>
  <c r="D888" i="1" s="1"/>
  <c r="C888"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2" i="1"/>
  <c r="H1155" i="1" l="1"/>
  <c r="H1154" i="1"/>
  <c r="H1153" i="1"/>
  <c r="H1152" i="1"/>
  <c r="H1151" i="1"/>
  <c r="H1150" i="1"/>
  <c r="H1149" i="1"/>
  <c r="H1148" i="1"/>
  <c r="H1147" i="1"/>
  <c r="H1146" i="1"/>
  <c r="H1145" i="1"/>
  <c r="H1144" i="1"/>
  <c r="H1143" i="1"/>
  <c r="H1142" i="1"/>
  <c r="H1141" i="1"/>
  <c r="H1140" i="1"/>
  <c r="H1139" i="1"/>
  <c r="H1138" i="1"/>
  <c r="H1137" i="1"/>
  <c r="H1136" i="1"/>
  <c r="H1135" i="1"/>
  <c r="H1134" i="1"/>
  <c r="H1133" i="1"/>
  <c r="H1132" i="1"/>
  <c r="H1131" i="1"/>
  <c r="H1130" i="1"/>
  <c r="H1129" i="1"/>
  <c r="H1128" i="1"/>
  <c r="H1127" i="1"/>
  <c r="H1126" i="1"/>
  <c r="H1125" i="1"/>
  <c r="H1124" i="1"/>
  <c r="H1123" i="1"/>
  <c r="H1122" i="1"/>
  <c r="H1121" i="1"/>
  <c r="H1120" i="1"/>
  <c r="H1119" i="1"/>
  <c r="H1118" i="1"/>
  <c r="H1117" i="1"/>
  <c r="H1116" i="1"/>
  <c r="H1115" i="1"/>
  <c r="H1114" i="1"/>
  <c r="H1113" i="1"/>
  <c r="H1112" i="1"/>
  <c r="H1111" i="1"/>
  <c r="H1110" i="1"/>
  <c r="H1109" i="1"/>
  <c r="H1108" i="1"/>
  <c r="H1107" i="1"/>
  <c r="H1106" i="1"/>
  <c r="H1105" i="1"/>
  <c r="H1104" i="1"/>
  <c r="H1103" i="1"/>
  <c r="H1102" i="1"/>
  <c r="H1101" i="1"/>
  <c r="H1100" i="1"/>
  <c r="H1099" i="1"/>
  <c r="H1098" i="1"/>
  <c r="H1097" i="1"/>
  <c r="H1096" i="1"/>
  <c r="H1095" i="1"/>
  <c r="H1094" i="1"/>
  <c r="H1093" i="1"/>
  <c r="H1092" i="1"/>
  <c r="H1091" i="1"/>
  <c r="H1090" i="1"/>
  <c r="H1089" i="1"/>
  <c r="H1088" i="1"/>
  <c r="H1087" i="1"/>
  <c r="H1086" i="1"/>
  <c r="H1085" i="1"/>
  <c r="H1084" i="1"/>
  <c r="H1083" i="1"/>
  <c r="H1082" i="1"/>
  <c r="H1081" i="1"/>
  <c r="H1080" i="1"/>
  <c r="H1079" i="1"/>
  <c r="H1078" i="1"/>
  <c r="H1077" i="1"/>
  <c r="H1076" i="1"/>
  <c r="H1075" i="1"/>
  <c r="H1074" i="1"/>
  <c r="H1073" i="1"/>
  <c r="H1072" i="1"/>
  <c r="H1071" i="1"/>
  <c r="H1070" i="1"/>
  <c r="H1069" i="1"/>
  <c r="H1068" i="1"/>
  <c r="H1067" i="1"/>
  <c r="H1066" i="1"/>
  <c r="H1065" i="1"/>
  <c r="H1064" i="1"/>
  <c r="H1063" i="1"/>
  <c r="H1062" i="1"/>
  <c r="H1061" i="1"/>
  <c r="H1060" i="1"/>
  <c r="H1059" i="1"/>
  <c r="H1058" i="1"/>
  <c r="H1057" i="1"/>
  <c r="H1056" i="1"/>
  <c r="H1055" i="1"/>
  <c r="H1054" i="1"/>
  <c r="H1053" i="1"/>
  <c r="H1052" i="1"/>
  <c r="H1051" i="1"/>
  <c r="H1050" i="1"/>
  <c r="H1049" i="1"/>
  <c r="H1048" i="1"/>
  <c r="H1047" i="1"/>
  <c r="H1046" i="1"/>
  <c r="H1045" i="1"/>
  <c r="H1044" i="1"/>
  <c r="H1043" i="1"/>
  <c r="H1042" i="1"/>
  <c r="H1041" i="1"/>
  <c r="H1040" i="1"/>
  <c r="H1039" i="1"/>
  <c r="H1038" i="1"/>
  <c r="H1037" i="1"/>
  <c r="H1036" i="1"/>
  <c r="H1035" i="1"/>
  <c r="H1034" i="1"/>
  <c r="H1033" i="1"/>
  <c r="H1032" i="1"/>
  <c r="H1031" i="1"/>
  <c r="H1030" i="1"/>
  <c r="H1029" i="1"/>
  <c r="H1028" i="1"/>
  <c r="H1027" i="1"/>
  <c r="H1026" i="1"/>
  <c r="H1025" i="1"/>
  <c r="H1024" i="1"/>
  <c r="H1023" i="1"/>
  <c r="H1022" i="1"/>
  <c r="H1021" i="1"/>
  <c r="H1020" i="1"/>
  <c r="H1019" i="1"/>
  <c r="H1018" i="1"/>
  <c r="H1017" i="1"/>
  <c r="H1016" i="1"/>
  <c r="H1015" i="1"/>
  <c r="H1014" i="1"/>
  <c r="H1013" i="1"/>
  <c r="H1012" i="1"/>
  <c r="H1011" i="1"/>
  <c r="H1010" i="1"/>
  <c r="H1009" i="1"/>
  <c r="H1008" i="1"/>
  <c r="H1007" i="1"/>
  <c r="H1006" i="1"/>
  <c r="H1005" i="1"/>
  <c r="H1004" i="1"/>
  <c r="H1003" i="1"/>
  <c r="H1002" i="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C1155" i="1"/>
  <c r="D1155" i="1"/>
  <c r="C1154" i="1"/>
  <c r="D1154" i="1"/>
  <c r="C1153" i="1"/>
  <c r="D1153" i="1"/>
  <c r="C1152" i="1"/>
  <c r="D1152" i="1"/>
  <c r="C1151" i="1"/>
  <c r="D1151" i="1"/>
  <c r="C1150" i="1"/>
  <c r="D1150" i="1"/>
  <c r="C1149" i="1"/>
  <c r="D1149" i="1"/>
  <c r="C1148" i="1"/>
  <c r="D1148" i="1"/>
  <c r="C1147" i="1"/>
  <c r="D1147" i="1"/>
  <c r="C1146" i="1"/>
  <c r="D1146" i="1"/>
  <c r="C1145" i="1"/>
  <c r="D1145" i="1"/>
  <c r="C1144" i="1"/>
  <c r="D1144" i="1"/>
  <c r="C1143" i="1"/>
  <c r="D1143" i="1"/>
  <c r="C1142" i="1"/>
  <c r="D1142" i="1"/>
  <c r="C1141" i="1"/>
  <c r="D1141" i="1"/>
  <c r="C1140" i="1"/>
  <c r="D1140" i="1"/>
  <c r="C1139" i="1"/>
  <c r="D1139" i="1"/>
  <c r="C1138" i="1"/>
  <c r="D1138" i="1"/>
  <c r="C1137" i="1"/>
  <c r="D1137" i="1"/>
  <c r="C1136" i="1"/>
  <c r="D1136" i="1"/>
  <c r="C1135" i="1"/>
  <c r="D1135" i="1"/>
  <c r="C1134" i="1"/>
  <c r="D1134" i="1"/>
  <c r="C1133" i="1"/>
  <c r="D1133" i="1"/>
  <c r="C1132" i="1"/>
  <c r="D1132" i="1"/>
  <c r="C1131" i="1"/>
  <c r="D1131" i="1"/>
  <c r="C1130" i="1"/>
  <c r="D1130" i="1"/>
  <c r="C1129" i="1"/>
  <c r="D1129" i="1"/>
  <c r="C1128" i="1"/>
  <c r="D1128" i="1"/>
  <c r="C1127" i="1"/>
  <c r="D1127" i="1"/>
  <c r="C1126" i="1"/>
  <c r="D1126" i="1"/>
  <c r="C1125" i="1"/>
  <c r="D1125" i="1"/>
  <c r="C1124" i="1"/>
  <c r="D1124" i="1"/>
  <c r="C1123" i="1"/>
  <c r="D1123" i="1"/>
  <c r="C1122" i="1"/>
  <c r="D1122" i="1"/>
  <c r="C1121" i="1"/>
  <c r="D1121" i="1"/>
  <c r="C1120" i="1"/>
  <c r="D1120" i="1"/>
  <c r="C1119" i="1"/>
  <c r="D1119" i="1"/>
  <c r="C1118" i="1"/>
  <c r="D1118" i="1"/>
  <c r="C1117" i="1"/>
  <c r="D1117" i="1"/>
  <c r="C1116" i="1"/>
  <c r="D1116" i="1"/>
  <c r="C1115" i="1"/>
  <c r="D1115" i="1"/>
  <c r="C1114" i="1"/>
  <c r="D1114" i="1"/>
  <c r="C1113" i="1"/>
  <c r="D1113" i="1"/>
  <c r="C1112" i="1"/>
  <c r="D1112" i="1"/>
  <c r="C1111" i="1"/>
  <c r="D1111" i="1"/>
  <c r="C1110" i="1"/>
  <c r="D1110" i="1"/>
  <c r="C1109" i="1"/>
  <c r="D1109" i="1"/>
  <c r="C1108" i="1"/>
  <c r="D1108" i="1"/>
  <c r="C1107" i="1"/>
  <c r="D1107" i="1"/>
  <c r="C1106" i="1"/>
  <c r="D1106" i="1"/>
  <c r="C1105" i="1"/>
  <c r="D1105" i="1"/>
  <c r="C1104" i="1"/>
  <c r="D1104" i="1"/>
  <c r="C1103" i="1"/>
  <c r="D1103" i="1"/>
  <c r="C1102" i="1"/>
  <c r="D1102" i="1"/>
  <c r="C1101" i="1"/>
  <c r="D1101" i="1"/>
  <c r="C1100" i="1"/>
  <c r="D1100" i="1"/>
  <c r="C1099" i="1"/>
  <c r="D1099" i="1"/>
  <c r="C1098" i="1"/>
  <c r="D1098" i="1"/>
  <c r="C1097" i="1"/>
  <c r="D1097" i="1"/>
  <c r="C1096" i="1"/>
  <c r="D1096" i="1"/>
  <c r="C1095" i="1"/>
  <c r="D1095" i="1"/>
  <c r="C1094" i="1"/>
  <c r="D1094" i="1"/>
  <c r="C1093" i="1"/>
  <c r="D1093" i="1"/>
  <c r="C1092" i="1"/>
  <c r="D1092" i="1"/>
  <c r="C1091" i="1"/>
  <c r="D1091" i="1"/>
  <c r="C1090" i="1"/>
  <c r="D1090" i="1"/>
  <c r="C1089" i="1"/>
  <c r="D1089" i="1"/>
  <c r="C1088" i="1"/>
  <c r="D1088" i="1"/>
  <c r="C1087" i="1"/>
  <c r="D1087" i="1"/>
  <c r="C1086" i="1"/>
  <c r="D1086" i="1"/>
  <c r="C1085" i="1"/>
  <c r="D1085" i="1"/>
  <c r="C1084" i="1"/>
  <c r="D1084" i="1"/>
  <c r="C1083" i="1"/>
  <c r="D1083" i="1"/>
  <c r="C1082" i="1"/>
  <c r="D1082" i="1"/>
  <c r="C1081" i="1"/>
  <c r="D1081" i="1"/>
  <c r="C1080" i="1"/>
  <c r="D1080" i="1"/>
  <c r="C1079" i="1"/>
  <c r="D1079" i="1"/>
  <c r="C1078" i="1"/>
  <c r="D1078" i="1"/>
  <c r="C1077" i="1"/>
  <c r="D1077" i="1"/>
  <c r="C1076" i="1"/>
  <c r="D1076" i="1"/>
  <c r="C1075" i="1"/>
  <c r="D1075" i="1"/>
  <c r="C1074" i="1"/>
  <c r="D1074" i="1"/>
  <c r="C1073" i="1"/>
  <c r="D1073" i="1"/>
  <c r="C1072" i="1"/>
  <c r="D1072" i="1"/>
  <c r="C1071" i="1"/>
  <c r="D1071" i="1"/>
  <c r="C1070" i="1"/>
  <c r="D1070" i="1"/>
  <c r="C1069" i="1"/>
  <c r="D1069" i="1"/>
  <c r="C1068" i="1"/>
  <c r="D1068" i="1"/>
  <c r="C1067" i="1"/>
  <c r="D1067" i="1"/>
  <c r="C1066" i="1"/>
  <c r="D1066" i="1"/>
  <c r="C1065" i="1"/>
  <c r="D1065" i="1"/>
  <c r="C1064" i="1"/>
  <c r="D1064" i="1"/>
  <c r="C1063" i="1"/>
  <c r="D1063" i="1"/>
  <c r="C1062" i="1"/>
  <c r="D1062" i="1"/>
  <c r="C1061" i="1"/>
  <c r="D1061" i="1"/>
  <c r="C1060" i="1"/>
  <c r="D1060" i="1"/>
  <c r="C1059" i="1"/>
  <c r="D1059" i="1"/>
  <c r="C1058" i="1"/>
  <c r="D1058" i="1"/>
  <c r="C1057" i="1"/>
  <c r="D1057" i="1"/>
  <c r="C1056" i="1"/>
  <c r="D1056" i="1"/>
  <c r="C1055" i="1"/>
  <c r="D1055" i="1"/>
  <c r="C1054" i="1"/>
  <c r="D1054" i="1"/>
  <c r="C1053" i="1"/>
  <c r="D1053" i="1"/>
  <c r="C1052" i="1"/>
  <c r="D1052" i="1"/>
  <c r="C1051" i="1"/>
  <c r="D1051" i="1"/>
  <c r="C1050" i="1"/>
  <c r="D1050" i="1"/>
  <c r="C1049" i="1"/>
  <c r="D1049" i="1"/>
  <c r="C1048" i="1"/>
  <c r="D1048" i="1"/>
  <c r="C1047" i="1"/>
  <c r="D1047" i="1"/>
  <c r="C1046" i="1"/>
  <c r="D1046" i="1"/>
  <c r="C1045" i="1"/>
  <c r="D1045" i="1"/>
  <c r="C1044" i="1"/>
  <c r="D1044" i="1"/>
  <c r="C1043" i="1"/>
  <c r="D1043" i="1"/>
  <c r="C1042" i="1"/>
  <c r="D1042" i="1"/>
  <c r="C1041" i="1"/>
  <c r="D1041" i="1"/>
  <c r="C1040" i="1"/>
  <c r="D1040" i="1"/>
  <c r="C1039" i="1"/>
  <c r="D1039" i="1"/>
  <c r="C1038" i="1"/>
  <c r="D1038" i="1"/>
  <c r="C1037" i="1"/>
  <c r="D1037" i="1"/>
  <c r="C1036" i="1"/>
  <c r="D1036" i="1"/>
  <c r="C1035" i="1"/>
  <c r="D1035" i="1"/>
  <c r="C1034" i="1"/>
  <c r="D1034" i="1"/>
  <c r="C1033" i="1"/>
  <c r="D1033" i="1"/>
  <c r="C1032" i="1"/>
  <c r="D1032" i="1"/>
  <c r="C1031" i="1"/>
  <c r="D1031" i="1"/>
  <c r="C1030" i="1"/>
  <c r="D1030" i="1"/>
  <c r="C1029" i="1"/>
  <c r="D1029" i="1"/>
  <c r="C1028" i="1"/>
  <c r="D1028" i="1"/>
  <c r="C1027" i="1"/>
  <c r="D1027" i="1"/>
  <c r="C1026" i="1"/>
  <c r="D1026" i="1"/>
  <c r="C1025" i="1"/>
  <c r="D1025" i="1"/>
  <c r="C1024" i="1"/>
  <c r="D1024" i="1"/>
  <c r="C1023" i="1"/>
  <c r="D1023" i="1"/>
  <c r="C1022" i="1"/>
  <c r="D1022" i="1"/>
  <c r="C1021" i="1"/>
  <c r="D1021" i="1"/>
  <c r="C1020" i="1"/>
  <c r="D1020" i="1"/>
  <c r="C1019" i="1"/>
  <c r="D1019" i="1"/>
  <c r="C1018" i="1"/>
  <c r="D1018" i="1"/>
  <c r="C1017" i="1"/>
  <c r="D1017" i="1"/>
  <c r="C1016" i="1"/>
  <c r="D1016" i="1"/>
  <c r="C1015" i="1"/>
  <c r="D1015" i="1"/>
  <c r="C1014" i="1"/>
  <c r="D1014" i="1"/>
  <c r="C1013" i="1"/>
  <c r="D1013" i="1"/>
  <c r="C1012" i="1"/>
  <c r="D1012" i="1"/>
  <c r="C1011" i="1"/>
  <c r="D1011" i="1"/>
  <c r="C1010" i="1"/>
  <c r="D1010" i="1"/>
  <c r="C1009" i="1"/>
  <c r="D1009" i="1"/>
  <c r="C1008" i="1"/>
  <c r="D1008" i="1"/>
  <c r="C1007" i="1"/>
  <c r="D1007" i="1"/>
  <c r="C1006" i="1"/>
  <c r="D1006" i="1"/>
  <c r="C1005" i="1"/>
  <c r="D1005" i="1"/>
  <c r="C1004" i="1"/>
  <c r="D1004" i="1"/>
  <c r="C1003" i="1"/>
  <c r="D1003" i="1"/>
  <c r="C1002" i="1"/>
  <c r="D1002" i="1"/>
  <c r="C1001" i="1"/>
  <c r="D1001" i="1"/>
  <c r="C1000" i="1"/>
  <c r="D1000" i="1"/>
  <c r="C999" i="1"/>
  <c r="D999" i="1"/>
  <c r="C998" i="1"/>
  <c r="D998" i="1"/>
  <c r="C997" i="1"/>
  <c r="D997" i="1"/>
  <c r="C996" i="1"/>
  <c r="D996" i="1"/>
  <c r="C995" i="1"/>
  <c r="D995" i="1"/>
  <c r="C994" i="1"/>
  <c r="D994" i="1"/>
  <c r="C993" i="1"/>
  <c r="D993" i="1"/>
  <c r="C992" i="1"/>
  <c r="D992" i="1"/>
  <c r="C991" i="1"/>
  <c r="D991" i="1"/>
  <c r="C990" i="1"/>
  <c r="D990" i="1"/>
  <c r="C989" i="1"/>
  <c r="D989" i="1"/>
  <c r="C988" i="1"/>
  <c r="D988" i="1"/>
  <c r="C987" i="1"/>
  <c r="D987" i="1"/>
  <c r="C986" i="1"/>
  <c r="D986" i="1"/>
  <c r="C985" i="1"/>
  <c r="D985" i="1"/>
  <c r="C984" i="1"/>
  <c r="D984" i="1"/>
  <c r="C983" i="1"/>
  <c r="D983" i="1"/>
  <c r="C982" i="1"/>
  <c r="D982" i="1"/>
  <c r="C981" i="1"/>
  <c r="D981" i="1"/>
  <c r="C980" i="1"/>
  <c r="D980" i="1"/>
  <c r="C979" i="1"/>
  <c r="D979" i="1"/>
  <c r="C978" i="1"/>
  <c r="D978" i="1"/>
  <c r="C977" i="1"/>
  <c r="D977" i="1"/>
  <c r="C976" i="1"/>
  <c r="D976" i="1"/>
  <c r="C975" i="1"/>
  <c r="D975" i="1"/>
  <c r="C974" i="1"/>
  <c r="D974" i="1"/>
  <c r="C973" i="1"/>
  <c r="D973" i="1"/>
  <c r="C972" i="1"/>
  <c r="D972" i="1"/>
  <c r="C971" i="1"/>
  <c r="D971" i="1"/>
  <c r="C970" i="1"/>
  <c r="D970" i="1"/>
  <c r="C969" i="1"/>
  <c r="D969" i="1"/>
  <c r="C968" i="1"/>
  <c r="D968" i="1"/>
  <c r="C967" i="1"/>
  <c r="D967" i="1"/>
  <c r="C966" i="1"/>
  <c r="D966" i="1"/>
  <c r="C965" i="1"/>
  <c r="D965" i="1"/>
  <c r="C964" i="1"/>
  <c r="D964" i="1"/>
  <c r="C963" i="1"/>
  <c r="D963" i="1"/>
  <c r="C962" i="1"/>
  <c r="D962" i="1"/>
  <c r="C961" i="1"/>
  <c r="D961" i="1"/>
  <c r="C960" i="1"/>
  <c r="D960" i="1"/>
  <c r="C959" i="1"/>
  <c r="D959" i="1"/>
  <c r="C958" i="1"/>
  <c r="D958" i="1"/>
  <c r="C957" i="1"/>
  <c r="D957" i="1"/>
  <c r="C956" i="1"/>
  <c r="D956" i="1"/>
  <c r="C955" i="1"/>
  <c r="D955" i="1"/>
  <c r="C954" i="1"/>
  <c r="D954" i="1"/>
  <c r="C953" i="1"/>
  <c r="D953" i="1"/>
  <c r="C952" i="1"/>
  <c r="D952" i="1"/>
  <c r="C951" i="1"/>
  <c r="D951" i="1"/>
  <c r="C950" i="1"/>
  <c r="D950" i="1"/>
  <c r="C949" i="1"/>
  <c r="D949" i="1"/>
  <c r="C948" i="1"/>
  <c r="D948" i="1"/>
  <c r="C947" i="1"/>
  <c r="D947" i="1"/>
  <c r="C946" i="1"/>
  <c r="D946" i="1"/>
  <c r="C945" i="1"/>
  <c r="D945" i="1"/>
  <c r="C944" i="1"/>
  <c r="D944" i="1"/>
  <c r="C943" i="1"/>
  <c r="D943" i="1"/>
  <c r="C942" i="1"/>
  <c r="D942" i="1"/>
  <c r="C941" i="1"/>
  <c r="D941" i="1"/>
  <c r="C940" i="1"/>
  <c r="D940" i="1"/>
  <c r="C939" i="1"/>
  <c r="D939" i="1"/>
  <c r="C938" i="1"/>
  <c r="D938" i="1"/>
  <c r="C937" i="1"/>
  <c r="D937" i="1"/>
  <c r="C936" i="1"/>
  <c r="D936" i="1"/>
  <c r="C935" i="1"/>
  <c r="D935" i="1"/>
  <c r="C934" i="1"/>
  <c r="D934" i="1"/>
  <c r="C933" i="1"/>
  <c r="D933" i="1"/>
  <c r="C932" i="1"/>
  <c r="D932" i="1"/>
  <c r="C931" i="1"/>
  <c r="D931" i="1"/>
  <c r="C930" i="1"/>
  <c r="D930" i="1"/>
  <c r="C929" i="1"/>
  <c r="D929" i="1"/>
  <c r="C928" i="1"/>
  <c r="D928" i="1"/>
  <c r="C927" i="1"/>
  <c r="D927" i="1"/>
  <c r="C926" i="1"/>
  <c r="D926" i="1"/>
  <c r="C925" i="1"/>
  <c r="D925" i="1"/>
  <c r="C924" i="1"/>
  <c r="D924" i="1"/>
  <c r="C923" i="1"/>
  <c r="D923" i="1"/>
  <c r="C922" i="1"/>
  <c r="D922" i="1"/>
  <c r="C921" i="1"/>
  <c r="D921" i="1"/>
  <c r="C920" i="1"/>
  <c r="D920" i="1"/>
  <c r="C919" i="1"/>
  <c r="D919" i="1"/>
  <c r="C918" i="1"/>
  <c r="D918" i="1"/>
  <c r="C917" i="1"/>
  <c r="D917" i="1"/>
  <c r="C916" i="1"/>
  <c r="D916" i="1"/>
  <c r="C915" i="1"/>
  <c r="D915" i="1"/>
  <c r="C914" i="1"/>
  <c r="D914" i="1"/>
  <c r="C913" i="1"/>
  <c r="D913" i="1"/>
  <c r="C912" i="1"/>
  <c r="D912" i="1"/>
  <c r="C911" i="1"/>
  <c r="D911" i="1"/>
  <c r="C910" i="1"/>
  <c r="D910" i="1"/>
  <c r="C909" i="1"/>
  <c r="D909" i="1"/>
  <c r="C908" i="1"/>
  <c r="D908" i="1"/>
  <c r="C907" i="1"/>
  <c r="D907" i="1"/>
  <c r="C906" i="1"/>
  <c r="D906" i="1"/>
  <c r="C905" i="1"/>
  <c r="D905" i="1"/>
  <c r="C904" i="1"/>
  <c r="D904" i="1"/>
  <c r="C903" i="1"/>
  <c r="D903" i="1"/>
  <c r="C902" i="1"/>
  <c r="D902" i="1"/>
  <c r="C901" i="1"/>
  <c r="D901" i="1"/>
  <c r="C900" i="1"/>
  <c r="D900" i="1"/>
  <c r="C899" i="1"/>
  <c r="D899" i="1"/>
  <c r="C898" i="1"/>
  <c r="D898" i="1"/>
  <c r="C897" i="1"/>
  <c r="D897" i="1"/>
  <c r="C896" i="1"/>
  <c r="D896" i="1"/>
  <c r="C895" i="1"/>
  <c r="D895" i="1"/>
  <c r="C894" i="1"/>
  <c r="D894" i="1"/>
  <c r="C893" i="1"/>
  <c r="D893" i="1"/>
  <c r="C892" i="1"/>
  <c r="D892" i="1"/>
  <c r="C891" i="1"/>
  <c r="D891" i="1"/>
  <c r="C890" i="1"/>
  <c r="D890" i="1"/>
  <c r="C889" i="1"/>
  <c r="D889" i="1"/>
  <c r="C887" i="1"/>
  <c r="D887" i="1"/>
  <c r="C886" i="1"/>
  <c r="D886" i="1"/>
  <c r="C885" i="1"/>
  <c r="D885" i="1"/>
  <c r="C884" i="1"/>
  <c r="D884" i="1"/>
  <c r="C883" i="1"/>
  <c r="D883" i="1"/>
  <c r="C882" i="1"/>
  <c r="D882" i="1"/>
  <c r="C881" i="1"/>
  <c r="D881" i="1"/>
  <c r="C880" i="1"/>
  <c r="D880" i="1"/>
  <c r="C879" i="1"/>
  <c r="D879" i="1"/>
  <c r="C878" i="1"/>
  <c r="D878" i="1"/>
  <c r="C877" i="1"/>
  <c r="D877" i="1"/>
  <c r="C876" i="1"/>
  <c r="D876" i="1"/>
  <c r="C875" i="1"/>
  <c r="D875" i="1"/>
  <c r="C874" i="1"/>
  <c r="D874" i="1"/>
  <c r="C873" i="1"/>
  <c r="D873" i="1"/>
  <c r="C872" i="1"/>
  <c r="D872" i="1"/>
  <c r="C871" i="1"/>
  <c r="D871" i="1"/>
  <c r="C870" i="1"/>
  <c r="D870" i="1"/>
  <c r="C869" i="1"/>
  <c r="D869" i="1"/>
  <c r="C868" i="1"/>
  <c r="D868" i="1"/>
  <c r="C867" i="1"/>
  <c r="D867" i="1"/>
  <c r="C866" i="1"/>
  <c r="D866" i="1"/>
  <c r="C865" i="1"/>
  <c r="D865" i="1"/>
  <c r="C864" i="1"/>
  <c r="D864" i="1"/>
  <c r="C863" i="1"/>
  <c r="D863" i="1"/>
  <c r="C862" i="1"/>
  <c r="D862" i="1"/>
  <c r="C861" i="1"/>
  <c r="D861" i="1"/>
  <c r="C860" i="1"/>
  <c r="D860" i="1"/>
  <c r="C859" i="1"/>
  <c r="D859" i="1"/>
  <c r="C858" i="1"/>
  <c r="D858" i="1"/>
  <c r="C857" i="1"/>
  <c r="D857" i="1"/>
  <c r="C856" i="1"/>
  <c r="D856" i="1"/>
  <c r="C855" i="1"/>
  <c r="D855" i="1"/>
  <c r="C854" i="1"/>
  <c r="D854" i="1"/>
  <c r="C853" i="1"/>
  <c r="D853" i="1"/>
  <c r="C852" i="1"/>
  <c r="D852" i="1"/>
  <c r="C851" i="1"/>
  <c r="D851" i="1"/>
  <c r="C850" i="1"/>
  <c r="D850" i="1"/>
  <c r="C849" i="1"/>
  <c r="D849" i="1"/>
  <c r="C848" i="1"/>
  <c r="D848" i="1"/>
  <c r="C847" i="1"/>
  <c r="D847" i="1"/>
  <c r="C846" i="1"/>
  <c r="D846" i="1"/>
  <c r="C845" i="1"/>
  <c r="D845" i="1"/>
  <c r="C844" i="1"/>
  <c r="D844" i="1"/>
  <c r="C843" i="1"/>
  <c r="D843" i="1"/>
  <c r="C842" i="1"/>
  <c r="D842" i="1"/>
  <c r="C841" i="1"/>
  <c r="D841" i="1"/>
  <c r="C840" i="1"/>
  <c r="D840" i="1"/>
  <c r="C839" i="1"/>
  <c r="D839" i="1"/>
  <c r="C838" i="1"/>
  <c r="D838" i="1"/>
  <c r="C837" i="1"/>
  <c r="D837" i="1"/>
  <c r="C836" i="1"/>
  <c r="D836" i="1"/>
  <c r="C835" i="1"/>
  <c r="D835" i="1"/>
  <c r="C834" i="1"/>
  <c r="D834" i="1"/>
  <c r="C833" i="1"/>
  <c r="D833" i="1"/>
  <c r="C832" i="1"/>
  <c r="D832" i="1"/>
  <c r="C831" i="1"/>
  <c r="D831" i="1"/>
  <c r="C830" i="1"/>
  <c r="D830" i="1"/>
  <c r="C829" i="1"/>
  <c r="D829" i="1"/>
  <c r="C828" i="1"/>
  <c r="D828" i="1"/>
  <c r="C827" i="1"/>
  <c r="D827" i="1"/>
  <c r="C826" i="1"/>
  <c r="D826" i="1"/>
  <c r="C825" i="1"/>
  <c r="D825" i="1"/>
  <c r="C824" i="1"/>
  <c r="D824" i="1"/>
  <c r="C823" i="1"/>
  <c r="D823" i="1"/>
  <c r="C822" i="1"/>
  <c r="D822" i="1"/>
  <c r="C821" i="1"/>
  <c r="D821" i="1"/>
  <c r="C820" i="1"/>
  <c r="D820" i="1"/>
  <c r="C819" i="1"/>
  <c r="D819" i="1"/>
  <c r="C818" i="1"/>
  <c r="D818" i="1"/>
  <c r="C817" i="1"/>
  <c r="D817" i="1"/>
  <c r="C816" i="1"/>
  <c r="D816" i="1"/>
  <c r="C815" i="1"/>
  <c r="D815" i="1"/>
  <c r="C814" i="1"/>
  <c r="D814" i="1"/>
  <c r="C813" i="1"/>
  <c r="D813" i="1"/>
  <c r="C812" i="1"/>
  <c r="D812" i="1"/>
  <c r="C811" i="1"/>
  <c r="D811" i="1"/>
  <c r="C810" i="1"/>
  <c r="D810" i="1"/>
  <c r="C809" i="1"/>
  <c r="D809" i="1"/>
  <c r="C808" i="1"/>
  <c r="D808" i="1"/>
  <c r="C807" i="1"/>
  <c r="D807" i="1"/>
  <c r="C806" i="1"/>
  <c r="D806" i="1"/>
  <c r="C805" i="1"/>
  <c r="D805" i="1"/>
  <c r="C804" i="1"/>
  <c r="D804" i="1"/>
  <c r="C803" i="1"/>
  <c r="D803" i="1"/>
  <c r="C802" i="1"/>
  <c r="D802" i="1"/>
  <c r="C801" i="1"/>
  <c r="D801" i="1"/>
  <c r="C800" i="1"/>
  <c r="D800" i="1"/>
  <c r="C799" i="1"/>
  <c r="D799" i="1"/>
  <c r="C798" i="1"/>
  <c r="D798" i="1"/>
  <c r="C797" i="1"/>
  <c r="D797" i="1"/>
  <c r="C796" i="1"/>
  <c r="D796" i="1"/>
  <c r="C795" i="1"/>
  <c r="D795" i="1"/>
  <c r="C794" i="1"/>
  <c r="D794" i="1"/>
  <c r="C793" i="1"/>
  <c r="D793" i="1"/>
  <c r="C792" i="1"/>
  <c r="D792" i="1"/>
  <c r="C791" i="1"/>
  <c r="D791" i="1"/>
  <c r="C790" i="1"/>
  <c r="D790" i="1"/>
  <c r="C789" i="1"/>
  <c r="D789" i="1"/>
  <c r="C788" i="1"/>
  <c r="D788" i="1"/>
  <c r="C787" i="1"/>
  <c r="D787" i="1"/>
  <c r="C786" i="1"/>
  <c r="D786" i="1"/>
  <c r="C785" i="1"/>
  <c r="D785" i="1"/>
  <c r="C784" i="1"/>
  <c r="D784" i="1"/>
  <c r="C783" i="1"/>
  <c r="D783" i="1"/>
  <c r="C782" i="1"/>
  <c r="D782" i="1"/>
  <c r="C781" i="1"/>
  <c r="D781" i="1"/>
  <c r="C780" i="1"/>
  <c r="D780" i="1"/>
  <c r="C779" i="1"/>
  <c r="D779" i="1"/>
  <c r="C778" i="1"/>
  <c r="D778" i="1"/>
  <c r="C777" i="1"/>
  <c r="D777" i="1"/>
  <c r="C776" i="1"/>
  <c r="D776" i="1"/>
  <c r="C775" i="1"/>
  <c r="D775" i="1"/>
  <c r="C774" i="1"/>
  <c r="D774" i="1"/>
  <c r="C773" i="1"/>
  <c r="D773" i="1"/>
  <c r="C772" i="1"/>
  <c r="D772" i="1"/>
  <c r="C771" i="1"/>
  <c r="D771" i="1"/>
  <c r="C770" i="1"/>
  <c r="D770" i="1"/>
  <c r="C769" i="1"/>
  <c r="D769" i="1"/>
  <c r="C768" i="1"/>
  <c r="D768" i="1"/>
  <c r="C767" i="1"/>
  <c r="D767" i="1"/>
  <c r="C766" i="1"/>
  <c r="D766" i="1"/>
  <c r="C765" i="1"/>
  <c r="D765" i="1"/>
  <c r="C764" i="1"/>
  <c r="D764" i="1"/>
  <c r="C763" i="1"/>
  <c r="D763" i="1"/>
  <c r="C762" i="1"/>
  <c r="D762" i="1"/>
  <c r="C761" i="1"/>
  <c r="D761" i="1"/>
  <c r="C760" i="1"/>
  <c r="D760" i="1"/>
  <c r="C759" i="1"/>
  <c r="D759" i="1"/>
  <c r="C758" i="1"/>
  <c r="D758" i="1"/>
  <c r="C757" i="1"/>
  <c r="D757" i="1"/>
  <c r="C756" i="1"/>
  <c r="D756" i="1"/>
  <c r="C755" i="1"/>
  <c r="D755" i="1"/>
  <c r="C754" i="1"/>
  <c r="D754" i="1"/>
  <c r="C753" i="1"/>
  <c r="D753" i="1"/>
  <c r="C752" i="1"/>
  <c r="D752" i="1"/>
  <c r="C751" i="1"/>
  <c r="D751" i="1"/>
  <c r="C750" i="1"/>
  <c r="D750" i="1"/>
  <c r="C749" i="1"/>
  <c r="D749" i="1"/>
  <c r="C748" i="1"/>
  <c r="D748" i="1"/>
  <c r="C747" i="1"/>
  <c r="D747" i="1"/>
  <c r="C746" i="1"/>
  <c r="D746" i="1"/>
  <c r="C745" i="1"/>
  <c r="D745" i="1"/>
  <c r="C744" i="1"/>
  <c r="D744" i="1"/>
  <c r="C743" i="1"/>
  <c r="D743" i="1"/>
  <c r="C742" i="1"/>
  <c r="D742" i="1"/>
  <c r="C741" i="1"/>
  <c r="D741" i="1"/>
  <c r="C740" i="1"/>
  <c r="D740" i="1"/>
  <c r="C739" i="1"/>
  <c r="D739" i="1"/>
  <c r="C738" i="1"/>
  <c r="D738" i="1"/>
  <c r="C737" i="1"/>
  <c r="D737" i="1"/>
  <c r="C736" i="1"/>
  <c r="D736" i="1"/>
  <c r="C735" i="1"/>
  <c r="D735" i="1"/>
  <c r="C734" i="1"/>
  <c r="D734" i="1"/>
  <c r="C733" i="1"/>
  <c r="D733" i="1"/>
  <c r="C732" i="1"/>
  <c r="D732" i="1"/>
  <c r="C731" i="1"/>
  <c r="D731" i="1"/>
  <c r="C730" i="1"/>
  <c r="D730" i="1"/>
  <c r="C729" i="1"/>
  <c r="D729" i="1"/>
  <c r="C728" i="1"/>
  <c r="D728" i="1"/>
  <c r="C727" i="1"/>
  <c r="D727" i="1"/>
  <c r="C726" i="1"/>
  <c r="D726" i="1"/>
  <c r="C725" i="1"/>
  <c r="D725" i="1"/>
  <c r="C724" i="1"/>
  <c r="D724" i="1"/>
  <c r="C723" i="1"/>
  <c r="D723" i="1"/>
  <c r="C722" i="1"/>
  <c r="D722" i="1"/>
  <c r="C721" i="1"/>
  <c r="D721" i="1"/>
  <c r="C720" i="1"/>
  <c r="D720" i="1"/>
  <c r="C719" i="1"/>
  <c r="D719" i="1"/>
  <c r="C718" i="1"/>
  <c r="D718" i="1"/>
  <c r="C717" i="1"/>
  <c r="D717" i="1"/>
  <c r="C716" i="1"/>
  <c r="D716" i="1"/>
  <c r="C715" i="1"/>
  <c r="D715" i="1"/>
  <c r="C714" i="1"/>
  <c r="D714" i="1"/>
  <c r="C713" i="1"/>
  <c r="D713" i="1"/>
  <c r="C712" i="1"/>
  <c r="D712" i="1"/>
  <c r="C711" i="1"/>
  <c r="D711" i="1"/>
  <c r="C710" i="1"/>
  <c r="D710" i="1"/>
  <c r="C709" i="1"/>
  <c r="D709" i="1"/>
  <c r="C708" i="1"/>
  <c r="D708" i="1"/>
  <c r="C707" i="1"/>
  <c r="D707" i="1"/>
  <c r="C706" i="1"/>
  <c r="D706" i="1"/>
  <c r="C705" i="1"/>
  <c r="D705" i="1"/>
  <c r="C704" i="1"/>
  <c r="D704" i="1"/>
  <c r="C703" i="1"/>
  <c r="D703" i="1"/>
  <c r="C702" i="1"/>
  <c r="D702" i="1"/>
  <c r="C701" i="1"/>
  <c r="D701" i="1"/>
  <c r="C700" i="1"/>
  <c r="D700" i="1"/>
  <c r="C699" i="1"/>
  <c r="D699" i="1"/>
  <c r="C698" i="1"/>
  <c r="D698" i="1"/>
  <c r="C697" i="1"/>
  <c r="D697" i="1"/>
  <c r="C696" i="1"/>
  <c r="D696" i="1"/>
  <c r="C695" i="1"/>
  <c r="D695" i="1"/>
  <c r="C694" i="1"/>
  <c r="D694" i="1"/>
  <c r="C693" i="1"/>
  <c r="D693" i="1"/>
  <c r="C692" i="1"/>
  <c r="D692" i="1"/>
  <c r="C691" i="1"/>
  <c r="D691" i="1"/>
  <c r="C690" i="1"/>
  <c r="D690" i="1"/>
  <c r="C689" i="1"/>
  <c r="D689" i="1"/>
  <c r="C688" i="1"/>
  <c r="D688" i="1"/>
  <c r="C687" i="1"/>
  <c r="D687" i="1"/>
  <c r="C686" i="1"/>
  <c r="D686" i="1"/>
  <c r="C685" i="1"/>
  <c r="D685" i="1"/>
  <c r="C684" i="1"/>
  <c r="D684" i="1"/>
  <c r="C683" i="1"/>
  <c r="D683" i="1"/>
  <c r="C682" i="1"/>
  <c r="D682" i="1"/>
  <c r="C681" i="1"/>
  <c r="D681" i="1"/>
  <c r="C680" i="1"/>
  <c r="D680" i="1"/>
  <c r="C679" i="1"/>
  <c r="D679" i="1"/>
  <c r="C678" i="1"/>
  <c r="D678" i="1"/>
  <c r="C677" i="1"/>
  <c r="D677" i="1"/>
  <c r="C676" i="1"/>
  <c r="D676" i="1"/>
  <c r="C675" i="1"/>
  <c r="D675" i="1"/>
  <c r="C674" i="1"/>
  <c r="D674" i="1"/>
  <c r="C673" i="1"/>
  <c r="D673" i="1"/>
  <c r="C672" i="1"/>
  <c r="D672" i="1"/>
  <c r="C671" i="1"/>
  <c r="D671" i="1"/>
  <c r="C670" i="1"/>
  <c r="D670" i="1"/>
  <c r="C669" i="1"/>
  <c r="D669" i="1"/>
  <c r="C668" i="1"/>
  <c r="D668" i="1"/>
  <c r="C667" i="1"/>
  <c r="D667" i="1"/>
  <c r="C666" i="1"/>
  <c r="D666" i="1"/>
  <c r="C665" i="1"/>
  <c r="D665" i="1"/>
  <c r="C664" i="1"/>
  <c r="D664" i="1"/>
  <c r="C663" i="1"/>
  <c r="D663" i="1"/>
  <c r="C662" i="1"/>
  <c r="D662" i="1"/>
  <c r="C661" i="1"/>
  <c r="D661" i="1"/>
  <c r="C660" i="1"/>
  <c r="D660" i="1"/>
  <c r="C659" i="1"/>
  <c r="D659" i="1"/>
  <c r="C658" i="1"/>
  <c r="D658" i="1"/>
  <c r="C657" i="1"/>
  <c r="D657" i="1"/>
  <c r="C656" i="1"/>
  <c r="D656" i="1"/>
  <c r="C655" i="1"/>
  <c r="D655" i="1"/>
  <c r="C654" i="1"/>
  <c r="D654" i="1"/>
  <c r="C653" i="1"/>
  <c r="D653" i="1"/>
  <c r="C652" i="1"/>
  <c r="D652" i="1"/>
  <c r="C651" i="1"/>
  <c r="D651" i="1"/>
  <c r="C650" i="1"/>
  <c r="D650" i="1"/>
  <c r="C649" i="1"/>
  <c r="D649" i="1"/>
  <c r="C648" i="1"/>
  <c r="D648" i="1"/>
  <c r="C647" i="1"/>
  <c r="D647" i="1"/>
  <c r="C646" i="1"/>
  <c r="D646" i="1"/>
  <c r="C645" i="1"/>
  <c r="D645" i="1"/>
  <c r="C644" i="1"/>
  <c r="D644" i="1"/>
  <c r="C643" i="1"/>
  <c r="D643" i="1"/>
  <c r="C642" i="1"/>
  <c r="D642" i="1"/>
  <c r="C641" i="1"/>
  <c r="D641" i="1"/>
  <c r="C640" i="1"/>
  <c r="D640" i="1"/>
  <c r="C639" i="1"/>
  <c r="D639" i="1"/>
  <c r="C638" i="1"/>
  <c r="D638" i="1"/>
  <c r="C637" i="1"/>
  <c r="D637" i="1"/>
  <c r="C636" i="1"/>
  <c r="D636" i="1"/>
  <c r="C635" i="1"/>
  <c r="D635" i="1"/>
  <c r="C634" i="1"/>
  <c r="D634" i="1"/>
  <c r="C633" i="1"/>
  <c r="D633" i="1"/>
  <c r="C632" i="1"/>
  <c r="D632" i="1"/>
  <c r="C631" i="1"/>
  <c r="D631" i="1"/>
  <c r="C630" i="1"/>
  <c r="D630" i="1"/>
  <c r="C629" i="1"/>
  <c r="D629" i="1"/>
  <c r="C628" i="1"/>
  <c r="D628" i="1"/>
  <c r="C627" i="1"/>
  <c r="D627" i="1"/>
  <c r="C626" i="1"/>
  <c r="D626" i="1"/>
  <c r="C625" i="1"/>
  <c r="D625" i="1"/>
  <c r="C624" i="1"/>
  <c r="D624" i="1"/>
  <c r="C623" i="1"/>
  <c r="D623" i="1"/>
  <c r="C622" i="1"/>
  <c r="D622" i="1"/>
  <c r="C621" i="1"/>
  <c r="D621" i="1"/>
  <c r="C620" i="1"/>
  <c r="D620" i="1"/>
  <c r="C619" i="1"/>
  <c r="D619" i="1"/>
  <c r="C618" i="1"/>
  <c r="D618" i="1"/>
  <c r="C617" i="1"/>
  <c r="D617" i="1"/>
  <c r="C616" i="1"/>
  <c r="D616" i="1"/>
  <c r="C615" i="1"/>
  <c r="D615" i="1"/>
  <c r="C614" i="1"/>
  <c r="D614" i="1"/>
  <c r="C613" i="1"/>
  <c r="D613" i="1"/>
  <c r="C612" i="1"/>
  <c r="D612" i="1"/>
  <c r="C611" i="1"/>
  <c r="D611" i="1"/>
  <c r="C610" i="1"/>
  <c r="D610" i="1"/>
  <c r="C609" i="1"/>
  <c r="D609" i="1"/>
  <c r="C608" i="1"/>
  <c r="D608" i="1"/>
  <c r="C607" i="1"/>
  <c r="D607" i="1"/>
  <c r="C606" i="1"/>
  <c r="D606" i="1"/>
  <c r="C605" i="1"/>
  <c r="D605" i="1"/>
  <c r="C604" i="1"/>
  <c r="D604" i="1"/>
  <c r="C603" i="1"/>
  <c r="D603" i="1"/>
  <c r="C602" i="1"/>
  <c r="D602" i="1"/>
  <c r="C601" i="1"/>
  <c r="D601" i="1"/>
  <c r="C600" i="1"/>
  <c r="D600" i="1"/>
  <c r="C599" i="1"/>
  <c r="D599" i="1"/>
  <c r="C598" i="1"/>
  <c r="D598" i="1"/>
  <c r="C597" i="1"/>
  <c r="D597" i="1"/>
  <c r="C596" i="1"/>
  <c r="D596" i="1"/>
  <c r="C595" i="1"/>
  <c r="D595" i="1"/>
  <c r="C594" i="1"/>
  <c r="D594" i="1"/>
  <c r="C593" i="1"/>
  <c r="D593" i="1"/>
  <c r="C592" i="1"/>
  <c r="D592" i="1"/>
  <c r="C591" i="1"/>
  <c r="D591" i="1"/>
  <c r="C590" i="1"/>
  <c r="D590" i="1"/>
  <c r="C589" i="1"/>
  <c r="D589" i="1"/>
  <c r="C588" i="1"/>
  <c r="D588" i="1"/>
  <c r="C587" i="1"/>
  <c r="D587" i="1"/>
  <c r="C586" i="1"/>
  <c r="D586" i="1"/>
  <c r="C585" i="1"/>
  <c r="D585" i="1"/>
  <c r="C584" i="1"/>
  <c r="D584" i="1"/>
  <c r="C583" i="1"/>
  <c r="D583" i="1"/>
  <c r="C582" i="1"/>
  <c r="D582" i="1"/>
  <c r="C581" i="1"/>
  <c r="D581" i="1"/>
  <c r="C580" i="1"/>
  <c r="D580" i="1"/>
  <c r="C579" i="1"/>
  <c r="D579" i="1"/>
  <c r="C578" i="1"/>
  <c r="D578" i="1"/>
  <c r="C577" i="1"/>
  <c r="D577" i="1"/>
  <c r="C576" i="1"/>
  <c r="D576" i="1"/>
  <c r="C575" i="1"/>
  <c r="D575" i="1"/>
  <c r="C574" i="1"/>
  <c r="D574" i="1"/>
  <c r="C573" i="1"/>
  <c r="D573" i="1"/>
  <c r="C572" i="1"/>
  <c r="D572" i="1"/>
  <c r="C571" i="1"/>
  <c r="D571" i="1"/>
  <c r="C570" i="1"/>
  <c r="D570" i="1"/>
  <c r="C569" i="1"/>
  <c r="D569" i="1"/>
  <c r="C568" i="1"/>
  <c r="D568" i="1"/>
  <c r="C567" i="1"/>
  <c r="D567" i="1"/>
  <c r="C566" i="1"/>
  <c r="D566" i="1"/>
  <c r="C565" i="1"/>
  <c r="D565" i="1"/>
  <c r="C564" i="1"/>
  <c r="D564" i="1"/>
  <c r="C563" i="1"/>
  <c r="D563" i="1"/>
  <c r="C562" i="1"/>
  <c r="D562" i="1"/>
  <c r="C561" i="1"/>
  <c r="D561" i="1"/>
  <c r="C560" i="1"/>
  <c r="D560" i="1"/>
  <c r="C559" i="1"/>
  <c r="D559" i="1"/>
  <c r="C558" i="1"/>
  <c r="D558" i="1"/>
  <c r="C557" i="1"/>
  <c r="D557" i="1"/>
  <c r="C556" i="1"/>
  <c r="D556" i="1"/>
  <c r="C555" i="1"/>
  <c r="D555" i="1"/>
  <c r="C554" i="1"/>
  <c r="D554" i="1"/>
  <c r="C553" i="1"/>
  <c r="D553" i="1"/>
  <c r="C552" i="1"/>
  <c r="D552" i="1"/>
  <c r="C551" i="1"/>
  <c r="D551" i="1"/>
  <c r="C550" i="1"/>
  <c r="D550" i="1"/>
  <c r="C549" i="1"/>
  <c r="D549" i="1"/>
  <c r="C548" i="1"/>
  <c r="D548" i="1"/>
  <c r="C547" i="1"/>
  <c r="D547" i="1"/>
  <c r="C546" i="1"/>
  <c r="D546" i="1"/>
  <c r="C545" i="1"/>
  <c r="D545" i="1"/>
  <c r="C544" i="1"/>
  <c r="D544" i="1"/>
  <c r="C543" i="1"/>
  <c r="D543" i="1"/>
  <c r="C542" i="1"/>
  <c r="D542" i="1"/>
  <c r="C541" i="1"/>
  <c r="D541" i="1"/>
  <c r="C540" i="1"/>
  <c r="D540" i="1"/>
  <c r="C539" i="1"/>
  <c r="D539" i="1"/>
  <c r="C538" i="1"/>
  <c r="D538" i="1"/>
  <c r="C537" i="1"/>
  <c r="D537" i="1"/>
  <c r="C536" i="1"/>
  <c r="D536" i="1"/>
  <c r="C535" i="1"/>
  <c r="D535" i="1"/>
  <c r="C534" i="1"/>
  <c r="D534" i="1"/>
  <c r="C533" i="1"/>
  <c r="D533" i="1"/>
  <c r="C532" i="1"/>
  <c r="D532" i="1"/>
  <c r="C531" i="1"/>
  <c r="D531" i="1"/>
  <c r="C530" i="1"/>
  <c r="D530" i="1"/>
  <c r="C529" i="1"/>
  <c r="D529" i="1"/>
  <c r="C528" i="1"/>
  <c r="D528" i="1"/>
  <c r="C527" i="1"/>
  <c r="D527" i="1"/>
  <c r="C526" i="1"/>
  <c r="D526" i="1"/>
  <c r="C525" i="1"/>
  <c r="D525" i="1"/>
  <c r="C524" i="1"/>
  <c r="D524" i="1"/>
  <c r="C523" i="1"/>
  <c r="D523" i="1"/>
  <c r="C522" i="1"/>
  <c r="D522" i="1"/>
  <c r="C521" i="1"/>
  <c r="D521" i="1"/>
  <c r="C520" i="1"/>
  <c r="D520" i="1"/>
  <c r="C519" i="1"/>
  <c r="D519" i="1"/>
  <c r="C518" i="1"/>
  <c r="D518" i="1"/>
  <c r="C517" i="1"/>
  <c r="D517" i="1"/>
  <c r="C516" i="1"/>
  <c r="D516" i="1"/>
  <c r="C515" i="1"/>
  <c r="D515" i="1"/>
  <c r="C514" i="1"/>
  <c r="D514" i="1"/>
  <c r="C513" i="1"/>
  <c r="D513" i="1"/>
  <c r="C512" i="1"/>
  <c r="D512" i="1"/>
  <c r="C511" i="1"/>
  <c r="D511" i="1"/>
  <c r="C510" i="1"/>
  <c r="D510" i="1"/>
  <c r="C509" i="1"/>
  <c r="D509" i="1"/>
  <c r="C508" i="1"/>
  <c r="D508" i="1"/>
  <c r="C507" i="1"/>
  <c r="D507" i="1"/>
  <c r="C506" i="1"/>
  <c r="D506" i="1"/>
  <c r="C505" i="1"/>
  <c r="D505" i="1"/>
  <c r="C504" i="1"/>
  <c r="D504" i="1"/>
  <c r="C503" i="1"/>
  <c r="D503" i="1"/>
  <c r="C502" i="1"/>
  <c r="D502" i="1"/>
  <c r="C501" i="1"/>
  <c r="D501" i="1"/>
  <c r="C500" i="1"/>
  <c r="D500" i="1"/>
  <c r="C499" i="1"/>
  <c r="D499" i="1"/>
  <c r="C498" i="1"/>
  <c r="D498" i="1"/>
  <c r="C497" i="1"/>
  <c r="D497" i="1"/>
  <c r="C496" i="1"/>
  <c r="D496" i="1"/>
  <c r="C495" i="1"/>
  <c r="D495" i="1"/>
  <c r="C494" i="1"/>
  <c r="D494" i="1"/>
  <c r="C493" i="1"/>
  <c r="D493" i="1"/>
  <c r="C492" i="1"/>
  <c r="D492" i="1"/>
  <c r="C491" i="1"/>
  <c r="D491" i="1"/>
  <c r="C490" i="1"/>
  <c r="D490" i="1"/>
  <c r="C489" i="1"/>
  <c r="D489" i="1"/>
  <c r="C488" i="1"/>
  <c r="D488" i="1"/>
  <c r="C487" i="1"/>
  <c r="D487" i="1"/>
  <c r="C486" i="1"/>
  <c r="D486" i="1"/>
  <c r="C485" i="1"/>
  <c r="D485" i="1"/>
  <c r="C484" i="1"/>
  <c r="D484" i="1"/>
  <c r="C483" i="1"/>
  <c r="D483" i="1"/>
  <c r="C482" i="1"/>
  <c r="D482" i="1"/>
  <c r="C481" i="1"/>
  <c r="D481" i="1"/>
  <c r="C480" i="1"/>
  <c r="D480" i="1"/>
  <c r="C479" i="1"/>
  <c r="D479" i="1"/>
  <c r="C478" i="1"/>
  <c r="D478" i="1"/>
  <c r="C477" i="1"/>
  <c r="D477" i="1"/>
  <c r="C476" i="1"/>
  <c r="D476" i="1"/>
  <c r="C475" i="1"/>
  <c r="D475" i="1"/>
  <c r="C474" i="1"/>
  <c r="D474" i="1"/>
  <c r="C473" i="1"/>
  <c r="D473" i="1"/>
  <c r="C472" i="1"/>
  <c r="D472" i="1"/>
  <c r="C471" i="1"/>
  <c r="D471" i="1"/>
  <c r="C470" i="1"/>
  <c r="D470" i="1"/>
  <c r="C469" i="1"/>
  <c r="D469" i="1"/>
  <c r="C468" i="1"/>
  <c r="D468" i="1"/>
  <c r="C467" i="1"/>
  <c r="D467" i="1"/>
  <c r="C466" i="1"/>
  <c r="D466" i="1"/>
  <c r="C465" i="1"/>
  <c r="D465" i="1"/>
  <c r="C464" i="1"/>
  <c r="D464" i="1"/>
  <c r="C463" i="1"/>
  <c r="D463" i="1"/>
  <c r="C462" i="1"/>
  <c r="D462" i="1"/>
  <c r="C461" i="1"/>
  <c r="D461" i="1"/>
  <c r="C460" i="1"/>
  <c r="D460" i="1"/>
  <c r="C459" i="1"/>
  <c r="D459" i="1"/>
  <c r="C458" i="1"/>
  <c r="D458" i="1"/>
  <c r="C457" i="1"/>
  <c r="D457" i="1"/>
  <c r="C456" i="1"/>
  <c r="D456" i="1"/>
  <c r="C455" i="1"/>
  <c r="D455" i="1"/>
  <c r="C454" i="1"/>
  <c r="D454" i="1"/>
  <c r="C453" i="1"/>
  <c r="D453" i="1"/>
  <c r="C452" i="1"/>
  <c r="D452" i="1"/>
  <c r="C451" i="1"/>
  <c r="D451" i="1"/>
  <c r="C450" i="1"/>
  <c r="D450" i="1"/>
  <c r="C449" i="1"/>
  <c r="D449" i="1"/>
  <c r="C448" i="1"/>
  <c r="D448" i="1"/>
  <c r="C447" i="1"/>
  <c r="D447" i="1"/>
  <c r="C446" i="1"/>
  <c r="D446" i="1"/>
  <c r="C445" i="1"/>
  <c r="D445" i="1"/>
  <c r="C444" i="1"/>
  <c r="D444" i="1"/>
  <c r="C443" i="1"/>
  <c r="D443" i="1"/>
  <c r="C442" i="1"/>
  <c r="D442" i="1"/>
  <c r="C441" i="1"/>
  <c r="D441" i="1"/>
  <c r="C440" i="1"/>
  <c r="D440" i="1"/>
  <c r="C439" i="1"/>
  <c r="D439" i="1"/>
  <c r="C438" i="1"/>
  <c r="D438" i="1"/>
  <c r="C437" i="1"/>
  <c r="D437" i="1"/>
  <c r="C436" i="1"/>
  <c r="D436" i="1"/>
  <c r="C435" i="1"/>
  <c r="D435" i="1"/>
  <c r="C434" i="1"/>
  <c r="D434" i="1"/>
  <c r="C433" i="1"/>
  <c r="D433" i="1"/>
  <c r="C432" i="1"/>
  <c r="D432" i="1"/>
  <c r="C431" i="1"/>
  <c r="D431" i="1"/>
  <c r="C430" i="1"/>
  <c r="D430" i="1"/>
  <c r="C429" i="1"/>
  <c r="D429" i="1"/>
  <c r="C428" i="1"/>
  <c r="D428" i="1"/>
  <c r="C427" i="1"/>
  <c r="D427" i="1"/>
  <c r="C426" i="1"/>
  <c r="D426" i="1"/>
  <c r="C425" i="1"/>
  <c r="D425" i="1"/>
  <c r="C424" i="1"/>
  <c r="D424" i="1"/>
  <c r="C423" i="1"/>
  <c r="D423" i="1"/>
  <c r="C422" i="1"/>
  <c r="D422" i="1"/>
  <c r="C421" i="1"/>
  <c r="D421" i="1"/>
  <c r="C420" i="1"/>
  <c r="D420" i="1"/>
  <c r="C419" i="1"/>
  <c r="D419" i="1"/>
  <c r="C418" i="1"/>
  <c r="D418" i="1"/>
  <c r="C417" i="1"/>
  <c r="D417" i="1"/>
  <c r="C416" i="1"/>
  <c r="D416" i="1"/>
  <c r="C415" i="1"/>
  <c r="D415" i="1"/>
  <c r="C414" i="1"/>
  <c r="D414" i="1"/>
  <c r="C413" i="1"/>
  <c r="D413" i="1"/>
  <c r="C412" i="1"/>
  <c r="D412" i="1"/>
  <c r="C411" i="1"/>
  <c r="D411" i="1"/>
  <c r="C410" i="1"/>
  <c r="D410" i="1"/>
  <c r="C409" i="1"/>
  <c r="D409" i="1"/>
  <c r="C408" i="1"/>
  <c r="D408" i="1"/>
  <c r="C407" i="1"/>
  <c r="D407" i="1"/>
  <c r="C406" i="1"/>
  <c r="D406" i="1"/>
  <c r="C405" i="1"/>
  <c r="D405" i="1"/>
  <c r="C404" i="1"/>
  <c r="D404" i="1"/>
  <c r="C403" i="1"/>
  <c r="D403" i="1"/>
  <c r="C402" i="1"/>
  <c r="D402" i="1"/>
  <c r="C401" i="1"/>
  <c r="D401" i="1"/>
  <c r="C400" i="1"/>
  <c r="D400" i="1"/>
  <c r="C399" i="1"/>
  <c r="D399" i="1"/>
  <c r="C398" i="1"/>
  <c r="D398" i="1"/>
  <c r="C397" i="1"/>
  <c r="D397" i="1"/>
  <c r="C396" i="1"/>
  <c r="D396" i="1"/>
  <c r="C395" i="1"/>
  <c r="D395" i="1"/>
  <c r="C394" i="1"/>
  <c r="D394" i="1"/>
  <c r="C393" i="1"/>
  <c r="D393" i="1"/>
  <c r="C392" i="1"/>
  <c r="D392" i="1"/>
  <c r="C391" i="1"/>
  <c r="D391" i="1"/>
  <c r="C390" i="1"/>
  <c r="D390" i="1"/>
  <c r="C389" i="1"/>
  <c r="D389" i="1"/>
  <c r="C388" i="1"/>
  <c r="D388" i="1"/>
  <c r="C387" i="1"/>
  <c r="D387" i="1"/>
  <c r="C386" i="1"/>
  <c r="D386" i="1"/>
  <c r="C385" i="1"/>
  <c r="D385" i="1"/>
  <c r="C384" i="1"/>
  <c r="D384" i="1"/>
  <c r="C383" i="1"/>
  <c r="D383" i="1"/>
  <c r="C382" i="1"/>
  <c r="D382" i="1"/>
  <c r="C381" i="1"/>
  <c r="D381" i="1"/>
  <c r="C380" i="1"/>
  <c r="D380" i="1"/>
  <c r="C379" i="1"/>
  <c r="D379" i="1"/>
  <c r="C378" i="1"/>
  <c r="D378" i="1"/>
  <c r="C377" i="1"/>
  <c r="D377" i="1"/>
  <c r="C376" i="1"/>
  <c r="D376" i="1"/>
  <c r="C375" i="1"/>
  <c r="D375" i="1"/>
  <c r="C374" i="1"/>
  <c r="D374" i="1"/>
  <c r="C373" i="1"/>
  <c r="D373" i="1"/>
  <c r="C372" i="1"/>
  <c r="D372" i="1"/>
  <c r="C371" i="1"/>
  <c r="D371" i="1"/>
  <c r="C370" i="1"/>
  <c r="D370" i="1"/>
  <c r="C369" i="1"/>
  <c r="D369" i="1"/>
  <c r="C368" i="1"/>
  <c r="D368" i="1"/>
  <c r="C367" i="1"/>
  <c r="D367" i="1"/>
  <c r="C366" i="1"/>
  <c r="D366" i="1"/>
  <c r="C365" i="1"/>
  <c r="D365" i="1"/>
  <c r="C364" i="1"/>
  <c r="D364" i="1"/>
  <c r="C363" i="1"/>
  <c r="D363" i="1"/>
  <c r="C362" i="1"/>
  <c r="D362" i="1"/>
  <c r="C361" i="1"/>
  <c r="D361" i="1"/>
  <c r="C360" i="1"/>
  <c r="D360" i="1"/>
  <c r="C359" i="1"/>
  <c r="D359" i="1"/>
  <c r="C358" i="1"/>
  <c r="D358" i="1"/>
  <c r="C357" i="1"/>
  <c r="D357" i="1"/>
  <c r="C356" i="1"/>
  <c r="D356" i="1"/>
  <c r="C355" i="1"/>
  <c r="D355" i="1"/>
  <c r="C354" i="1"/>
  <c r="D354" i="1"/>
  <c r="C353" i="1"/>
  <c r="D353" i="1"/>
  <c r="C352" i="1"/>
  <c r="D352" i="1"/>
  <c r="C351" i="1"/>
  <c r="D351" i="1"/>
  <c r="C350" i="1"/>
  <c r="D350" i="1"/>
  <c r="C349" i="1"/>
  <c r="D349" i="1"/>
  <c r="C348" i="1"/>
  <c r="D348" i="1"/>
  <c r="C347" i="1"/>
  <c r="D347" i="1"/>
  <c r="C346" i="1"/>
  <c r="D346" i="1"/>
  <c r="C345" i="1"/>
  <c r="D345" i="1"/>
  <c r="C344" i="1"/>
  <c r="D344" i="1"/>
  <c r="C343" i="1"/>
  <c r="D343" i="1"/>
  <c r="C342" i="1"/>
  <c r="D342" i="1"/>
  <c r="C341" i="1"/>
  <c r="D341" i="1"/>
  <c r="C340" i="1"/>
  <c r="D340" i="1"/>
  <c r="C339" i="1"/>
  <c r="D339" i="1"/>
  <c r="C338" i="1"/>
  <c r="D338" i="1"/>
  <c r="C337" i="1"/>
  <c r="D337" i="1"/>
  <c r="C336" i="1"/>
  <c r="D336" i="1"/>
  <c r="C335" i="1"/>
  <c r="D335" i="1"/>
  <c r="C334" i="1"/>
  <c r="D334" i="1"/>
  <c r="C333" i="1"/>
  <c r="D333" i="1"/>
  <c r="C332" i="1"/>
  <c r="D332" i="1"/>
  <c r="C331" i="1"/>
  <c r="D331" i="1"/>
  <c r="C330" i="1"/>
  <c r="D330" i="1"/>
  <c r="C329" i="1"/>
  <c r="D329" i="1"/>
  <c r="C328" i="1"/>
  <c r="D328" i="1"/>
  <c r="C327" i="1"/>
  <c r="D327" i="1"/>
  <c r="C326" i="1"/>
  <c r="D326" i="1"/>
  <c r="C325" i="1"/>
  <c r="D325" i="1"/>
  <c r="C324" i="1"/>
  <c r="D324" i="1"/>
  <c r="C323" i="1"/>
  <c r="D323" i="1"/>
  <c r="C322" i="1"/>
  <c r="D322" i="1"/>
  <c r="C321" i="1"/>
  <c r="D321" i="1"/>
  <c r="C320" i="1"/>
  <c r="D320" i="1"/>
  <c r="C319" i="1"/>
  <c r="D319" i="1"/>
  <c r="C318" i="1"/>
  <c r="D318" i="1"/>
  <c r="C317" i="1"/>
  <c r="D317" i="1"/>
  <c r="C316" i="1"/>
  <c r="D316" i="1"/>
  <c r="C315" i="1"/>
  <c r="D315" i="1"/>
  <c r="C314" i="1"/>
  <c r="D314" i="1"/>
  <c r="C313" i="1"/>
  <c r="D313" i="1"/>
  <c r="C312" i="1"/>
  <c r="D312" i="1"/>
  <c r="C311" i="1"/>
  <c r="D311" i="1"/>
  <c r="C310" i="1"/>
  <c r="D310" i="1"/>
  <c r="C309" i="1"/>
  <c r="D309" i="1"/>
  <c r="C308" i="1"/>
  <c r="D308" i="1"/>
  <c r="C307" i="1"/>
  <c r="D307" i="1"/>
  <c r="C306" i="1"/>
  <c r="D306" i="1"/>
  <c r="C305" i="1"/>
  <c r="D305" i="1"/>
  <c r="C304" i="1"/>
  <c r="D304" i="1"/>
  <c r="C303" i="1"/>
  <c r="D303" i="1"/>
  <c r="C302" i="1"/>
  <c r="D302" i="1"/>
  <c r="C301" i="1"/>
  <c r="D301" i="1"/>
  <c r="C300" i="1"/>
  <c r="D300" i="1"/>
  <c r="C299" i="1"/>
  <c r="D299" i="1"/>
  <c r="C298" i="1"/>
  <c r="D298" i="1"/>
  <c r="C297" i="1"/>
  <c r="D297" i="1"/>
  <c r="C296" i="1"/>
  <c r="D296" i="1"/>
  <c r="C295" i="1"/>
  <c r="D295" i="1"/>
  <c r="C294" i="1"/>
  <c r="D294" i="1"/>
  <c r="C293" i="1"/>
  <c r="D293" i="1"/>
  <c r="C292" i="1"/>
  <c r="D292" i="1"/>
  <c r="C291" i="1"/>
  <c r="D291" i="1"/>
  <c r="C290" i="1"/>
  <c r="D290" i="1"/>
  <c r="C289" i="1"/>
  <c r="D289" i="1"/>
  <c r="C288" i="1"/>
  <c r="D288" i="1"/>
  <c r="C287" i="1"/>
  <c r="D287" i="1"/>
  <c r="C286" i="1"/>
  <c r="D286" i="1"/>
  <c r="C285" i="1"/>
  <c r="D285" i="1"/>
  <c r="C284" i="1"/>
  <c r="D284" i="1"/>
  <c r="C283" i="1"/>
  <c r="D283" i="1"/>
  <c r="C282" i="1"/>
  <c r="D282" i="1"/>
  <c r="C281" i="1"/>
  <c r="D281" i="1"/>
  <c r="C280" i="1"/>
  <c r="D280" i="1"/>
  <c r="C279" i="1"/>
  <c r="D279" i="1"/>
  <c r="C278" i="1"/>
  <c r="D278" i="1"/>
  <c r="C277" i="1"/>
  <c r="D277" i="1"/>
  <c r="C276" i="1"/>
  <c r="D276" i="1"/>
  <c r="C275" i="1"/>
  <c r="D275" i="1"/>
  <c r="C274" i="1"/>
  <c r="D274" i="1"/>
  <c r="C273" i="1"/>
  <c r="D273" i="1"/>
  <c r="C272" i="1"/>
  <c r="D272" i="1"/>
  <c r="C271" i="1"/>
  <c r="D271" i="1"/>
  <c r="C270" i="1"/>
  <c r="D270" i="1"/>
  <c r="C269" i="1"/>
  <c r="D269" i="1"/>
  <c r="C268" i="1"/>
  <c r="D268" i="1"/>
  <c r="C267" i="1"/>
  <c r="D267" i="1"/>
  <c r="C266" i="1"/>
  <c r="D266" i="1"/>
  <c r="C265" i="1"/>
  <c r="D265" i="1"/>
  <c r="C264" i="1"/>
  <c r="D264" i="1"/>
  <c r="C263" i="1"/>
  <c r="D263" i="1"/>
  <c r="C262" i="1"/>
  <c r="D262" i="1"/>
  <c r="C261" i="1"/>
  <c r="D261" i="1"/>
  <c r="C260" i="1"/>
  <c r="D260" i="1"/>
  <c r="C259" i="1"/>
  <c r="D259" i="1"/>
  <c r="C258" i="1"/>
  <c r="D258" i="1"/>
  <c r="C257" i="1"/>
  <c r="D257" i="1"/>
  <c r="C256" i="1"/>
  <c r="D256" i="1"/>
  <c r="C255" i="1"/>
  <c r="D255" i="1"/>
  <c r="C254" i="1"/>
  <c r="D254" i="1"/>
  <c r="C253" i="1"/>
  <c r="D253" i="1"/>
  <c r="C252" i="1"/>
  <c r="D252" i="1"/>
  <c r="C251" i="1"/>
  <c r="D251" i="1"/>
  <c r="C250" i="1"/>
  <c r="D250" i="1"/>
  <c r="C249" i="1"/>
  <c r="D249" i="1"/>
  <c r="C248" i="1"/>
  <c r="D248" i="1"/>
  <c r="C247" i="1"/>
  <c r="D247" i="1"/>
  <c r="C246" i="1"/>
  <c r="D246" i="1"/>
  <c r="C245" i="1"/>
  <c r="D245" i="1"/>
  <c r="C244" i="1"/>
  <c r="D244" i="1"/>
  <c r="C243" i="1"/>
  <c r="D243" i="1"/>
  <c r="C242" i="1"/>
  <c r="D242" i="1"/>
  <c r="C241" i="1"/>
  <c r="D241" i="1"/>
  <c r="C240" i="1"/>
  <c r="D240" i="1"/>
  <c r="C239" i="1"/>
  <c r="D239" i="1"/>
  <c r="C238" i="1"/>
  <c r="D238" i="1"/>
  <c r="C237" i="1"/>
  <c r="D237" i="1"/>
  <c r="C236" i="1"/>
  <c r="D236" i="1"/>
  <c r="C235" i="1"/>
  <c r="D235" i="1"/>
  <c r="C234" i="1"/>
  <c r="D234" i="1"/>
  <c r="C233" i="1"/>
  <c r="D233" i="1"/>
  <c r="C232" i="1"/>
  <c r="D232" i="1"/>
  <c r="C231" i="1"/>
  <c r="D231" i="1"/>
  <c r="C230" i="1"/>
  <c r="D230" i="1"/>
  <c r="C229" i="1"/>
  <c r="D229" i="1"/>
  <c r="C228" i="1"/>
  <c r="D228" i="1"/>
  <c r="C227" i="1"/>
  <c r="D227" i="1"/>
  <c r="C226" i="1"/>
  <c r="D226" i="1"/>
  <c r="C225" i="1"/>
  <c r="D225" i="1"/>
  <c r="C224" i="1"/>
  <c r="D224" i="1"/>
  <c r="C223" i="1"/>
  <c r="D223" i="1"/>
  <c r="C222" i="1"/>
  <c r="D222" i="1"/>
  <c r="C221" i="1"/>
  <c r="D221" i="1"/>
  <c r="C220" i="1"/>
  <c r="D220" i="1"/>
  <c r="C219" i="1"/>
  <c r="D219" i="1"/>
  <c r="C218" i="1"/>
  <c r="D218" i="1"/>
  <c r="C217" i="1"/>
  <c r="D217" i="1"/>
  <c r="C216" i="1"/>
  <c r="D216" i="1"/>
  <c r="C215" i="1"/>
  <c r="D215" i="1"/>
  <c r="C214" i="1"/>
  <c r="D214" i="1"/>
  <c r="C213" i="1"/>
  <c r="D213" i="1"/>
  <c r="C212" i="1"/>
  <c r="D212" i="1"/>
  <c r="C211" i="1"/>
  <c r="D211" i="1"/>
  <c r="C210" i="1"/>
  <c r="D210" i="1"/>
  <c r="C209" i="1"/>
  <c r="D209" i="1"/>
  <c r="C208" i="1"/>
  <c r="D208" i="1"/>
  <c r="C207" i="1"/>
  <c r="D207" i="1"/>
  <c r="C206" i="1"/>
  <c r="D206" i="1"/>
  <c r="C205" i="1"/>
  <c r="D205" i="1"/>
  <c r="C204" i="1"/>
  <c r="D204" i="1"/>
  <c r="C203" i="1"/>
  <c r="D203" i="1"/>
  <c r="C202" i="1"/>
  <c r="D202" i="1"/>
  <c r="C201" i="1"/>
  <c r="D201" i="1"/>
  <c r="C200" i="1"/>
  <c r="D200" i="1"/>
  <c r="C199" i="1"/>
  <c r="D199" i="1"/>
  <c r="C198" i="1"/>
  <c r="D198" i="1"/>
  <c r="C197" i="1"/>
  <c r="D197" i="1"/>
  <c r="C196" i="1"/>
  <c r="D196" i="1"/>
  <c r="C195" i="1"/>
  <c r="D195" i="1"/>
  <c r="C194" i="1"/>
  <c r="D194" i="1"/>
  <c r="C193" i="1"/>
  <c r="D193" i="1"/>
  <c r="C192" i="1"/>
  <c r="D192" i="1"/>
  <c r="C191" i="1"/>
  <c r="D191" i="1"/>
  <c r="C190" i="1"/>
  <c r="D190" i="1"/>
  <c r="C189" i="1"/>
  <c r="D189" i="1"/>
  <c r="C188" i="1"/>
  <c r="D188" i="1"/>
  <c r="C187" i="1"/>
  <c r="D187" i="1"/>
  <c r="C186" i="1"/>
  <c r="D186" i="1"/>
  <c r="C185" i="1"/>
  <c r="D185" i="1"/>
  <c r="C184" i="1"/>
  <c r="D184" i="1"/>
  <c r="C183" i="1"/>
  <c r="D183" i="1"/>
  <c r="C182" i="1"/>
  <c r="D182" i="1"/>
  <c r="C181" i="1"/>
  <c r="D181" i="1"/>
  <c r="C180" i="1"/>
  <c r="D180" i="1"/>
  <c r="C179" i="1"/>
  <c r="D179" i="1"/>
  <c r="C178" i="1"/>
  <c r="D178" i="1"/>
  <c r="C177" i="1"/>
  <c r="D177" i="1"/>
  <c r="C176" i="1"/>
  <c r="D176" i="1"/>
  <c r="C175" i="1"/>
  <c r="D175" i="1"/>
  <c r="C174" i="1"/>
  <c r="D174" i="1"/>
  <c r="C173" i="1"/>
  <c r="D173" i="1"/>
  <c r="C172" i="1"/>
  <c r="D172" i="1"/>
  <c r="C171" i="1"/>
  <c r="D171" i="1"/>
  <c r="C170" i="1"/>
  <c r="D170" i="1"/>
  <c r="C169" i="1"/>
  <c r="D169" i="1"/>
  <c r="C168" i="1"/>
  <c r="D168" i="1"/>
  <c r="C167" i="1"/>
  <c r="D167" i="1"/>
  <c r="C166" i="1"/>
  <c r="D166" i="1"/>
  <c r="C165" i="1"/>
  <c r="D165" i="1"/>
  <c r="C164" i="1"/>
  <c r="D164" i="1"/>
  <c r="C163" i="1"/>
  <c r="D163" i="1"/>
  <c r="C162" i="1"/>
  <c r="D162" i="1"/>
  <c r="C161" i="1"/>
  <c r="D161" i="1"/>
  <c r="C160" i="1"/>
  <c r="D160" i="1"/>
  <c r="C159" i="1"/>
  <c r="D159" i="1"/>
  <c r="C158" i="1"/>
  <c r="D158" i="1"/>
  <c r="C157" i="1"/>
  <c r="D157" i="1"/>
  <c r="C156" i="1"/>
  <c r="D156" i="1"/>
  <c r="C155" i="1"/>
  <c r="D155" i="1"/>
  <c r="C154" i="1"/>
  <c r="D154" i="1"/>
  <c r="C153" i="1"/>
  <c r="D153" i="1"/>
  <c r="C152" i="1"/>
  <c r="D152" i="1"/>
  <c r="C151" i="1"/>
  <c r="D151" i="1"/>
  <c r="C150" i="1"/>
  <c r="D150" i="1"/>
  <c r="C149" i="1"/>
  <c r="D149" i="1"/>
  <c r="C148" i="1"/>
  <c r="D148" i="1"/>
  <c r="C147" i="1"/>
  <c r="D147" i="1"/>
  <c r="C146" i="1"/>
  <c r="D146" i="1"/>
  <c r="C145" i="1"/>
  <c r="D145" i="1"/>
  <c r="C144" i="1"/>
  <c r="D144" i="1"/>
  <c r="C143" i="1"/>
  <c r="D143" i="1"/>
  <c r="C142" i="1"/>
  <c r="D142" i="1"/>
  <c r="C141" i="1"/>
  <c r="D141" i="1"/>
  <c r="C140" i="1"/>
  <c r="D140" i="1"/>
  <c r="C139" i="1"/>
  <c r="D139" i="1"/>
  <c r="C138" i="1"/>
  <c r="D138" i="1"/>
  <c r="C137" i="1"/>
  <c r="D137" i="1"/>
  <c r="C136" i="1"/>
  <c r="D136" i="1"/>
  <c r="C135" i="1"/>
  <c r="D135" i="1"/>
  <c r="C134" i="1"/>
  <c r="D134" i="1"/>
  <c r="C133" i="1"/>
  <c r="D133" i="1"/>
  <c r="C132" i="1"/>
  <c r="D132" i="1"/>
  <c r="C131" i="1"/>
  <c r="D131" i="1"/>
  <c r="C130" i="1"/>
  <c r="D130" i="1"/>
  <c r="C129" i="1"/>
  <c r="D129" i="1"/>
  <c r="C128" i="1"/>
  <c r="D128" i="1"/>
  <c r="C127" i="1"/>
  <c r="D127" i="1"/>
  <c r="C126" i="1"/>
  <c r="D126" i="1"/>
  <c r="C125" i="1"/>
  <c r="D125" i="1"/>
  <c r="C124" i="1"/>
  <c r="D124" i="1"/>
  <c r="C123" i="1"/>
  <c r="D123" i="1"/>
  <c r="C122" i="1"/>
  <c r="D122" i="1"/>
  <c r="C121" i="1"/>
  <c r="D121" i="1"/>
  <c r="C120" i="1"/>
  <c r="D120" i="1"/>
  <c r="C119" i="1"/>
  <c r="D119" i="1"/>
  <c r="C118" i="1"/>
  <c r="D118" i="1"/>
  <c r="C117" i="1"/>
  <c r="D117" i="1"/>
  <c r="C116" i="1"/>
  <c r="D116" i="1"/>
  <c r="C115" i="1"/>
  <c r="D115" i="1"/>
  <c r="C114" i="1"/>
  <c r="D114" i="1"/>
  <c r="C113" i="1"/>
  <c r="D113" i="1"/>
  <c r="C112" i="1"/>
  <c r="D112" i="1"/>
  <c r="C111" i="1"/>
  <c r="D111" i="1"/>
  <c r="C110" i="1"/>
  <c r="D110" i="1"/>
  <c r="C109" i="1"/>
  <c r="D109" i="1"/>
  <c r="C108" i="1"/>
  <c r="D108" i="1"/>
  <c r="C107" i="1"/>
  <c r="D107" i="1"/>
  <c r="C106" i="1"/>
  <c r="D106" i="1"/>
  <c r="C105" i="1"/>
  <c r="D105" i="1"/>
  <c r="C104" i="1"/>
  <c r="D104" i="1"/>
  <c r="C103" i="1"/>
  <c r="D103" i="1"/>
  <c r="C102" i="1"/>
  <c r="D102" i="1"/>
  <c r="C101" i="1"/>
  <c r="D101" i="1"/>
  <c r="C100" i="1"/>
  <c r="D100" i="1"/>
  <c r="C99" i="1"/>
  <c r="D99" i="1"/>
  <c r="C98" i="1"/>
  <c r="D98" i="1"/>
  <c r="C97" i="1"/>
  <c r="D97" i="1"/>
  <c r="C96" i="1"/>
  <c r="D96" i="1"/>
  <c r="C95" i="1"/>
  <c r="D95" i="1"/>
  <c r="C94" i="1"/>
  <c r="D94" i="1"/>
  <c r="C93" i="1"/>
  <c r="D93" i="1"/>
  <c r="C92" i="1"/>
  <c r="D92" i="1"/>
  <c r="C91" i="1"/>
  <c r="D91" i="1"/>
  <c r="C90" i="1"/>
  <c r="D90" i="1"/>
  <c r="C89" i="1"/>
  <c r="D89" i="1"/>
  <c r="C88" i="1"/>
  <c r="D88" i="1"/>
  <c r="C87" i="1"/>
  <c r="D87" i="1"/>
  <c r="C86" i="1"/>
  <c r="D86" i="1"/>
  <c r="C85" i="1"/>
  <c r="D85" i="1"/>
  <c r="C84" i="1"/>
  <c r="D84" i="1"/>
  <c r="C83" i="1"/>
  <c r="D83" i="1"/>
  <c r="C82" i="1"/>
  <c r="D82" i="1"/>
  <c r="C81" i="1"/>
  <c r="D81" i="1"/>
  <c r="C80" i="1"/>
  <c r="D80" i="1"/>
  <c r="C79" i="1"/>
  <c r="D79" i="1"/>
  <c r="C78" i="1"/>
  <c r="D78" i="1"/>
  <c r="C77" i="1"/>
  <c r="D77" i="1"/>
  <c r="C76" i="1"/>
  <c r="D76" i="1"/>
  <c r="C75" i="1"/>
  <c r="D75" i="1"/>
  <c r="C74" i="1"/>
  <c r="D74" i="1"/>
  <c r="C73" i="1"/>
  <c r="D73" i="1"/>
  <c r="C72" i="1"/>
  <c r="D72" i="1"/>
  <c r="C71" i="1"/>
  <c r="D71" i="1"/>
  <c r="C70" i="1"/>
  <c r="D70" i="1"/>
  <c r="C69" i="1"/>
  <c r="D69" i="1"/>
  <c r="C68" i="1"/>
  <c r="D68" i="1"/>
  <c r="C67" i="1"/>
  <c r="D67" i="1"/>
  <c r="C66" i="1"/>
  <c r="D66" i="1"/>
  <c r="C65" i="1"/>
  <c r="D65" i="1"/>
  <c r="C64" i="1"/>
  <c r="D64" i="1"/>
  <c r="C63" i="1"/>
  <c r="D63" i="1"/>
  <c r="C62" i="1"/>
  <c r="D62" i="1"/>
  <c r="C61" i="1"/>
  <c r="D61" i="1"/>
  <c r="C60" i="1"/>
  <c r="D60" i="1"/>
  <c r="C59" i="1"/>
  <c r="D59" i="1"/>
  <c r="C58" i="1"/>
  <c r="D58" i="1"/>
  <c r="C57" i="1"/>
  <c r="D57" i="1"/>
  <c r="C56" i="1"/>
  <c r="D56" i="1"/>
  <c r="C55" i="1"/>
  <c r="D55" i="1"/>
  <c r="C54" i="1"/>
  <c r="D54" i="1"/>
  <c r="C53" i="1"/>
  <c r="D53" i="1"/>
  <c r="C52" i="1"/>
  <c r="D52" i="1"/>
  <c r="C51" i="1"/>
  <c r="D51" i="1"/>
  <c r="C50" i="1"/>
  <c r="D50" i="1"/>
  <c r="C49" i="1"/>
  <c r="D49" i="1"/>
  <c r="C48" i="1"/>
  <c r="D48" i="1"/>
  <c r="C47" i="1"/>
  <c r="D47" i="1"/>
  <c r="C46" i="1"/>
  <c r="D46" i="1"/>
  <c r="C45" i="1"/>
  <c r="D45" i="1"/>
  <c r="C44" i="1"/>
  <c r="D44" i="1"/>
  <c r="C43" i="1"/>
  <c r="D43" i="1"/>
  <c r="C42" i="1"/>
  <c r="D42" i="1"/>
  <c r="C41" i="1"/>
  <c r="D41" i="1"/>
  <c r="C40" i="1"/>
  <c r="D40" i="1"/>
  <c r="C39" i="1"/>
  <c r="D39" i="1"/>
  <c r="C38" i="1"/>
  <c r="D38" i="1"/>
  <c r="C37" i="1"/>
  <c r="D37" i="1"/>
  <c r="C36" i="1"/>
  <c r="D36" i="1"/>
  <c r="C35" i="1"/>
  <c r="D35" i="1"/>
  <c r="C34" i="1"/>
  <c r="D34" i="1"/>
  <c r="C33" i="1"/>
  <c r="D33" i="1"/>
  <c r="C32" i="1"/>
  <c r="D32" i="1"/>
  <c r="C31" i="1"/>
  <c r="D31" i="1"/>
  <c r="C30" i="1"/>
  <c r="D30" i="1"/>
  <c r="C29" i="1"/>
  <c r="D29" i="1"/>
  <c r="C28" i="1"/>
  <c r="D28" i="1"/>
  <c r="C27" i="1"/>
  <c r="D27" i="1"/>
  <c r="C26" i="1"/>
  <c r="D26" i="1"/>
  <c r="C25" i="1"/>
  <c r="D25" i="1"/>
  <c r="C24" i="1"/>
  <c r="D24" i="1"/>
  <c r="C23" i="1"/>
  <c r="D23" i="1"/>
  <c r="C22" i="1"/>
  <c r="D22" i="1"/>
  <c r="C21" i="1"/>
  <c r="D21" i="1"/>
  <c r="C20" i="1"/>
  <c r="D20" i="1"/>
  <c r="C19" i="1"/>
  <c r="D19" i="1"/>
  <c r="C18" i="1"/>
  <c r="D18" i="1"/>
  <c r="C17" i="1"/>
  <c r="D17" i="1"/>
  <c r="C16" i="1"/>
  <c r="D16" i="1"/>
  <c r="C15" i="1"/>
  <c r="D15" i="1"/>
  <c r="C14" i="1"/>
  <c r="D14" i="1"/>
  <c r="C13" i="1"/>
  <c r="D13" i="1"/>
  <c r="C12" i="1"/>
  <c r="D12" i="1"/>
  <c r="C11" i="1"/>
  <c r="D11" i="1"/>
  <c r="C10" i="1"/>
  <c r="D10" i="1"/>
  <c r="C9" i="1"/>
  <c r="D9" i="1"/>
  <c r="C8" i="1"/>
  <c r="D8" i="1"/>
  <c r="C7" i="1"/>
  <c r="D7" i="1"/>
  <c r="C6" i="1"/>
  <c r="D6" i="1"/>
  <c r="C5" i="1"/>
  <c r="D5" i="1"/>
  <c r="C4" i="1"/>
  <c r="D4" i="1"/>
  <c r="C3" i="1"/>
  <c r="D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<sst xmlns="http://schemas.openxmlformats.org/spreadsheetml/2006/main" count="4680" uniqueCount="265">
  <si>
    <t>CATEGORY</t>
  </si>
  <si>
    <t>Count of CATEGORY</t>
  </si>
  <si>
    <t>Business</t>
  </si>
  <si>
    <t>Personal</t>
  </si>
  <si>
    <t>PURPOSE</t>
  </si>
  <si>
    <t>Count of PURPOSE</t>
  </si>
  <si>
    <t>Between Offices</t>
  </si>
  <si>
    <t>Customer Visit</t>
  </si>
  <si>
    <t>Errand/Supplies</t>
  </si>
  <si>
    <t>Meal/Entertain</t>
  </si>
  <si>
    <t>Meeting</t>
  </si>
  <si>
    <t>Temporary Site</t>
  </si>
  <si>
    <t>Grand Total</t>
  </si>
  <si>
    <t>DAY-NIGHT</t>
  </si>
  <si>
    <t>Count of DAY-NIGHT</t>
  </si>
  <si>
    <t>Morning</t>
  </si>
  <si>
    <t>Night</t>
  </si>
  <si>
    <t>Evening</t>
  </si>
  <si>
    <t>Afternoon</t>
  </si>
  <si>
    <t>months</t>
  </si>
  <si>
    <t>Count of months</t>
  </si>
  <si>
    <t>January</t>
  </si>
  <si>
    <t>February</t>
  </si>
  <si>
    <t>March</t>
  </si>
  <si>
    <t>April</t>
  </si>
  <si>
    <t>May</t>
  </si>
  <si>
    <t>June</t>
  </si>
  <si>
    <t>July</t>
  </si>
  <si>
    <t>August</t>
  </si>
  <si>
    <t>September</t>
  </si>
  <si>
    <t>October</t>
  </si>
  <si>
    <t>November</t>
  </si>
  <si>
    <t>December</t>
  </si>
  <si>
    <t>Days</t>
  </si>
  <si>
    <t>Count of Days</t>
  </si>
  <si>
    <t>Wednesday</t>
  </si>
  <si>
    <t>Monday</t>
  </si>
  <si>
    <t>Saturday</t>
  </si>
  <si>
    <t>Tuesday</t>
  </si>
  <si>
    <t>Thursday</t>
  </si>
  <si>
    <t>Sunday</t>
  </si>
  <si>
    <t>Friday</t>
  </si>
  <si>
    <t>MILES</t>
  </si>
  <si>
    <t>START_DATE</t>
  </si>
  <si>
    <t>StartDate</t>
  </si>
  <si>
    <t>StartTime</t>
  </si>
  <si>
    <t>END_DATE</t>
  </si>
  <si>
    <t>END_Time</t>
  </si>
  <si>
    <t>Duration_Time</t>
  </si>
  <si>
    <t>START</t>
  </si>
  <si>
    <t>STOP</t>
  </si>
  <si>
    <t>Fort Pierce</t>
  </si>
  <si>
    <t>not</t>
  </si>
  <si>
    <t>West Palm Beach</t>
  </si>
  <si>
    <t>Palm Beach</t>
  </si>
  <si>
    <t>Cary</t>
  </si>
  <si>
    <t>Morrisville</t>
  </si>
  <si>
    <t>Jamaica</t>
  </si>
  <si>
    <t>New York</t>
  </si>
  <si>
    <t>Queens</t>
  </si>
  <si>
    <t>Elmhurst</t>
  </si>
  <si>
    <t>Midtown</t>
  </si>
  <si>
    <t>East Harlem</t>
  </si>
  <si>
    <t>NoMad</t>
  </si>
  <si>
    <t>Flatiron District</t>
  </si>
  <si>
    <t>Midtown East</t>
  </si>
  <si>
    <t>Hudson Square</t>
  </si>
  <si>
    <t>Lower Manhattan</t>
  </si>
  <si>
    <t>Hell's Kitchen</t>
  </si>
  <si>
    <t>Queens County</t>
  </si>
  <si>
    <t>Downtown</t>
  </si>
  <si>
    <t>Gulfton</t>
  </si>
  <si>
    <t>Houston</t>
  </si>
  <si>
    <t>Eagan Park</t>
  </si>
  <si>
    <t>Jamestown Court</t>
  </si>
  <si>
    <t>Durham</t>
  </si>
  <si>
    <t>Farmington Woods</t>
  </si>
  <si>
    <t>Whitebridge</t>
  </si>
  <si>
    <t>Lake Wellingborough</t>
  </si>
  <si>
    <t>Raleigh</t>
  </si>
  <si>
    <t>Fayetteville Street</t>
  </si>
  <si>
    <t>Umstead</t>
  </si>
  <si>
    <t>Hazelwood</t>
  </si>
  <si>
    <t>Westpark Place</t>
  </si>
  <si>
    <t>Fairmont</t>
  </si>
  <si>
    <t>Meredith Townes</t>
  </si>
  <si>
    <t>Leesville Hollow</t>
  </si>
  <si>
    <t>Apex</t>
  </si>
  <si>
    <t>Chapel Hill</t>
  </si>
  <si>
    <t>Northwoods</t>
  </si>
  <si>
    <t>Williamsburg Manor</t>
  </si>
  <si>
    <t>Macgregor Downs</t>
  </si>
  <si>
    <t>Edgehill Farms</t>
  </si>
  <si>
    <t>Tanglewood</t>
  </si>
  <si>
    <t>Preston</t>
  </si>
  <si>
    <t>Eastgate</t>
  </si>
  <si>
    <t>Walnut Terrace</t>
  </si>
  <si>
    <t>East Elmhurst</t>
  </si>
  <si>
    <t>Jackson Heights</t>
  </si>
  <si>
    <t>Midtown West</t>
  </si>
  <si>
    <t>Long Island City</t>
  </si>
  <si>
    <t>Katunayaka</t>
  </si>
  <si>
    <t>Unknown Location</t>
  </si>
  <si>
    <t>Colombo</t>
  </si>
  <si>
    <t>Nugegoda</t>
  </si>
  <si>
    <t>Islamabad</t>
  </si>
  <si>
    <t>R?walpindi</t>
  </si>
  <si>
    <t>Noorpur Shahan</t>
  </si>
  <si>
    <t>Heritage Pines</t>
  </si>
  <si>
    <t>Waverly Place</t>
  </si>
  <si>
    <t>Wayne Ridge</t>
  </si>
  <si>
    <t>Depot Historic District</t>
  </si>
  <si>
    <t>Weston</t>
  </si>
  <si>
    <t>East Austin</t>
  </si>
  <si>
    <t>West University</t>
  </si>
  <si>
    <t>South Congress</t>
  </si>
  <si>
    <t>Arts District</t>
  </si>
  <si>
    <t>The Drag</t>
  </si>
  <si>
    <t>Congress Ave District</t>
  </si>
  <si>
    <t>Red River District</t>
  </si>
  <si>
    <t>Convention Center District</t>
  </si>
  <si>
    <t>North Austin</t>
  </si>
  <si>
    <t>Georgian Acres</t>
  </si>
  <si>
    <t>Coxville</t>
  </si>
  <si>
    <t>Austin</t>
  </si>
  <si>
    <t>Katy</t>
  </si>
  <si>
    <t>Alief</t>
  </si>
  <si>
    <t>Sharpstown</t>
  </si>
  <si>
    <t>Sugar Land</t>
  </si>
  <si>
    <t>Galveston</t>
  </si>
  <si>
    <t>Port Bolivar</t>
  </si>
  <si>
    <t>Washington Avenue</t>
  </si>
  <si>
    <t>Briar Meadow</t>
  </si>
  <si>
    <t>Greater Greenspoint</t>
  </si>
  <si>
    <t>Latta</t>
  </si>
  <si>
    <t>Jacksonville</t>
  </si>
  <si>
    <t>Kissimmee</t>
  </si>
  <si>
    <t>Couples Glen</t>
  </si>
  <si>
    <t>Isles of Buena Vista</t>
  </si>
  <si>
    <t>Orlando</t>
  </si>
  <si>
    <t>Lake Reams</t>
  </si>
  <si>
    <t>Vista East</t>
  </si>
  <si>
    <t>Sand Lake Commons</t>
  </si>
  <si>
    <t>Sky Lake</t>
  </si>
  <si>
    <t>Daytona Beach</t>
  </si>
  <si>
    <t>Ridgeland</t>
  </si>
  <si>
    <t>Florence</t>
  </si>
  <si>
    <t>Meredith</t>
  </si>
  <si>
    <t>Cedar Hill</t>
  </si>
  <si>
    <t>Holly Springs</t>
  </si>
  <si>
    <t>Harden Place</t>
  </si>
  <si>
    <t>Chessington</t>
  </si>
  <si>
    <t>Burtrose</t>
  </si>
  <si>
    <t>Parkway</t>
  </si>
  <si>
    <t>Mcvan</t>
  </si>
  <si>
    <t>Capitol One</t>
  </si>
  <si>
    <t>University District</t>
  </si>
  <si>
    <t>Seattle</t>
  </si>
  <si>
    <t>Redmond</t>
  </si>
  <si>
    <t>Bellevue</t>
  </si>
  <si>
    <t>San Francisco</t>
  </si>
  <si>
    <t>Palo Alto</t>
  </si>
  <si>
    <t>Sunnyvale</t>
  </si>
  <si>
    <t>Newark</t>
  </si>
  <si>
    <t>Menlo Park</t>
  </si>
  <si>
    <t>Old City</t>
  </si>
  <si>
    <t>Parkway Museums</t>
  </si>
  <si>
    <t>Hog Island</t>
  </si>
  <si>
    <t>Savon Height</t>
  </si>
  <si>
    <t>Kildaire Farms</t>
  </si>
  <si>
    <t>Kilarney Woods</t>
  </si>
  <si>
    <t>Townes at Everett Crossing</t>
  </si>
  <si>
    <t>Huntington Woods</t>
  </si>
  <si>
    <t>Seaport</t>
  </si>
  <si>
    <t>Gramercy-Flatiron</t>
  </si>
  <si>
    <t>Medical Centre</t>
  </si>
  <si>
    <t>Tudor City</t>
  </si>
  <si>
    <t>Rose Hill</t>
  </si>
  <si>
    <t>Soho</t>
  </si>
  <si>
    <t>Tribeca</t>
  </si>
  <si>
    <t>Financial District</t>
  </si>
  <si>
    <t>Kips Bay</t>
  </si>
  <si>
    <t>Oakland</t>
  </si>
  <si>
    <t>Emeryville</t>
  </si>
  <si>
    <t>Berkeley</t>
  </si>
  <si>
    <t>Bay Farm Island</t>
  </si>
  <si>
    <t>Kenner</t>
  </si>
  <si>
    <t>New Orleans</t>
  </si>
  <si>
    <t>CBD</t>
  </si>
  <si>
    <t>Lower Garden District</t>
  </si>
  <si>
    <t>Lakeview</t>
  </si>
  <si>
    <t>Storyville</t>
  </si>
  <si>
    <t>Faubourg Marigny</t>
  </si>
  <si>
    <t>Metairie</t>
  </si>
  <si>
    <t>Bywater</t>
  </si>
  <si>
    <t>Chalmette</t>
  </si>
  <si>
    <t>Arabi</t>
  </si>
  <si>
    <t>Pontchartrain Shores</t>
  </si>
  <si>
    <t>Marigny</t>
  </si>
  <si>
    <t>Covington</t>
  </si>
  <si>
    <t>Mandeville</t>
  </si>
  <si>
    <t>Summerwinds</t>
  </si>
  <si>
    <t>Parkwood</t>
  </si>
  <si>
    <t>Pontchartrain Beach</t>
  </si>
  <si>
    <t>St Thomas</t>
  </si>
  <si>
    <t>Banner Elk</t>
  </si>
  <si>
    <t>Elk Park</t>
  </si>
  <si>
    <t>Newland</t>
  </si>
  <si>
    <t>Boone</t>
  </si>
  <si>
    <t>Charity ($)</t>
  </si>
  <si>
    <t>Commute</t>
  </si>
  <si>
    <t>Moving</t>
  </si>
  <si>
    <t>Stonewater</t>
  </si>
  <si>
    <t>Lexington Park at Amberly</t>
  </si>
  <si>
    <t>Arlington Park at Amberly</t>
  </si>
  <si>
    <t>Arlington</t>
  </si>
  <si>
    <t>Washington</t>
  </si>
  <si>
    <t>Kalorama Triangle</t>
  </si>
  <si>
    <t>K Street</t>
  </si>
  <si>
    <t>West End</t>
  </si>
  <si>
    <t>Northwest Rectangle</t>
  </si>
  <si>
    <t>Connecticut Avenue</t>
  </si>
  <si>
    <t>Columbia Heights</t>
  </si>
  <si>
    <t>Wake Forest</t>
  </si>
  <si>
    <t>Airport/Travel</t>
  </si>
  <si>
    <t>Lahore</t>
  </si>
  <si>
    <t>Karachi</t>
  </si>
  <si>
    <t>SOMISSPO</t>
  </si>
  <si>
    <t>French Quarter</t>
  </si>
  <si>
    <t>West Berkeley</t>
  </si>
  <si>
    <t>North Berkeley Hills</t>
  </si>
  <si>
    <t>Southside</t>
  </si>
  <si>
    <t>San Jose</t>
  </si>
  <si>
    <t>Eagle Rock</t>
  </si>
  <si>
    <t>Winston Salem</t>
  </si>
  <si>
    <t>Asheville</t>
  </si>
  <si>
    <t>Topton</t>
  </si>
  <si>
    <t>Hayesville</t>
  </si>
  <si>
    <t>Bryson City</t>
  </si>
  <si>
    <t>Almond</t>
  </si>
  <si>
    <t>Mebane</t>
  </si>
  <si>
    <t>Santa Clara</t>
  </si>
  <si>
    <t>Agnew</t>
  </si>
  <si>
    <t>Cory</t>
  </si>
  <si>
    <t>Renaissance</t>
  </si>
  <si>
    <t>Central</t>
  </si>
  <si>
    <t>NOMA</t>
  </si>
  <si>
    <t>Sunnyside</t>
  </si>
  <si>
    <t>Ingleside</t>
  </si>
  <si>
    <t>Potrero Flats</t>
  </si>
  <si>
    <t>Tenderloin</t>
  </si>
  <si>
    <t>College Avenue</t>
  </si>
  <si>
    <t>South</t>
  </si>
  <si>
    <t>Southwest Berkeley</t>
  </si>
  <si>
    <t>South Berkeley</t>
  </si>
  <si>
    <t>Mountain View</t>
  </si>
  <si>
    <t>El Cerrito</t>
  </si>
  <si>
    <t>Krendle Woods</t>
  </si>
  <si>
    <t>Wake Co.</t>
  </si>
  <si>
    <t>Fuquay-Varina</t>
  </si>
  <si>
    <t>Rawalpindi</t>
  </si>
  <si>
    <t>Kar?chi</t>
  </si>
  <si>
    <t>Katunayake</t>
  </si>
  <si>
    <t>Gampaha</t>
  </si>
  <si>
    <t>Ilukwatta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</si>
</sst>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F800]dddd\,\ mmmm\ dd\,\ yyyy"/>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pivotButton="1"/>
    <xf numFmtId="14" fontId="0" fillId="0" borderId="0" xfId="0" applyNumberFormat="1"/>
    <xf numFmtId="165" fontId="0" fillId="0" borderId="0" xfId="0" applyNumberFormat="1"/>
    <xf numFmtId="164" fontId="0" fillId="0" borderId="0" xfId="0" applyNumberFormat="1"/>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64" formatCode="[$-F400]h:mm:ss\ AM/PM"/>
    </dxf>
    <dxf>
      <numFmt numFmtId="165" formatCode="[$-F800]dddd\,\ mmmm\ dd\,\ yyyy"/>
    </dxf>
    <dxf>
      <numFmt numFmtId="19" formatCode="dd/mm/yyyy"/>
    </dxf>
    <dxf>
      <numFmt numFmtId="165" formatCode="[$-F800]dddd\,\ mmmm\ dd\,\ 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[UberDataset analysis.xlsx]Pivot Tables!Most time do people book cabs</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time do people book cabs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Tables'!$B$21</c:f>
              <c:strCache>
                <c:ptCount val="1"/>
                <c:pt idx="0">
                  <c:v>Total</c:v>
                </c:pt>
              </c:strCache>
            </c:strRef>
          </c:tx>
          <c:spPr>
            <a:solidFill>
              <a:schemeClr val="accent1"/>
            </a:solidFill>
            <a:ln>
              <a:noFill/>
            </a:ln>
            <a:effectLst/>
          </c:spPr>
          <c:invertIfNegative val="0"/>
          <c:cat>
            <c:strRef>
              <c:f>'Pivot Tables'!$A$22:$A$26</c:f>
              <c:strCache>
                <c:ptCount val="4"/>
                <c:pt idx="0">
                  <c:v>Morning</c:v>
                </c:pt>
                <c:pt idx="1">
                  <c:v>Night</c:v>
                </c:pt>
                <c:pt idx="2">
                  <c:v>Afternoon</c:v>
                </c:pt>
                <c:pt idx="3">
                  <c:v>Evening</c:v>
                </c:pt>
              </c:strCache>
            </c:strRef>
          </c:cat>
          <c:val>
            <c:numRef>
              <c:f>'Pivot Tables'!$B$22:$B$26</c:f>
              <c:numCache>
                <c:formatCode>General</c:formatCode>
                <c:ptCount val="4"/>
                <c:pt idx="0">
                  <c:v>19</c:v>
                </c:pt>
                <c:pt idx="1">
                  <c:v>26</c:v>
                </c:pt>
                <c:pt idx="2">
                  <c:v>32</c:v>
                </c:pt>
                <c:pt idx="3">
                  <c:v>36</c:v>
                </c:pt>
              </c:numCache>
            </c:numRef>
          </c:val>
          <c:extLst>
            <c:ext xmlns:c16="http://schemas.microsoft.com/office/drawing/2014/chart" uri="{C3380CC4-5D6E-409C-BE32-E72D297353CC}">
              <c16:uniqueId val="{00000000-2F7E-411D-9C7D-C260C6EF24B5}"/>
            </c:ext>
          </c:extLst>
        </c:ser>
        <c:dLbls>
          <c:showLegendKey val="0"/>
          <c:showVal val="0"/>
          <c:showCatName val="0"/>
          <c:showSerName val="0"/>
          <c:showPercent val="0"/>
          <c:showBubbleSize val="0"/>
        </c:dLbls>
        <c:gapWidth val="83"/>
        <c:axId val="272245256"/>
        <c:axId val="272247816"/>
      </c:barChart>
      <c:catAx>
        <c:axId val="272245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247816"/>
        <c:crosses val="autoZero"/>
        <c:auto val="1"/>
        <c:lblAlgn val="ctr"/>
        <c:lblOffset val="100"/>
        <c:noMultiLvlLbl val="0"/>
      </c:catAx>
      <c:valAx>
        <c:axId val="272247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2452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[UberDataset analysis.xlsx]Pivot Tables!PivotTable2</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wise  book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solidFill>
              <a:srgbClr val="E7E6E6"/>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'Pivot Tables'!$B$1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8CA-4CC8-8D86-0F85D4365E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8CA-4CC8-8D86-0F85D4365EF1}"/>
              </c:ext>
            </c:extLst>
          </c:dPt>
          <c:dLbls>
            <c:spPr>
              <a:solidFill>
                <a:srgbClr val="E7E6E6"/>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Tables'!$A$2:$A$3</c:f>
              <c:strCache>
                <c:ptCount val="2"/>
                <c:pt idx="0">
                  <c:v>Business</c:v>
                </c:pt>
                <c:pt idx="1">
                  <c:v>Personal</c:v>
                </c:pt>
              </c:strCache>
            </c:strRef>
          </c:cat>
          <c:val>
            <c:numRef>
              <c:f>'Pivot Tables'!$B$2:$B$3</c:f>
              <c:numCache>
                <c:formatCode>General</c:formatCode>
                <c:ptCount val="2"/>
                <c:pt idx="0">
                  <c:v>85</c:v>
                </c:pt>
                <c:pt idx="1">
                  <c:v>28</c:v>
                </c:pt>
              </c:numCache>
            </c:numRef>
          </c:val>
          <c:extLst>
            <c:ext xmlns:c16="http://schemas.microsoft.com/office/drawing/2014/chart" uri="{C3380CC4-5D6E-409C-BE32-E72D297353CC}">
              <c16:uniqueId val="{00000004-48CA-4CC8-8D86-0F85D4365EF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[UberDataset analysis.xlsx]Pivot Tables!purpose wise book</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Purpose wise book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Tables'!$B$7</c:f>
              <c:strCache>
                <c:ptCount val="1"/>
                <c:pt idx="0">
                  <c:v>Total</c:v>
                </c:pt>
              </c:strCache>
            </c:strRef>
          </c:tx>
          <c:spPr>
            <a:solidFill>
              <a:schemeClr val="accent1"/>
            </a:solidFill>
            <a:ln>
              <a:noFill/>
            </a:ln>
            <a:effectLst/>
          </c:spPr>
          <c:invertIfNegative val="0"/>
          <c:cat>
            <c:strRef>
              <c:f>'Pivot Tables'!$A$8:$A$14</c:f>
              <c:strCache>
                <c:ptCount val="6"/>
                <c:pt idx="0">
                  <c:v>Between Offices</c:v>
                </c:pt>
                <c:pt idx="1">
                  <c:v>Customer Visit</c:v>
                </c:pt>
                <c:pt idx="2">
                  <c:v>Errand/Supplies</c:v>
                </c:pt>
                <c:pt idx="3">
                  <c:v>Meal/Entertain</c:v>
                </c:pt>
                <c:pt idx="4">
                  <c:v>Meeting</c:v>
                </c:pt>
                <c:pt idx="5">
                  <c:v>Temporary Site</c:v>
                </c:pt>
              </c:strCache>
            </c:strRef>
          </c:cat>
          <c:val>
            <c:numRef>
              <c:f>'Pivot Tables'!$B$8:$B$14</c:f>
              <c:numCache>
                <c:formatCode>General</c:formatCode>
                <c:ptCount val="6"/>
                <c:pt idx="0">
                  <c:v>2</c:v>
                </c:pt>
                <c:pt idx="1">
                  <c:v>14</c:v>
                </c:pt>
                <c:pt idx="2">
                  <c:v>7</c:v>
                </c:pt>
                <c:pt idx="3">
                  <c:v>30</c:v>
                </c:pt>
                <c:pt idx="4">
                  <c:v>15</c:v>
                </c:pt>
                <c:pt idx="5">
                  <c:v>2</c:v>
                </c:pt>
              </c:numCache>
            </c:numRef>
          </c:val>
          <c:extLst>
            <c:ext xmlns:c16="http://schemas.microsoft.com/office/drawing/2014/chart" uri="{C3380CC4-5D6E-409C-BE32-E72D297353CC}">
              <c16:uniqueId val="{00000000-2901-4109-922B-C923FAE27A24}"/>
            </c:ext>
          </c:extLst>
        </c:ser>
        <c:dLbls>
          <c:showLegendKey val="0"/>
          <c:showVal val="0"/>
          <c:showCatName val="0"/>
          <c:showSerName val="0"/>
          <c:showPercent val="0"/>
          <c:showBubbleSize val="0"/>
        </c:dLbls>
        <c:gapWidth val="219"/>
        <c:overlap val="-27"/>
        <c:axId val="464270343"/>
        <c:axId val="464272903"/>
      </c:barChart>
      <c:catAx>
        <c:axId val="464270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272903"/>
        <c:crosses val="autoZero"/>
        <c:auto val="1"/>
        <c:lblAlgn val="ctr"/>
        <c:lblOffset val="100"/>
        <c:noMultiLvlLbl val="0"/>
      </c:catAx>
      <c:valAx>
        <c:axId val="464272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270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[UberDataset analysis.xlsx]Pivot Tables!mothly book</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 wise book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Tables'!$A$29:$A$41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Tables'!$B$29:$B$41</c:f>
              <c:numCache>
                <c:formatCode>General</c:formatCode>
                <c:ptCount val="12"/>
                <c:pt idx="0">
                  <c:v>61</c:v>
                </c:pt>
                <c:pt idx="1">
                  <c:v>115</c:v>
                </c:pt>
                <c:pt idx="2">
                  <c:v>113</c:v>
                </c:pt>
                <c:pt idx="3">
                  <c:v>54</c:v>
                </c:pt>
                <c:pt idx="4">
                  <c:v>49</c:v>
                </c:pt>
                <c:pt idx="5">
                  <c:v>107</c:v>
                </c:pt>
                <c:pt idx="6">
                  <c:v>112</c:v>
                </c:pt>
                <c:pt idx="7">
                  <c:v>133</c:v>
                </c:pt>
                <c:pt idx="8">
                  <c:v>36</c:v>
                </c:pt>
                <c:pt idx="9">
                  <c:v>106</c:v>
                </c:pt>
                <c:pt idx="10">
                  <c:v>122</c:v>
                </c:pt>
                <c:pt idx="11">
                  <c:v>146</c:v>
                </c:pt>
              </c:numCache>
            </c:numRef>
          </c:val>
          <c:smooth val="0"/>
          <c:extLst>
            <c:ext xmlns:c16="http://schemas.microsoft.com/office/drawing/2014/chart" uri="{C3380CC4-5D6E-409C-BE32-E72D297353CC}">
              <c16:uniqueId val="{00000000-6EAA-4454-9EF0-2BDB8F904444}"/>
            </c:ext>
          </c:extLst>
        </c:ser>
        <c:dLbls>
          <c:showLegendKey val="0"/>
          <c:showVal val="0"/>
          <c:showCatName val="0"/>
          <c:showSerName val="0"/>
          <c:showPercent val="0"/>
          <c:showBubbleSize val="0"/>
        </c:dLbls>
        <c:marker val="1"/>
        <c:smooth val="0"/>
        <c:axId val="271351815"/>
        <c:axId val="271356935"/>
      </c:lineChart>
      <c:catAx>
        <c:axId val="271351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356935"/>
        <c:crosses val="autoZero"/>
        <c:auto val="1"/>
        <c:lblAlgn val="ctr"/>
        <c:lblOffset val="100"/>
        <c:noMultiLvlLbl val="0"/>
      </c:catAx>
      <c:valAx>
        <c:axId val="271356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3518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[UberDataset analysis.xlsx]Pivot Tables!day wise book</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 wise book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Tables'!$B$43</c:f>
              <c:strCache>
                <c:ptCount val="1"/>
                <c:pt idx="0">
                  <c:v>Total</c:v>
                </c:pt>
              </c:strCache>
            </c:strRef>
          </c:tx>
          <c:spPr>
            <a:solidFill>
              <a:schemeClr val="accent1"/>
            </a:solidFill>
            <a:ln>
              <a:noFill/>
            </a:ln>
            <a:effectLst/>
          </c:spPr>
          <c:invertIfNegative val="0"/>
          <c:cat>
            <c:strRef>
              <c:f>'Pivot Tables'!$A$44:$A$51</c:f>
              <c:strCache>
                <c:ptCount val="7"/>
                <c:pt idx="0">
                  <c:v>Wednesday</c:v>
                </c:pt>
                <c:pt idx="1">
                  <c:v>Tuesday</c:v>
                </c:pt>
                <c:pt idx="2">
                  <c:v>Monday</c:v>
                </c:pt>
                <c:pt idx="3">
                  <c:v>Sunday</c:v>
                </c:pt>
                <c:pt idx="4">
                  <c:v>Thursday</c:v>
                </c:pt>
                <c:pt idx="5">
                  <c:v>Saturday</c:v>
                </c:pt>
                <c:pt idx="6">
                  <c:v>Friday</c:v>
                </c:pt>
              </c:strCache>
            </c:strRef>
          </c:cat>
          <c:val>
            <c:numRef>
              <c:f>'Pivot Tables'!$B$44:$B$51</c:f>
              <c:numCache>
                <c:formatCode>General</c:formatCode>
                <c:ptCount val="7"/>
                <c:pt idx="0">
                  <c:v>6</c:v>
                </c:pt>
                <c:pt idx="1">
                  <c:v>14</c:v>
                </c:pt>
                <c:pt idx="2">
                  <c:v>14</c:v>
                </c:pt>
                <c:pt idx="3">
                  <c:v>16</c:v>
                </c:pt>
                <c:pt idx="4">
                  <c:v>20</c:v>
                </c:pt>
                <c:pt idx="5">
                  <c:v>20</c:v>
                </c:pt>
                <c:pt idx="6">
                  <c:v>23</c:v>
                </c:pt>
              </c:numCache>
            </c:numRef>
          </c:val>
          <c:extLst>
            <c:ext xmlns:c16="http://schemas.microsoft.com/office/drawing/2014/chart" uri="{C3380CC4-5D6E-409C-BE32-E72D297353CC}">
              <c16:uniqueId val="{00000000-310A-4E43-8FBE-E8817593B6A0}"/>
            </c:ext>
          </c:extLst>
        </c:ser>
        <c:dLbls>
          <c:showLegendKey val="0"/>
          <c:showVal val="0"/>
          <c:showCatName val="0"/>
          <c:showSerName val="0"/>
          <c:showPercent val="0"/>
          <c:showBubbleSize val="0"/>
        </c:dLbls>
        <c:gapWidth val="246"/>
        <c:axId val="2107008008"/>
        <c:axId val="2107010056"/>
      </c:barChart>
      <c:catAx>
        <c:axId val="2107008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010056"/>
        <c:crosses val="autoZero"/>
        <c:auto val="1"/>
        <c:lblAlgn val="ctr"/>
        <c:lblOffset val="100"/>
        <c:noMultiLvlLbl val="0"/>
      </c:catAx>
      <c:valAx>
        <c:axId val="2107010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0080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[UberDataset analysis.xlsx]Pivot Tables!mothly book</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Tables'!$A$29:$A$41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Tables'!$B$29:$B$41</c:f>
              <c:numCache>
                <c:formatCode>General</c:formatCode>
                <c:ptCount val="12"/>
                <c:pt idx="0">
                  <c:v>61</c:v>
                </c:pt>
                <c:pt idx="1">
                  <c:v>115</c:v>
                </c:pt>
                <c:pt idx="2">
                  <c:v>113</c:v>
                </c:pt>
                <c:pt idx="3">
                  <c:v>54</c:v>
                </c:pt>
                <c:pt idx="4">
                  <c:v>49</c:v>
                </c:pt>
                <c:pt idx="5">
                  <c:v>107</c:v>
                </c:pt>
                <c:pt idx="6">
                  <c:v>112</c:v>
                </c:pt>
                <c:pt idx="7">
                  <c:v>133</c:v>
                </c:pt>
                <c:pt idx="8">
                  <c:v>36</c:v>
                </c:pt>
                <c:pt idx="9">
                  <c:v>106</c:v>
                </c:pt>
                <c:pt idx="10">
                  <c:v>122</c:v>
                </c:pt>
                <c:pt idx="11">
                  <c:v>146</c:v>
                </c:pt>
              </c:numCache>
            </c:numRef>
          </c:val>
          <c:smooth val="0"/>
          <c:extLst>
            <c:ext xmlns:c16="http://schemas.microsoft.com/office/drawing/2014/chart" uri="{C3380CC4-5D6E-409C-BE32-E72D297353CC}">
              <c16:uniqueId val="{00000001-CEEE-4BDE-84B9-092EE3057786}"/>
            </c:ext>
          </c:extLst>
        </c:ser>
        <c:dLbls>
          <c:showLegendKey val="0"/>
          <c:showVal val="0"/>
          <c:showCatName val="0"/>
          <c:showSerName val="0"/>
          <c:showPercent val="0"/>
          <c:showBubbleSize val="0"/>
        </c:dLbls>
        <c:marker val="1"/>
        <c:smooth val="0"/>
        <c:axId val="271351815"/>
        <c:axId val="271356935"/>
      </c:lineChart>
      <c:catAx>
        <c:axId val="271351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356935"/>
        <c:crosses val="autoZero"/>
        <c:auto val="1"/>
        <c:lblAlgn val="ctr"/>
        <c:lblOffset val="100"/>
        <c:noMultiLvlLbl val="0"/>
      </c:catAx>
      <c:valAx>
        <c:axId val="271356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3518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[UberDataset analysis.xlsx]Pivot Tables!day wise book</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Tables'!$B$43</c:f>
              <c:strCache>
                <c:ptCount val="1"/>
                <c:pt idx="0">
                  <c:v>Total</c:v>
                </c:pt>
              </c:strCache>
            </c:strRef>
          </c:tx>
          <c:spPr>
            <a:solidFill>
              <a:schemeClr val="accent1"/>
            </a:solidFill>
            <a:ln>
              <a:noFill/>
            </a:ln>
            <a:effectLst/>
          </c:spPr>
          <c:invertIfNegative val="0"/>
          <c:cat>
            <c:strRef>
              <c:f>'Pivot Tables'!$A$44:$A$51</c:f>
              <c:strCache>
                <c:ptCount val="7"/>
                <c:pt idx="0">
                  <c:v>Wednesday</c:v>
                </c:pt>
                <c:pt idx="1">
                  <c:v>Tuesday</c:v>
                </c:pt>
                <c:pt idx="2">
                  <c:v>Monday</c:v>
                </c:pt>
                <c:pt idx="3">
                  <c:v>Sunday</c:v>
                </c:pt>
                <c:pt idx="4">
                  <c:v>Thursday</c:v>
                </c:pt>
                <c:pt idx="5">
                  <c:v>Saturday</c:v>
                </c:pt>
                <c:pt idx="6">
                  <c:v>Friday</c:v>
                </c:pt>
              </c:strCache>
            </c:strRef>
          </c:cat>
          <c:val>
            <c:numRef>
              <c:f>'Pivot Tables'!$B$44:$B$51</c:f>
              <c:numCache>
                <c:formatCode>General</c:formatCode>
                <c:ptCount val="7"/>
                <c:pt idx="0">
                  <c:v>6</c:v>
                </c:pt>
                <c:pt idx="1">
                  <c:v>14</c:v>
                </c:pt>
                <c:pt idx="2">
                  <c:v>14</c:v>
                </c:pt>
                <c:pt idx="3">
                  <c:v>16</c:v>
                </c:pt>
                <c:pt idx="4">
                  <c:v>20</c:v>
                </c:pt>
                <c:pt idx="5">
                  <c:v>20</c:v>
                </c:pt>
                <c:pt idx="6">
                  <c:v>23</c:v>
                </c:pt>
              </c:numCache>
            </c:numRef>
          </c:val>
          <c:extLst>
            <c:ext xmlns:c16="http://schemas.microsoft.com/office/drawing/2014/chart" uri="{C3380CC4-5D6E-409C-BE32-E72D297353CC}">
              <c16:uniqueId val="{00000001-947B-4BAF-BF67-E2314B577958}"/>
            </c:ext>
          </c:extLst>
        </c:ser>
        <c:dLbls>
          <c:showLegendKey val="0"/>
          <c:showVal val="0"/>
          <c:showCatName val="0"/>
          <c:showSerName val="0"/>
          <c:showPercent val="0"/>
          <c:showBubbleSize val="0"/>
        </c:dLbls>
        <c:gapWidth val="182"/>
        <c:axId val="2107008008"/>
        <c:axId val="2107010056"/>
      </c:barChart>
      <c:catAx>
        <c:axId val="2107008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010056"/>
        <c:crosses val="autoZero"/>
        <c:auto val="1"/>
        <c:lblAlgn val="ctr"/>
        <c:lblOffset val="100"/>
        <c:noMultiLvlLbl val="0"/>
      </c:catAx>
      <c:valAx>
        <c:axId val="2107010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0080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Cabs book according to the  distance</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Cabs book according to the  distance</a:t>
          </a:r>
        </a:p>
      </cx:txPr>
    </cx:title>
    <cx:plotArea>
      <cx:plotAreaRegion>
        <cx:series layoutId="boxWhisker" uniqueId="{58987577-B85A-4F24-AE90-BF164DDEE952}">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max="25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Cabs book according to the  distance</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Cabs book according to the  distance</a:t>
          </a:r>
        </a:p>
      </cx:txPr>
    </cx:title>
    <cx:plotArea>
      <cx:plotAreaRegion>
        <cx:series layoutId="boxWhisker" uniqueId="{58987577-B85A-4F24-AE90-BF164DDEE952}">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max="25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4</xdr:col>
      <xdr:colOff>238125</xdr:colOff>
      <xdr:row>3</xdr:row>
      <xdr:rowOff>133350</xdr:rowOff>
    </xdr:from>
    <xdr:to>
      <xdr:col>10</xdr:col>
      <xdr:colOff>571500</xdr:colOff>
      <xdr:row>13</xdr:row>
      <xdr:rowOff>95250</xdr:rowOff>
    </xdr:to>
    <xdr:graphicFrame macro="">
      <xdr:nvGraphicFramePr>
        <xdr:cNvPr id="8" name="Chart 7">
          <a:extLst>
            <a:ext uri="{FF2B5EF4-FFF2-40B4-BE49-F238E27FC236}">
              <a16:creationId xmlns:a16="http://schemas.microsoft.com/office/drawing/2014/main" id="{CAB664E1-D826-48C0-B8C7-905F89424AAA}"/>
            </a:ext>
            <a:ext uri="{147F2762-F138-4A5C-976F-8EAC2B608ADB}">
              <a16:predDERef xmlns:a16="http://schemas.microsoft.com/office/drawing/2014/main" pred="{CDCF839B-735B-4C50-8B85-F9EA37ACA1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123825</xdr:colOff>
      <xdr:row>0</xdr:row>
      <xdr:rowOff>19050</xdr:rowOff>
    </xdr:from>
    <xdr:to>
      <xdr:col>1</xdr:col>
      <xdr:colOff>514350</xdr:colOff>
      <xdr:row>3</xdr:row>
      <xdr:rowOff>114300</xdr:rowOff>
    </xdr:to>
    <xdr:sp macro="" textlink="">
      <xdr:nvSpPr>
        <xdr:cNvPr id="10" name="Rectangle 9">
          <a:extLst>
            <a:ext uri="{FF2B5EF4-FFF2-40B4-BE49-F238E27FC236}">
              <a16:creationId xmlns:a16="http://schemas.microsoft.com/office/drawing/2014/main" id="{496FD901-D306-F008-B2B5-2FB9E892A133}"/>
            </a:ext>
            <a:ext uri="{147F2762-F138-4A5C-976F-8EAC2B608ADB}">
              <a16:predDERef xmlns:a16="http://schemas.microsoft.com/office/drawing/2014/main" pred="{CAB664E1-D826-48C0-B8C7-905F89424AAA}"/>
            </a:ext>
          </a:extLst>
        </xdr:cNvPr>
        <xdr:cNvSpPr/>
      </xdr:nvSpPr>
      <xdr:spPr>
        <a:xfrm>
          <a:off x="123825" y="19050"/>
          <a:ext cx="1304925" cy="666750"/>
        </a:xfrm>
        <a:prstGeom prst="rect">
          <a:avLst/>
        </a:prstGeom>
        <a:solidFill>
          <a:schemeClr val="bg1"/>
        </a:solidFill>
        <a:ln w="6350">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en-US" sz="4800" b="1" i="0" u="none" strike="noStrike">
              <a:solidFill>
                <a:schemeClr val="tx1"/>
              </a:solidFill>
              <a:latin typeface="Aptos Narrow" panose="020B0004020202020204" pitchFamily="34" charset="0"/>
            </a:rPr>
            <a:t>uber</a:t>
          </a:r>
        </a:p>
      </xdr:txBody>
    </xdr:sp>
    <xdr:clientData/>
  </xdr:twoCellAnchor>
  <xdr:twoCellAnchor>
    <xdr:from>
      <xdr:col>0</xdr:col>
      <xdr:colOff>104775</xdr:colOff>
      <xdr:row>3</xdr:row>
      <xdr:rowOff>142875</xdr:rowOff>
    </xdr:from>
    <xdr:to>
      <xdr:col>4</xdr:col>
      <xdr:colOff>200025</xdr:colOff>
      <xdr:row>13</xdr:row>
      <xdr:rowOff>104775</xdr:rowOff>
    </xdr:to>
    <xdr:graphicFrame macro="">
      <xdr:nvGraphicFramePr>
        <xdr:cNvPr id="2" name="Chart 1">
          <a:extLst>
            <a:ext uri="{FF2B5EF4-FFF2-40B4-BE49-F238E27FC236}">
              <a16:creationId xmlns:a16="http://schemas.microsoft.com/office/drawing/2014/main" id="{6816959B-11E3-4586-9F7B-5AB71AE646B3}"/>
            </a:ext>
            <a:ext uri="{147F2762-F138-4A5C-976F-8EAC2B608ADB}">
              <a16:predDERef xmlns:a16="http://schemas.microsoft.com/office/drawing/2014/main" pred="{496FD901-D306-F008-B2B5-2FB9E892A1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104775</xdr:colOff>
      <xdr:row>13</xdr:row>
      <xdr:rowOff>114300</xdr:rowOff>
    </xdr:from>
    <xdr:to>
      <xdr:col>5</xdr:col>
      <xdr:colOff>419100</xdr:colOff>
      <xdr:row>23</xdr:row>
      <xdr:rowOff>57150</xdr:rowOff>
    </xdr:to>
    <xdr:graphicFrame macro="">
      <xdr:nvGraphicFramePr>
        <xdr:cNvPr id="3" name="Chart 2">
          <a:extLst>
            <a:ext uri="{FF2B5EF4-FFF2-40B4-BE49-F238E27FC236}">
              <a16:creationId xmlns:a16="http://schemas.microsoft.com/office/drawing/2014/main" id="{B5DB543B-9800-4122-A819-C42DD313C819}"/>
            </a:ext>
            <a:ext uri="{147F2762-F138-4A5C-976F-8EAC2B608ADB}">
              <a16:predDERef xmlns:a16="http://schemas.microsoft.com/office/drawing/2014/main" pred="{6816959B-11E3-4586-9F7B-5AB71AE64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438150</xdr:colOff>
      <xdr:row>13</xdr:row>
      <xdr:rowOff>114300</xdr:rowOff>
    </xdr:from>
    <xdr:to>
      <xdr:col>10</xdr:col>
      <xdr:colOff>571500</xdr:colOff>
      <xdr:row>23</xdr:row>
      <xdr:rowOff>57150</xdr:rowOff>
    </xdr:to>
    <xdr:graphicFrame macro="">
      <xdr:nvGraphicFramePr>
        <xdr:cNvPr id="5" name="Chart 4">
          <a:extLst>
            <a:ext uri="{FF2B5EF4-FFF2-40B4-BE49-F238E27FC236}">
              <a16:creationId xmlns:a16="http://schemas.microsoft.com/office/drawing/2014/main" id="{6DC3EBE4-9173-4C22-8375-CA81FFAB9DC5}"/>
            </a:ext>
            <a:ext uri="{147F2762-F138-4A5C-976F-8EAC2B608ADB}">
              <a16:predDERef xmlns:a16="http://schemas.microsoft.com/office/drawing/2014/main" pred="{B5DB543B-9800-4122-A819-C42DD313C8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3</xdr:row>
      <xdr:rowOff>142875</xdr:rowOff>
    </xdr:from>
    <xdr:to>
      <xdr:col>15</xdr:col>
      <xdr:colOff>9525</xdr:colOff>
      <xdr:row>23</xdr:row>
      <xdr:rowOff>57150</xdr:rowOff>
    </xdr:to>
    <xdr:graphicFrame macro="">
      <xdr:nvGraphicFramePr>
        <xdr:cNvPr id="6" name="Chart 5">
          <a:extLst>
            <a:ext uri="{FF2B5EF4-FFF2-40B4-BE49-F238E27FC236}">
              <a16:creationId xmlns:a16="http://schemas.microsoft.com/office/drawing/2014/main" id="{3C448B4E-A4B3-4E53-8650-A452B04CC65A}"/>
            </a:ext>
            <a:ext uri="{147F2762-F138-4A5C-976F-8EAC2B608ADB}">
              <a16:predDERef xmlns:a16="http://schemas.microsoft.com/office/drawing/2014/main" pred="{6DC3EBE4-9173-4C22-8375-CA81FFAB9D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38100</xdr:colOff>
      <xdr:row>3</xdr:row>
      <xdr:rowOff>142875</xdr:rowOff>
    </xdr:from>
    <xdr:to>
      <xdr:col>19</xdr:col>
      <xdr:colOff>9525</xdr:colOff>
      <xdr:row>23</xdr:row>
      <xdr:rowOff>66675</xdr:rowOff>
    </xdr:to>
    <mc:AlternateContent xmlns:mc="http://schemas.openxmlformats.org/markup-compatibility/2006">
      <mc:Choice xmlns:cx1="http://schemas.microsoft.com/office/drawing/2015/9/8/chartex" Requires="cx1">
        <xdr:graphicFrame macro="">
          <xdr:nvGraphicFramePr>
            <xdr:cNvPr id="7" name="Chart 3">
              <a:extLst>
                <a:ext uri="{FF2B5EF4-FFF2-40B4-BE49-F238E27FC236}">
                  <a16:creationId xmlns:a16="http://schemas.microsoft.com/office/drawing/2014/main" id="{976308D2-4DD2-4F85-A868-1188D6FA4E7A}"/>
                </a:ext>
                <a:ext uri="{147F2762-F138-4A5C-976F-8EAC2B608ADB}">
                  <a16:predDERef xmlns:a16="http://schemas.microsoft.com/office/drawing/2014/main" pred="{3C448B4E-A4B3-4E53-8650-A452B04CC6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125075" y="714375"/>
              <a:ext cx="2409825" cy="37338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552450</xdr:colOff>
      <xdr:row>0</xdr:row>
      <xdr:rowOff>19050</xdr:rowOff>
    </xdr:from>
    <xdr:to>
      <xdr:col>16</xdr:col>
      <xdr:colOff>523875</xdr:colOff>
      <xdr:row>3</xdr:row>
      <xdr:rowOff>114300</xdr:rowOff>
    </xdr:to>
    <mc:AlternateContent xmlns:mc="http://schemas.openxmlformats.org/markup-compatibility/2006" xmlns:a14="http://schemas.microsoft.com/office/drawing/2010/main">
      <mc:Choice Requires="a14">
        <xdr:graphicFrame macro="">
          <xdr:nvGraphicFramePr>
            <xdr:cNvPr id="9" name="months">
              <a:extLst>
                <a:ext uri="{FF2B5EF4-FFF2-40B4-BE49-F238E27FC236}">
                  <a16:creationId xmlns:a16="http://schemas.microsoft.com/office/drawing/2014/main" id="{08A355F2-46C4-F200-8C81-3517333A0E9E}"/>
                </a:ext>
                <a:ext uri="{147F2762-F138-4A5C-976F-8EAC2B608ADB}">
                  <a16:predDERef xmlns:a16="http://schemas.microsoft.com/office/drawing/2014/main" pred="{976308D2-4DD2-4F85-A868-1188D6FA4E7A}"/>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1466850" y="19050"/>
              <a:ext cx="9763125" cy="66675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16</xdr:col>
      <xdr:colOff>561975</xdr:colOff>
      <xdr:row>0</xdr:row>
      <xdr:rowOff>9525</xdr:rowOff>
    </xdr:from>
    <xdr:to>
      <xdr:col>19</xdr:col>
      <xdr:colOff>9525</xdr:colOff>
      <xdr:row>3</xdr:row>
      <xdr:rowOff>114300</xdr:rowOff>
    </xdr:to>
    <xdr:sp macro="" textlink="">
      <xdr:nvSpPr>
        <xdr:cNvPr id="11" name="Rectangle 10">
          <a:extLst>
            <a:ext uri="{FF2B5EF4-FFF2-40B4-BE49-F238E27FC236}">
              <a16:creationId xmlns:a16="http://schemas.microsoft.com/office/drawing/2014/main" id="{842D586C-E08E-1168-B65A-87248B6D8D80}"/>
            </a:ext>
            <a:ext uri="{147F2762-F138-4A5C-976F-8EAC2B608ADB}">
              <a16:predDERef xmlns:a16="http://schemas.microsoft.com/office/drawing/2014/main" pred="{08A355F2-46C4-F200-8C81-3517333A0E9E}"/>
            </a:ext>
          </a:extLst>
        </xdr:cNvPr>
        <xdr:cNvSpPr/>
      </xdr:nvSpPr>
      <xdr:spPr>
        <a:xfrm>
          <a:off x="11258550" y="9525"/>
          <a:ext cx="1276350" cy="676275"/>
        </a:xfrm>
        <a:prstGeom prst="rect">
          <a:avLst/>
        </a:prstGeom>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en-US" sz="16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Year</a:t>
          </a:r>
        </a:p>
        <a:p>
          <a:pPr marL="0" indent="0" algn="ctr"/>
          <a:r>
            <a:rPr lang="en-US" sz="16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2016</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419100</xdr:colOff>
      <xdr:row>0</xdr:row>
      <xdr:rowOff>123825</xdr:rowOff>
    </xdr:from>
    <xdr:to>
      <xdr:col>8</xdr:col>
      <xdr:colOff>419100</xdr:colOff>
      <xdr:row>14</xdr:row>
      <xdr:rowOff>95250</xdr:rowOff>
    </xdr:to>
    <mc:AlternateContent xmlns:mc="http://schemas.openxmlformats.org/markup-compatibility/2006">
      <mc:Choice xmlns:a14="http://schemas.microsoft.com/office/drawing/2010/main" Requires="a14">
        <xdr:graphicFrame macro="">
          <xdr:nvGraphicFramePr>
            <xdr:cNvPr id="3" name="months 2">
              <a:extLst>
                <a:ext uri="{FF2B5EF4-FFF2-40B4-BE49-F238E27FC236}">
                  <a16:creationId xmlns:a16="http://schemas.microsoft.com/office/drawing/2014/main" id="{8EF2822C-8393-6BBA-8FB4-6469FC3C9EBE}"/>
                </a:ext>
                <a:ext uri="{147F2762-F138-4A5C-976F-8EAC2B608ADB}">
                  <a16:predDERef xmlns:a16="http://schemas.microsoft.com/office/drawing/2014/main" pred="{47014D00-5F4A-6620-727A-D31F91FB8218}"/>
                </a:ext>
              </a:extLst>
            </xdr:cNvPr>
            <xdr:cNvGraphicFramePr/>
          </xdr:nvGraphicFramePr>
          <xdr:xfrm>
            <a:off x="0" y="0"/>
            <a:ext cx="0" cy="0"/>
          </xdr:xfrm>
          <a:graphic>
            <a:graphicData uri="http://schemas.microsoft.com/office/drawing/2010/slicer">
              <sle:slicer xmlns:sle="http://schemas.microsoft.com/office/drawing/2010/slicer" name="months 2"/>
            </a:graphicData>
          </a:graphic>
        </xdr:graphicFrame>
      </mc:Choice>
      <mc:Fallback>
        <xdr:sp macro="" textlink="">
          <xdr:nvSpPr>
            <xdr:cNvPr id="0" name=""/>
            <xdr:cNvSpPr>
              <a:spLocks noTextEdit="1"/>
            </xdr:cNvSpPr>
          </xdr:nvSpPr>
          <xdr:spPr>
            <a:xfrm>
              <a:off x="4991100" y="123825"/>
              <a:ext cx="1828800" cy="2638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438150</xdr:colOff>
      <xdr:row>255</xdr:row>
      <xdr:rowOff>0</xdr:rowOff>
    </xdr:from>
    <xdr:to>
      <xdr:col>12</xdr:col>
      <xdr:colOff>571500</xdr:colOff>
      <xdr:row>278</xdr:row>
      <xdr:rowOff>28575</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FF24D234-120C-931A-E939-D84C4F23B3BF}"/>
                </a:ext>
                <a:ext uri="{147F2762-F138-4A5C-976F-8EAC2B608ADB}">
                  <a16:predDERef xmlns:a16="http://schemas.microsoft.com/office/drawing/2014/main" pred="{8EF2822C-8393-6BBA-8FB4-6469FC3C9EB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381500" y="48577500"/>
              <a:ext cx="5010150" cy="44100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142875</xdr:colOff>
      <xdr:row>21</xdr:row>
      <xdr:rowOff>76200</xdr:rowOff>
    </xdr:from>
    <xdr:to>
      <xdr:col>26</xdr:col>
      <xdr:colOff>447675</xdr:colOff>
      <xdr:row>35</xdr:row>
      <xdr:rowOff>152400</xdr:rowOff>
    </xdr:to>
    <xdr:graphicFrame macro="">
      <xdr:nvGraphicFramePr>
        <xdr:cNvPr id="5" name="Chart 4">
          <a:extLst>
            <a:ext uri="{FF2B5EF4-FFF2-40B4-BE49-F238E27FC236}">
              <a16:creationId xmlns:a16="http://schemas.microsoft.com/office/drawing/2014/main" id="{7E447347-BF4C-8468-26C4-65BA52E04773}"/>
            </a:ext>
            <a:ext uri="{147F2762-F138-4A5C-976F-8EAC2B608ADB}">
              <a16:predDERef xmlns:a16="http://schemas.microsoft.com/office/drawing/2014/main" pred="{FF24D234-120C-931A-E939-D84C4F23B3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9525</xdr:colOff>
      <xdr:row>34</xdr:row>
      <xdr:rowOff>28575</xdr:rowOff>
    </xdr:from>
    <xdr:to>
      <xdr:col>28</xdr:col>
      <xdr:colOff>314325</xdr:colOff>
      <xdr:row>48</xdr:row>
      <xdr:rowOff>104775</xdr:rowOff>
    </xdr:to>
    <xdr:graphicFrame macro="">
      <xdr:nvGraphicFramePr>
        <xdr:cNvPr id="6" name="Chart 5">
          <a:extLst>
            <a:ext uri="{FF2B5EF4-FFF2-40B4-BE49-F238E27FC236}">
              <a16:creationId xmlns:a16="http://schemas.microsoft.com/office/drawing/2014/main" id="{9F143437-2275-F8AC-F879-492F1A0C2A86}"/>
            </a:ext>
            <a:ext uri="{147F2762-F138-4A5C-976F-8EAC2B608ADB}">
              <a16:predDERef xmlns:a16="http://schemas.microsoft.com/office/drawing/2014/main" pred="{7E447347-BF4C-8468-26C4-65BA52E047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622.96420347222" createdVersion="8" refreshedVersion="8" minRefreshableVersion="3" recordCount="1154" xr:uid="{23BBA142-9067-49C1-B221-B973F330CEAB}">
  <cacheSource type="worksheet">
    <worksheetSource name="Table1"/>
  </cacheSource>
  <cacheFields count="14">
    <cacheField name="START_DATE" numFmtId="0">
      <sharedItems containsSemiMixedTypes="0" containsString="0" containsNumber="1" minValue="42370.882638888892" maxValue="42735.922222222223"/>
    </cacheField>
    <cacheField name="StartDate" numFmtId="0">
      <sharedItems containsSemiMixedTypes="0" containsString="0" containsNumber="1" containsInteger="1" minValue="42370" maxValue="42735"/>
    </cacheField>
    <cacheField name="months" numFmtId="0">
      <sharedItems count="12">
        <s v="January"/>
        <s v="February"/>
        <s v="March"/>
        <s v="April"/>
        <s v="May"/>
        <s v="June"/>
        <s v="July"/>
        <s v="August"/>
        <s v="September"/>
        <s v="October"/>
        <s v="November"/>
        <s v="December"/>
      </sharedItems>
    </cacheField>
    <cacheField name="Days" numFmtId="0">
      <sharedItems count="7">
        <s v="Friday"/>
        <s v="Saturday"/>
        <s v="Tuesday"/>
        <s v="Wednesday"/>
        <s v="Thursday"/>
        <s v="Sunday"/>
        <s v="Monday"/>
      </sharedItems>
    </cacheField>
    <cacheField name="StartTime" numFmtId="0">
      <sharedItems/>
    </cacheField>
    <cacheField name="END_DATE" numFmtId="0">
      <sharedItems containsSemiMixedTypes="0" containsString="0" containsNumber="1" minValue="42370.886805555558" maxValue="42735.993750000001"/>
    </cacheField>
    <cacheField name="END_Time" numFmtId="0">
      <sharedItems containsSemiMixedTypes="0" containsString="0" containsNumber="1" minValue="0" maxValue="0.99930555555329192"/>
    </cacheField>
    <cacheField name="Duration_Time" numFmtId="0">
      <sharedItems/>
    </cacheField>
    <cacheField name="CATEGORY" numFmtId="0">
      <sharedItems count="2">
        <s v="Business"/>
        <s v="Personal"/>
      </sharedItems>
    </cacheField>
    <cacheField name="START" numFmtId="0">
      <sharedItems/>
    </cacheField>
    <cacheField name="STOP" numFmtId="0">
      <sharedItems/>
    </cacheField>
    <cacheField name="MILES" numFmtId="0">
      <sharedItems containsSemiMixedTypes="0" containsString="0" containsNumber="1" minValue="0.5" maxValue="310.3" count="256">
        <n v="5.0999999999999996"/>
        <n v="5"/>
        <n v="4.8"/>
        <n v="4.7"/>
        <n v="63.7"/>
        <n v="4.3"/>
        <n v="7.1"/>
        <n v="0.8"/>
        <n v="8.3000000000000007"/>
        <n v="16.5"/>
        <n v="10.8"/>
        <n v="7.5"/>
        <n v="6.2"/>
        <n v="6.4"/>
        <n v="1.6"/>
        <n v="1.7"/>
        <n v="1.9"/>
        <n v="4"/>
        <n v="1.8"/>
        <n v="2.4"/>
        <n v="2"/>
        <n v="15.1"/>
        <n v="11.2"/>
        <n v="11.8"/>
        <n v="21.9"/>
        <n v="3.9"/>
        <n v="8"/>
        <n v="10.4"/>
        <n v="7.2"/>
        <n v="7.6"/>
        <n v="17.100000000000001"/>
        <n v="40.200000000000003"/>
        <n v="1"/>
        <n v="2.2999999999999998"/>
        <n v="1.4"/>
        <n v="0.5"/>
        <n v="18.7"/>
        <n v="3.4"/>
        <n v="2.7"/>
        <n v="12.9"/>
        <n v="19"/>
        <n v="14.7"/>
        <n v="15.7"/>
        <n v="4.5999999999999996"/>
        <n v="5.2"/>
        <n v="10.1"/>
        <n v="5.8"/>
        <n v="5.5"/>
        <n v="5.7"/>
        <n v="19.399999999999999"/>
        <n v="23.3"/>
        <n v="6"/>
        <n v="9.6999999999999993"/>
        <n v="1.1000000000000001"/>
        <n v="9"/>
        <n v="7.7"/>
        <n v="11.4"/>
        <n v="3.2"/>
        <n v="5.6"/>
        <n v="6.1"/>
        <n v="5.3"/>
        <n v="3"/>
        <n v="1.5"/>
        <n v="17.3"/>
        <n v="13.5"/>
        <n v="8.5"/>
        <n v="2.6"/>
        <n v="17"/>
        <n v="18"/>
        <n v="8.4"/>
        <n v="11.5"/>
        <n v="8.9"/>
        <n v="8.1"/>
        <n v="13"/>
        <n v="13.9"/>
        <n v="43.7"/>
        <n v="14.1"/>
        <n v="4.5"/>
        <n v="3.6"/>
        <n v="21.4"/>
        <n v="23.5"/>
        <n v="12.7"/>
        <n v="10"/>
        <n v="18.3"/>
        <n v="7.3"/>
        <n v="3.5"/>
        <n v="4.2"/>
        <n v="13.6"/>
        <n v="2.5"/>
        <n v="14.4"/>
        <n v="18.399999999999999"/>
        <n v="23.1"/>
        <n v="14.5"/>
        <n v="8.8000000000000007"/>
        <n v="22.7"/>
        <n v="2.2000000000000002"/>
        <n v="20"/>
        <n v="3.1"/>
        <n v="6.3"/>
        <n v="10.6"/>
        <n v="9.9"/>
        <n v="6.8"/>
        <n v="2.1"/>
        <n v="3.8"/>
        <n v="6.6"/>
        <n v="10.9"/>
        <n v="4.9000000000000004"/>
        <n v="6.5"/>
        <n v="7.8"/>
        <n v="2.8"/>
        <n v="12.4"/>
        <n v="5.9"/>
        <n v="9.4"/>
        <n v="11.9"/>
        <n v="12.8"/>
        <n v="1.2"/>
        <n v="10.5"/>
        <n v="12.5"/>
        <n v="136"/>
        <n v="30.2"/>
        <n v="15.5"/>
        <n v="12.6"/>
        <n v="13.2"/>
        <n v="9.1999999999999993"/>
        <n v="12"/>
        <n v="35.1"/>
        <n v="36.5"/>
        <n v="57"/>
        <n v="9.6"/>
        <n v="0.9"/>
        <n v="25.6"/>
        <n v="23"/>
        <n v="144"/>
        <n v="310.3"/>
        <n v="201"/>
        <n v="6.7"/>
        <n v="6.9"/>
        <n v="27.2"/>
        <n v="25.7"/>
        <n v="13.8"/>
        <n v="28.8"/>
        <n v="16.100000000000001"/>
        <n v="16.399999999999999"/>
        <n v="11"/>
        <n v="20.3"/>
        <n v="0.7"/>
        <n v="77.3"/>
        <n v="80.5"/>
        <n v="174.2"/>
        <n v="159.30000000000001"/>
        <n v="7.9"/>
        <n v="8.6999999999999993"/>
        <n v="19.100000000000001"/>
        <n v="18.600000000000001"/>
        <n v="15.9"/>
        <n v="15.3"/>
        <n v="13.7"/>
        <n v="15.2"/>
        <n v="8.1999999999999993"/>
        <n v="22.5"/>
        <n v="32.799999999999997"/>
        <n v="14.2"/>
        <n v="18.2"/>
        <n v="2.9"/>
        <n v="20.5"/>
        <n v="9.8000000000000007"/>
        <n v="17.600000000000001"/>
        <n v="9.3000000000000007"/>
        <n v="11.3"/>
        <n v="14.9"/>
        <n v="14"/>
        <n v="3.3"/>
        <n v="22.3"/>
        <n v="16.3"/>
        <n v="3.7"/>
        <n v="11.6"/>
        <n v="15"/>
        <n v="12.2"/>
        <n v="19.3"/>
        <n v="16.600000000000001"/>
        <n v="8.6"/>
        <n v="46.9"/>
        <n v="30"/>
        <n v="4.4000000000000004"/>
        <n v="7.4"/>
        <n v="13.3"/>
        <n v="0.6"/>
        <n v="7"/>
        <n v="1.3"/>
        <n v="13.4"/>
        <n v="12.3"/>
        <n v="195.3"/>
        <n v="22.4"/>
        <n v="28.1"/>
        <n v="41.9"/>
        <n v="23.8"/>
        <n v="180.2"/>
        <n v="4.0999999999999996"/>
        <n v="9.1"/>
        <n v="9.5"/>
        <n v="14.6"/>
        <n v="17.399999999999999"/>
        <n v="31.7"/>
        <n v="31.9"/>
        <n v="15.6"/>
        <n v="25.9"/>
        <n v="16.2"/>
        <n v="12.1"/>
        <n v="20.2"/>
        <n v="17.7"/>
        <n v="25.2"/>
        <n v="96.2"/>
        <n v="35"/>
        <n v="50.4"/>
        <n v="86.6"/>
        <n v="156.9"/>
        <n v="17.2"/>
        <n v="69.099999999999994"/>
        <n v="195.6"/>
        <n v="37.700000000000003"/>
        <n v="16.7"/>
        <n v="28.6"/>
        <n v="17.899999999999999"/>
        <n v="112.6"/>
        <n v="33.200000000000003"/>
        <n v="20.6"/>
        <n v="47.7"/>
        <n v="44.6"/>
        <n v="28.2"/>
        <n v="15.4"/>
        <n v="107"/>
        <n v="133.6"/>
        <n v="91.8"/>
        <n v="40.700000000000003"/>
        <n v="75.7"/>
        <n v="29.8"/>
        <n v="68.400000000000006"/>
        <n v="195.9"/>
        <n v="45.2"/>
        <n v="10.3"/>
        <n v="13.1"/>
        <n v="43.9"/>
        <n v="45.9"/>
        <n v="36.6"/>
        <n v="43.6"/>
        <n v="5.4"/>
        <n v="39.200000000000003"/>
        <n v="18.5"/>
        <n v="11.1"/>
        <n v="18.899999999999999"/>
        <n v="10.199999999999999"/>
        <n v="103"/>
        <n v="32.299999999999997"/>
        <n v="23.2"/>
        <n v="10.7"/>
        <n v="48.2"/>
      </sharedItems>
    </cacheField>
    <cacheField name="PURPOSE" numFmtId="0">
      <sharedItems count="11">
        <s v="Meal/Entertain"/>
        <s v="not"/>
        <s v="Errand/Supplies"/>
        <s v="Meeting"/>
        <s v="Customer Visit"/>
        <s v="Temporary Site"/>
        <s v="Between Offices"/>
        <s v="Charity ($)"/>
        <s v="Commute"/>
        <s v="Moving"/>
        <s v="Airport/Travel"/>
      </sharedItems>
    </cacheField>
    <cacheField name="DAY-NIGHT" numFmtId="0">
      <sharedItems count="4">
        <s v="Night"/>
        <s v="Morning"/>
        <s v="Evening"/>
        <s v="Afternoon"/>
      </sharedItems>
    </cacheField>
  </cacheFields>
  <extLst>
    <ext xmlns:x14="http://schemas.microsoft.com/office/spreadsheetml/2009/9/main" uri="{725AE2AE-9491-48be-B2B4-4EB974FC3084}">
      <x14:pivotCacheDefinition pivotCacheId="6288361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4">
  <r>
    <n v="42370.882638888892"/>
    <n v="42370"/>
    <x v="0"/>
    <x v="0"/>
    <s v="09:11:00 PM"/>
    <n v="42370.886805555558"/>
    <n v="0.8868055555576575"/>
    <s v="6 min"/>
    <x v="0"/>
    <s v="Fort Pierce"/>
    <s v="Fort Pierce"/>
    <x v="0"/>
    <x v="0"/>
    <x v="0"/>
  </r>
  <r>
    <n v="42371.059027777781"/>
    <n v="42371"/>
    <x v="0"/>
    <x v="1"/>
    <s v="01:25:00 AM"/>
    <n v="42371.067361111112"/>
    <n v="6.7361111112404615E-2"/>
    <s v="12 min"/>
    <x v="0"/>
    <s v="Fort Pierce"/>
    <s v="Fort Pierce"/>
    <x v="1"/>
    <x v="1"/>
    <x v="1"/>
  </r>
  <r>
    <n v="42371.850694444445"/>
    <n v="42371"/>
    <x v="0"/>
    <x v="1"/>
    <s v="08:25:00 PM"/>
    <n v="42371.859722222223"/>
    <n v="0.85972222222335404"/>
    <s v="13 min"/>
    <x v="0"/>
    <s v="Fort Pierce"/>
    <s v="Fort Pierce"/>
    <x v="2"/>
    <x v="2"/>
    <x v="0"/>
  </r>
  <r>
    <n v="42374.729861111111"/>
    <n v="42374"/>
    <x v="0"/>
    <x v="2"/>
    <s v="05:31:00 PM"/>
    <n v="42374.739583333336"/>
    <n v="0.73958333333575865"/>
    <s v="14 min"/>
    <x v="0"/>
    <s v="Fort Pierce"/>
    <s v="Fort Pierce"/>
    <x v="3"/>
    <x v="3"/>
    <x v="2"/>
  </r>
  <r>
    <n v="42375.612500000003"/>
    <n v="42375"/>
    <x v="0"/>
    <x v="3"/>
    <s v="02:42:00 PM"/>
    <n v="42375.65902777778"/>
    <n v="0.65902777777955635"/>
    <s v="67 min"/>
    <x v="0"/>
    <s v="Fort Pierce"/>
    <s v="West Palm Beach"/>
    <x v="4"/>
    <x v="4"/>
    <x v="3"/>
  </r>
  <r>
    <n v="42375.71875"/>
    <n v="42375"/>
    <x v="0"/>
    <x v="3"/>
    <s v="05:15:00 PM"/>
    <n v="42375.72152777778"/>
    <n v="0.72152777777955635"/>
    <s v="4 min"/>
    <x v="0"/>
    <s v="West Palm Beach"/>
    <s v="West Palm Beach"/>
    <x v="5"/>
    <x v="0"/>
    <x v="2"/>
  </r>
  <r>
    <n v="42375.729166666664"/>
    <n v="42375"/>
    <x v="0"/>
    <x v="3"/>
    <s v="05:30:00 PM"/>
    <n v="42375.732638888891"/>
    <n v="0.73263888889050577"/>
    <s v="5 min"/>
    <x v="0"/>
    <s v="West Palm Beach"/>
    <s v="Palm Beach"/>
    <x v="6"/>
    <x v="3"/>
    <x v="2"/>
  </r>
  <r>
    <n v="42376.560416666667"/>
    <n v="42376"/>
    <x v="0"/>
    <x v="4"/>
    <s v="01:27:00 PM"/>
    <n v="42376.564583333333"/>
    <n v="0.56458333333284827"/>
    <s v="6 min"/>
    <x v="0"/>
    <s v="Cary"/>
    <s v="Cary"/>
    <x v="7"/>
    <x v="3"/>
    <x v="3"/>
  </r>
  <r>
    <n v="42379.336805555555"/>
    <n v="42379"/>
    <x v="0"/>
    <x v="5"/>
    <s v="08:05:00 AM"/>
    <n v="42379.350694444445"/>
    <n v="0.35069444444525288"/>
    <s v="20 min"/>
    <x v="0"/>
    <s v="Cary"/>
    <s v="Morrisville"/>
    <x v="8"/>
    <x v="3"/>
    <x v="1"/>
  </r>
  <r>
    <n v="42379.511805555558"/>
    <n v="42379"/>
    <x v="0"/>
    <x v="5"/>
    <s v="12:17:00 PM"/>
    <n v="42379.530555555553"/>
    <n v="0.53055555555329192"/>
    <s v="27 min"/>
    <x v="0"/>
    <s v="Jamaica"/>
    <s v="New York"/>
    <x v="9"/>
    <x v="4"/>
    <x v="3"/>
  </r>
  <r>
    <n v="42379.630555555559"/>
    <n v="42379"/>
    <x v="0"/>
    <x v="5"/>
    <s v="03:08:00 PM"/>
    <n v="42379.660416666666"/>
    <n v="0.66041666666569654"/>
    <s v="43 min"/>
    <x v="0"/>
    <s v="New York"/>
    <s v="Queens"/>
    <x v="10"/>
    <x v="3"/>
    <x v="2"/>
  </r>
  <r>
    <n v="42379.762499999997"/>
    <n v="42379"/>
    <x v="0"/>
    <x v="5"/>
    <s v="06:18:00 PM"/>
    <n v="42379.786805555559"/>
    <n v="0.78680555555911269"/>
    <s v="35 min"/>
    <x v="0"/>
    <s v="Elmhurst"/>
    <s v="New York"/>
    <x v="11"/>
    <x v="3"/>
    <x v="2"/>
  </r>
  <r>
    <n v="42379.8"/>
    <n v="42379"/>
    <x v="0"/>
    <x v="5"/>
    <s v="07:12:00 PM"/>
    <n v="42379.813888888886"/>
    <n v="0.81388888888614019"/>
    <s v="20 min"/>
    <x v="0"/>
    <s v="Midtown"/>
    <s v="East Harlem"/>
    <x v="12"/>
    <x v="3"/>
    <x v="0"/>
  </r>
  <r>
    <n v="42380.371527777781"/>
    <n v="42380"/>
    <x v="0"/>
    <x v="6"/>
    <s v="08:55:00 AM"/>
    <n v="42380.38958333333"/>
    <n v="0.38958333332993789"/>
    <s v="26 min"/>
    <x v="0"/>
    <s v="East Harlem"/>
    <s v="NoMad"/>
    <x v="13"/>
    <x v="5"/>
    <x v="1"/>
  </r>
  <r>
    <n v="42380.49722222222"/>
    <n v="42380"/>
    <x v="0"/>
    <x v="6"/>
    <s v="11:56:00 AM"/>
    <n v="42380.502083333333"/>
    <n v="0.50208333333284827"/>
    <s v="7 min"/>
    <x v="0"/>
    <s v="Flatiron District"/>
    <s v="Midtown"/>
    <x v="14"/>
    <x v="2"/>
    <x v="3"/>
  </r>
  <r>
    <n v="42380.563888888886"/>
    <n v="42380"/>
    <x v="0"/>
    <x v="6"/>
    <s v="01:32:00 PM"/>
    <n v="42380.573611111111"/>
    <n v="0.57361111111094942"/>
    <s v="14 min"/>
    <x v="0"/>
    <s v="Midtown"/>
    <s v="Midtown East"/>
    <x v="15"/>
    <x v="0"/>
    <x v="3"/>
  </r>
  <r>
    <n v="42380.604166666664"/>
    <n v="42380"/>
    <x v="0"/>
    <x v="6"/>
    <s v="02:30:00 PM"/>
    <n v="42380.613194444442"/>
    <n v="0.6131944444423425"/>
    <s v="13 min"/>
    <x v="0"/>
    <s v="Midtown East"/>
    <s v="Midtown"/>
    <x v="16"/>
    <x v="0"/>
    <x v="3"/>
  </r>
  <r>
    <n v="42381.522916666669"/>
    <n v="42381"/>
    <x v="0"/>
    <x v="2"/>
    <s v="12:33:00 PM"/>
    <n v="42381.53402777778"/>
    <n v="0.53402777777955635"/>
    <s v="16 min"/>
    <x v="0"/>
    <s v="Midtown"/>
    <s v="Hudson Square"/>
    <x v="16"/>
    <x v="0"/>
    <x v="3"/>
  </r>
  <r>
    <n v="42381.536805555559"/>
    <n v="42381"/>
    <x v="0"/>
    <x v="2"/>
    <s v="12:53:00 PM"/>
    <n v="42381.54791666667"/>
    <n v="0.54791666667006211"/>
    <s v="16 min"/>
    <x v="0"/>
    <s v="Hudson Square"/>
    <s v="Lower Manhattan"/>
    <x v="17"/>
    <x v="0"/>
    <x v="3"/>
  </r>
  <r>
    <n v="42381.612500000003"/>
    <n v="42381"/>
    <x v="0"/>
    <x v="2"/>
    <s v="02:42:00 PM"/>
    <n v="42381.62222222222"/>
    <n v="0.62222222222044365"/>
    <s v="14 min"/>
    <x v="0"/>
    <s v="Lower Manhattan"/>
    <s v="Hudson Square"/>
    <x v="18"/>
    <x v="2"/>
    <x v="3"/>
  </r>
  <r>
    <n v="42381.634027777778"/>
    <n v="42381"/>
    <x v="0"/>
    <x v="2"/>
    <s v="03:13:00 PM"/>
    <n v="42381.644444444442"/>
    <n v="0.6444444444423425"/>
    <s v="15 min"/>
    <x v="0"/>
    <s v="Hudson Square"/>
    <s v="Hell's Kitchen"/>
    <x v="19"/>
    <x v="4"/>
    <x v="2"/>
  </r>
  <r>
    <n v="42381.654166666667"/>
    <n v="42381"/>
    <x v="0"/>
    <x v="2"/>
    <s v="03:42:00 PM"/>
    <n v="42381.662499999999"/>
    <n v="0.66249999999854481"/>
    <s v="12 min"/>
    <x v="0"/>
    <s v="Hell's Kitchen"/>
    <s v="Midtown"/>
    <x v="20"/>
    <x v="2"/>
    <x v="2"/>
  </r>
  <r>
    <n v="42381.668055555558"/>
    <n v="42381"/>
    <x v="0"/>
    <x v="2"/>
    <s v="04:02:00 PM"/>
    <n v="42381.708333333336"/>
    <n v="0.70833333333575865"/>
    <s v="58 min"/>
    <x v="0"/>
    <s v="New York"/>
    <s v="Queens County"/>
    <x v="21"/>
    <x v="3"/>
    <x v="2"/>
  </r>
  <r>
    <n v="42382.57916666667"/>
    <n v="42382"/>
    <x v="0"/>
    <x v="3"/>
    <s v="01:54:00 PM"/>
    <n v="42382.588194444441"/>
    <n v="0.58819444444088731"/>
    <s v="13 min"/>
    <x v="0"/>
    <s v="Downtown"/>
    <s v="Gulfton"/>
    <x v="22"/>
    <x v="3"/>
    <x v="3"/>
  </r>
  <r>
    <n v="42382.625"/>
    <n v="42382"/>
    <x v="0"/>
    <x v="3"/>
    <s v="03:00:00 PM"/>
    <n v="42382.644444444442"/>
    <n v="0.6444444444423425"/>
    <s v="28 min"/>
    <x v="0"/>
    <s v="Gulfton"/>
    <s v="Downtown"/>
    <x v="23"/>
    <x v="3"/>
    <x v="2"/>
  </r>
  <r>
    <n v="42383.686805555553"/>
    <n v="42383"/>
    <x v="0"/>
    <x v="4"/>
    <s v="04:29:00 PM"/>
    <n v="42383.711805555555"/>
    <n v="0.71180555555474712"/>
    <s v="36 min"/>
    <x v="0"/>
    <s v="Houston"/>
    <s v="Houston"/>
    <x v="24"/>
    <x v="4"/>
    <x v="2"/>
  </r>
  <r>
    <n v="42383.902083333334"/>
    <n v="42383"/>
    <x v="0"/>
    <x v="4"/>
    <s v="09:39:00 PM"/>
    <n v="42383.90625"/>
    <n v="0.90625"/>
    <s v="6 min"/>
    <x v="0"/>
    <s v="Eagan Park"/>
    <s v="Jamestown Court"/>
    <x v="25"/>
    <x v="2"/>
    <x v="0"/>
  </r>
  <r>
    <n v="42384.02847222222"/>
    <n v="42384"/>
    <x v="0"/>
    <x v="0"/>
    <s v="12:41:00 AM"/>
    <n v="42384.042361111111"/>
    <n v="4.2361111110949423E-2"/>
    <s v="20 min"/>
    <x v="0"/>
    <s v="Morrisville"/>
    <s v="Cary"/>
    <x v="26"/>
    <x v="2"/>
    <x v="1"/>
  </r>
  <r>
    <n v="42384.488194444442"/>
    <n v="42384"/>
    <x v="0"/>
    <x v="0"/>
    <s v="11:43:00 AM"/>
    <n v="42384.502083333333"/>
    <n v="0.50208333333284827"/>
    <s v="20 min"/>
    <x v="0"/>
    <s v="Cary"/>
    <s v="Durham"/>
    <x v="27"/>
    <x v="0"/>
    <x v="3"/>
  </r>
  <r>
    <n v="42384.55972222222"/>
    <n v="42384"/>
    <x v="0"/>
    <x v="0"/>
    <s v="01:26:00 PM"/>
    <n v="42384.572222222225"/>
    <n v="0.57222222222480923"/>
    <s v="18 min"/>
    <x v="0"/>
    <s v="Durham"/>
    <s v="Cary"/>
    <x v="27"/>
    <x v="0"/>
    <x v="3"/>
  </r>
  <r>
    <n v="42387.621527777781"/>
    <n v="42387"/>
    <x v="0"/>
    <x v="6"/>
    <s v="02:55:00 PM"/>
    <n v="42387.629166666666"/>
    <n v="0.62916666666569654"/>
    <s v="11 min"/>
    <x v="0"/>
    <s v="Cary"/>
    <s v="Cary"/>
    <x v="2"/>
    <x v="0"/>
    <x v="3"/>
  </r>
  <r>
    <n v="42387.675694444442"/>
    <n v="42387"/>
    <x v="0"/>
    <x v="6"/>
    <s v="04:13:00 PM"/>
    <n v="42387.683333333334"/>
    <n v="0.68333333333430346"/>
    <s v="11 min"/>
    <x v="0"/>
    <s v="Farmington Woods"/>
    <s v="Whitebridge"/>
    <x v="3"/>
    <x v="0"/>
    <x v="2"/>
  </r>
  <r>
    <n v="42388.381249999999"/>
    <n v="42388"/>
    <x v="0"/>
    <x v="2"/>
    <s v="09:09:00 AM"/>
    <n v="42388.390972222223"/>
    <n v="0.39097222222335404"/>
    <s v="14 min"/>
    <x v="0"/>
    <s v="Whitebridge"/>
    <s v="Lake Wellingborough"/>
    <x v="28"/>
    <x v="1"/>
    <x v="1"/>
  </r>
  <r>
    <n v="42388.454861111109"/>
    <n v="42388"/>
    <x v="0"/>
    <x v="2"/>
    <s v="10:55:00 AM"/>
    <n v="42388.464583333334"/>
    <n v="0.46458333333430346"/>
    <s v="14 min"/>
    <x v="0"/>
    <s v="Lake Wellingborough"/>
    <s v="Whitebridge"/>
    <x v="29"/>
    <x v="5"/>
    <x v="3"/>
  </r>
  <r>
    <n v="42389.441666666666"/>
    <n v="42389"/>
    <x v="0"/>
    <x v="3"/>
    <s v="10:36:00 AM"/>
    <n v="42389.46597222222"/>
    <n v="0.46597222222044365"/>
    <s v="35 min"/>
    <x v="0"/>
    <s v="Cary"/>
    <s v="Raleigh"/>
    <x v="30"/>
    <x v="3"/>
    <x v="3"/>
  </r>
  <r>
    <n v="42389.491666666669"/>
    <n v="42389"/>
    <x v="0"/>
    <x v="3"/>
    <s v="11:48:00 AM"/>
    <n v="42389.513194444444"/>
    <n v="0.51319444444379769"/>
    <s v="31 min"/>
    <x v="0"/>
    <s v="Fayetteville Street"/>
    <s v="Umstead"/>
    <x v="21"/>
    <x v="3"/>
    <x v="3"/>
  </r>
  <r>
    <n v="42389.559027777781"/>
    <n v="42389"/>
    <x v="0"/>
    <x v="3"/>
    <s v="01:25:00 PM"/>
    <n v="42389.59652777778"/>
    <n v="0.59652777777955635"/>
    <s v="54 min"/>
    <x v="0"/>
    <s v="Raleigh"/>
    <s v="Cary"/>
    <x v="31"/>
    <x v="4"/>
    <x v="3"/>
  </r>
  <r>
    <n v="42390.600694444445"/>
    <n v="42390"/>
    <x v="0"/>
    <x v="4"/>
    <s v="02:25:00 PM"/>
    <n v="42390.603472222225"/>
    <n v="0.60347222222480923"/>
    <s v="4 min"/>
    <x v="0"/>
    <s v="Cary"/>
    <s v="Cary"/>
    <x v="14"/>
    <x v="2"/>
    <x v="3"/>
  </r>
  <r>
    <n v="42390.613194444442"/>
    <n v="42390"/>
    <x v="0"/>
    <x v="4"/>
    <s v="02:43:00 PM"/>
    <n v="42390.618750000001"/>
    <n v="0.61875000000145519"/>
    <s v="8 min"/>
    <x v="0"/>
    <s v="Cary"/>
    <s v="Cary"/>
    <x v="19"/>
    <x v="0"/>
    <x v="3"/>
  </r>
  <r>
    <n v="42390.667361111111"/>
    <n v="42390"/>
    <x v="0"/>
    <x v="4"/>
    <s v="04:01:00 PM"/>
    <n v="42390.67083333333"/>
    <n v="0.67083333332993789"/>
    <s v="5 min"/>
    <x v="0"/>
    <s v="Cary"/>
    <s v="Cary"/>
    <x v="32"/>
    <x v="0"/>
    <x v="2"/>
  </r>
  <r>
    <n v="42395.445138888892"/>
    <n v="42395"/>
    <x v="0"/>
    <x v="2"/>
    <s v="10:41:00 AM"/>
    <n v="42395.451388888891"/>
    <n v="0.45138888889050577"/>
    <s v="9 min"/>
    <x v="0"/>
    <s v="Whitebridge"/>
    <s v="Hazelwood"/>
    <x v="20"/>
    <x v="0"/>
    <x v="3"/>
  </r>
  <r>
    <n v="42395.522916666669"/>
    <n v="42395"/>
    <x v="0"/>
    <x v="2"/>
    <s v="12:33:00 PM"/>
    <n v="42395.52847222222"/>
    <n v="0.52847222222044365"/>
    <s v="8 min"/>
    <x v="0"/>
    <s v="Hazelwood"/>
    <s v="Whitebridge"/>
    <x v="33"/>
    <x v="2"/>
    <x v="3"/>
  </r>
  <r>
    <n v="42395.683333333334"/>
    <n v="42395"/>
    <x v="0"/>
    <x v="2"/>
    <s v="04:24:00 PM"/>
    <n v="42395.688888888886"/>
    <n v="0.68888888888614019"/>
    <s v="8 min"/>
    <x v="0"/>
    <s v="Whitebridge"/>
    <s v="Westpark Place"/>
    <x v="16"/>
    <x v="2"/>
    <x v="2"/>
  </r>
  <r>
    <n v="42395.720138888886"/>
    <n v="42395"/>
    <x v="0"/>
    <x v="2"/>
    <s v="05:17:00 PM"/>
    <n v="42395.723611111112"/>
    <n v="0.72361111111240461"/>
    <s v="5 min"/>
    <x v="0"/>
    <s v="Cary"/>
    <s v="Cary"/>
    <x v="34"/>
    <x v="2"/>
    <x v="2"/>
  </r>
  <r>
    <n v="42395.727083333331"/>
    <n v="42395"/>
    <x v="0"/>
    <x v="2"/>
    <s v="05:27:00 PM"/>
    <n v="42395.728472222225"/>
    <n v="0.72847222222480923"/>
    <s v="2 min"/>
    <x v="0"/>
    <s v="Cary"/>
    <s v="Cary"/>
    <x v="35"/>
    <x v="2"/>
    <x v="2"/>
  </r>
  <r>
    <n v="42396.39166666667"/>
    <n v="42396"/>
    <x v="0"/>
    <x v="3"/>
    <s v="09:24:00 AM"/>
    <n v="42396.396527777775"/>
    <n v="0.39652777777519077"/>
    <s v="7 min"/>
    <x v="0"/>
    <s v="Cary"/>
    <s v="Cary"/>
    <x v="18"/>
    <x v="3"/>
    <x v="1"/>
  </r>
  <r>
    <n v="42396.429861111108"/>
    <n v="42396"/>
    <x v="0"/>
    <x v="3"/>
    <s v="10:19:00 AM"/>
    <n v="42396.45"/>
    <n v="0.44999999999708962"/>
    <s v="29 min"/>
    <x v="0"/>
    <s v="Cary"/>
    <s v="Raleigh"/>
    <x v="36"/>
    <x v="4"/>
    <x v="3"/>
  </r>
  <r>
    <n v="42396.523611111108"/>
    <n v="42396"/>
    <x v="0"/>
    <x v="3"/>
    <s v="12:34:00 PM"/>
    <n v="42396.530555555553"/>
    <n v="0.53055555555329192"/>
    <s v="10 min"/>
    <x v="0"/>
    <s v="Fairmont"/>
    <s v="Meredith Townes"/>
    <x v="37"/>
    <x v="4"/>
    <x v="3"/>
  </r>
  <r>
    <n v="42396.586805555555"/>
    <n v="42396"/>
    <x v="0"/>
    <x v="3"/>
    <s v="02:05:00 PM"/>
    <n v="42396.592361111114"/>
    <n v="0.59236111111385981"/>
    <s v="8 min"/>
    <x v="0"/>
    <s v="Raleigh"/>
    <s v="Raleigh"/>
    <x v="38"/>
    <x v="4"/>
    <x v="3"/>
  </r>
  <r>
    <n v="42396.615277777775"/>
    <n v="42396"/>
    <x v="0"/>
    <x v="3"/>
    <s v="02:46:00 PM"/>
    <n v="42396.630555555559"/>
    <n v="0.63055555555911269"/>
    <s v="22 min"/>
    <x v="0"/>
    <s v="Raleigh"/>
    <s v="Cary"/>
    <x v="39"/>
    <x v="4"/>
    <x v="3"/>
  </r>
  <r>
    <n v="42397.519444444442"/>
    <n v="42397"/>
    <x v="0"/>
    <x v="4"/>
    <s v="12:28:00 PM"/>
    <n v="42397.541666666664"/>
    <n v="0.54166666666424135"/>
    <s v="32 min"/>
    <x v="0"/>
    <s v="Cary"/>
    <s v="Raleigh"/>
    <x v="40"/>
    <x v="5"/>
    <x v="3"/>
  </r>
  <r>
    <n v="42397.632638888892"/>
    <n v="42397"/>
    <x v="0"/>
    <x v="4"/>
    <s v="03:11:00 PM"/>
    <n v="42397.646527777775"/>
    <n v="0.64652777777519077"/>
    <s v="20 min"/>
    <x v="0"/>
    <s v="Meredith Townes"/>
    <s v="Leesville Hollow"/>
    <x v="41"/>
    <x v="3"/>
    <x v="2"/>
  </r>
  <r>
    <n v="42397.681250000001"/>
    <n v="42397"/>
    <x v="0"/>
    <x v="4"/>
    <s v="04:21:00 PM"/>
    <n v="42397.70208333333"/>
    <n v="0.70208333332993789"/>
    <s v="30 min"/>
    <x v="0"/>
    <s v="Raleigh"/>
    <s v="Cary"/>
    <x v="42"/>
    <x v="3"/>
    <x v="2"/>
  </r>
  <r>
    <n v="42398.396527777775"/>
    <n v="42398"/>
    <x v="0"/>
    <x v="0"/>
    <s v="09:31:00 AM"/>
    <n v="42398.40625"/>
    <n v="0.40625"/>
    <s v="14 min"/>
    <x v="0"/>
    <s v="Cary"/>
    <s v="Cary"/>
    <x v="43"/>
    <x v="4"/>
    <x v="1"/>
  </r>
  <r>
    <n v="42398.455555555556"/>
    <n v="42398"/>
    <x v="0"/>
    <x v="0"/>
    <s v="10:56:00 AM"/>
    <n v="42398.463194444441"/>
    <n v="0.46319444444088731"/>
    <s v="11 min"/>
    <x v="0"/>
    <s v="Cary"/>
    <s v="Cary"/>
    <x v="44"/>
    <x v="3"/>
    <x v="3"/>
  </r>
  <r>
    <n v="42398.488194444442"/>
    <n v="42398"/>
    <x v="0"/>
    <x v="0"/>
    <s v="11:43:00 AM"/>
    <n v="42398.502083333333"/>
    <n v="0.50208333333284827"/>
    <s v="20 min"/>
    <x v="0"/>
    <s v="Cary"/>
    <s v="Durham"/>
    <x v="27"/>
    <x v="3"/>
    <x v="3"/>
  </r>
  <r>
    <n v="42398.558333333334"/>
    <n v="42398"/>
    <x v="0"/>
    <x v="0"/>
    <s v="01:24:00 PM"/>
    <n v="42398.574305555558"/>
    <n v="0.5743055555576575"/>
    <s v="23 min"/>
    <x v="0"/>
    <s v="Durham"/>
    <s v="Cary"/>
    <x v="45"/>
    <x v="3"/>
    <x v="3"/>
  </r>
  <r>
    <n v="42398.771527777775"/>
    <n v="42398"/>
    <x v="0"/>
    <x v="0"/>
    <s v="06:31:00 PM"/>
    <n v="42398.786111111112"/>
    <n v="0.78611111111240461"/>
    <s v="21 min"/>
    <x v="0"/>
    <s v="Cary"/>
    <s v="Apex"/>
    <x v="46"/>
    <x v="2"/>
    <x v="2"/>
  </r>
  <r>
    <n v="42398.88958333333"/>
    <n v="42398"/>
    <x v="0"/>
    <x v="0"/>
    <s v="09:21:00 PM"/>
    <n v="42398.902777777781"/>
    <n v="0.90277777778101154"/>
    <s v="19 min"/>
    <x v="0"/>
    <s v="Apex"/>
    <s v="Cary"/>
    <x v="47"/>
    <x v="0"/>
    <x v="0"/>
  </r>
  <r>
    <n v="42399.681250000001"/>
    <n v="42399"/>
    <x v="0"/>
    <x v="1"/>
    <s v="04:21:00 PM"/>
    <n v="42399.689583333333"/>
    <n v="0.68958333333284827"/>
    <s v="12 min"/>
    <x v="0"/>
    <s v="Cary"/>
    <s v="Apex"/>
    <x v="48"/>
    <x v="2"/>
    <x v="2"/>
  </r>
  <r>
    <n v="42399.756249999999"/>
    <n v="42399"/>
    <x v="0"/>
    <x v="1"/>
    <s v="06:09:00 PM"/>
    <n v="42399.76666666667"/>
    <n v="0.76666666667006211"/>
    <s v="15 min"/>
    <x v="0"/>
    <s v="Apex"/>
    <s v="Cary"/>
    <x v="48"/>
    <x v="4"/>
    <x v="2"/>
  </r>
  <r>
    <n v="42401.440972222219"/>
    <n v="42401"/>
    <x v="1"/>
    <x v="6"/>
    <s v="10:35:00 AM"/>
    <n v="42401.46875"/>
    <n v="0.46875"/>
    <s v="40 min"/>
    <x v="0"/>
    <s v="Cary"/>
    <s v="Chapel Hill"/>
    <x v="49"/>
    <x v="4"/>
    <x v="3"/>
  </r>
  <r>
    <n v="42401.506944444445"/>
    <n v="42401"/>
    <x v="1"/>
    <x v="6"/>
    <s v="12:10:00 PM"/>
    <n v="42401.529861111114"/>
    <n v="0.52986111111385981"/>
    <s v="33 min"/>
    <x v="0"/>
    <s v="Chapel Hill"/>
    <s v="Cary"/>
    <x v="50"/>
    <x v="4"/>
    <x v="3"/>
  </r>
  <r>
    <n v="42401.538888888892"/>
    <n v="42401"/>
    <x v="1"/>
    <x v="6"/>
    <s v="12:56:00 PM"/>
    <n v="42401.546527777777"/>
    <n v="0.54652777777664596"/>
    <s v="11 min"/>
    <x v="0"/>
    <s v="Northwoods"/>
    <s v="Whitebridge"/>
    <x v="25"/>
    <x v="0"/>
    <x v="3"/>
  </r>
  <r>
    <n v="42402.544444444444"/>
    <n v="42402"/>
    <x v="1"/>
    <x v="2"/>
    <s v="01:04:00 PM"/>
    <n v="42402.557638888888"/>
    <n v="0.55763888888759539"/>
    <s v="19 min"/>
    <x v="0"/>
    <s v="Whitebridge"/>
    <s v="Williamsburg Manor"/>
    <x v="8"/>
    <x v="3"/>
    <x v="3"/>
  </r>
  <r>
    <n v="42402.57708333333"/>
    <n v="42402"/>
    <x v="1"/>
    <x v="2"/>
    <s v="01:51:00 PM"/>
    <n v="42402.587500000001"/>
    <n v="0.58750000000145519"/>
    <s v="15 min"/>
    <x v="0"/>
    <s v="Cary"/>
    <s v="Cary"/>
    <x v="51"/>
    <x v="2"/>
    <x v="3"/>
  </r>
  <r>
    <n v="42402.609722222223"/>
    <n v="42402"/>
    <x v="1"/>
    <x v="2"/>
    <s v="02:38:00 PM"/>
    <n v="42402.612500000003"/>
    <n v="0.61250000000291038"/>
    <s v="4 min"/>
    <x v="0"/>
    <s v="Cary"/>
    <s v="Cary"/>
    <x v="14"/>
    <x v="2"/>
    <x v="3"/>
  </r>
  <r>
    <n v="42404.361111111109"/>
    <n v="42404"/>
    <x v="1"/>
    <x v="4"/>
    <s v="08:40:00 AM"/>
    <n v="42404.375694444447"/>
    <n v="0.37569444444670808"/>
    <s v="21 min"/>
    <x v="0"/>
    <s v="Cary"/>
    <s v="Morrisville"/>
    <x v="44"/>
    <x v="2"/>
    <x v="1"/>
  </r>
  <r>
    <n v="42404.400694444441"/>
    <n v="42404"/>
    <x v="1"/>
    <x v="4"/>
    <s v="09:37:00 AM"/>
    <n v="42404.42291666667"/>
    <n v="0.42291666667006211"/>
    <s v="32 min"/>
    <x v="0"/>
    <s v="Morrisville"/>
    <s v="Cary"/>
    <x v="52"/>
    <x v="0"/>
    <x v="1"/>
  </r>
  <r>
    <n v="42404.43472222222"/>
    <n v="42404"/>
    <x v="1"/>
    <x v="4"/>
    <s v="10:26:00 AM"/>
    <n v="42404.438888888886"/>
    <n v="0.43888888888614019"/>
    <s v="6 min"/>
    <x v="0"/>
    <s v="Cary"/>
    <s v="Cary"/>
    <x v="14"/>
    <x v="0"/>
    <x v="3"/>
  </r>
  <r>
    <n v="42404.665972222225"/>
    <n v="42404"/>
    <x v="1"/>
    <x v="4"/>
    <s v="03:59:00 PM"/>
    <n v="42404.668749999997"/>
    <n v="0.66874999999708962"/>
    <s v="4 min"/>
    <x v="0"/>
    <s v="Cary"/>
    <s v="Cary"/>
    <x v="53"/>
    <x v="0"/>
    <x v="2"/>
  </r>
  <r>
    <n v="42404.690972222219"/>
    <n v="42404"/>
    <x v="1"/>
    <x v="4"/>
    <s v="04:35:00 PM"/>
    <n v="42404.693749999999"/>
    <n v="0.69374999999854481"/>
    <s v="4 min"/>
    <x v="0"/>
    <s v="Cary"/>
    <s v="Cary"/>
    <x v="14"/>
    <x v="0"/>
    <x v="2"/>
  </r>
  <r>
    <n v="42404.75277777778"/>
    <n v="42404"/>
    <x v="1"/>
    <x v="4"/>
    <s v="06:04:00 PM"/>
    <n v="42404.771527777775"/>
    <n v="0.77152777777519077"/>
    <s v="27 min"/>
    <x v="0"/>
    <s v="Whitebridge"/>
    <s v="Macgregor Downs"/>
    <x v="54"/>
    <x v="3"/>
    <x v="2"/>
  </r>
  <r>
    <n v="42404.85833333333"/>
    <n v="42404"/>
    <x v="1"/>
    <x v="4"/>
    <s v="08:36:00 PM"/>
    <n v="42404.871527777781"/>
    <n v="0.87152777778101154"/>
    <s v="19 min"/>
    <x v="0"/>
    <s v="Cary"/>
    <s v="Cary"/>
    <x v="55"/>
    <x v="3"/>
    <x v="0"/>
  </r>
  <r>
    <n v="42405.490972222222"/>
    <n v="42405"/>
    <x v="1"/>
    <x v="0"/>
    <s v="11:47:00 AM"/>
    <n v="42405.504861111112"/>
    <n v="0.50486111111240461"/>
    <s v="20 min"/>
    <x v="0"/>
    <s v="Cary"/>
    <s v="Durham"/>
    <x v="27"/>
    <x v="3"/>
    <x v="3"/>
  </r>
  <r>
    <n v="42405.556944444441"/>
    <n v="42405"/>
    <x v="1"/>
    <x v="0"/>
    <s v="01:22:00 PM"/>
    <n v="42405.570138888892"/>
    <n v="0.57013888889196096"/>
    <s v="19 min"/>
    <x v="0"/>
    <s v="Durham"/>
    <s v="Cary"/>
    <x v="27"/>
    <x v="3"/>
    <x v="3"/>
  </r>
  <r>
    <n v="42406.680555555555"/>
    <n v="42406"/>
    <x v="1"/>
    <x v="1"/>
    <s v="04:20:00 PM"/>
    <n v="42406.703472222223"/>
    <n v="0.70347222222335404"/>
    <s v="33 min"/>
    <x v="0"/>
    <s v="Cary"/>
    <s v="Raleigh"/>
    <x v="56"/>
    <x v="6"/>
    <x v="2"/>
  </r>
  <r>
    <n v="42406.789583333331"/>
    <n v="42406"/>
    <x v="1"/>
    <x v="1"/>
    <s v="06:57:00 PM"/>
    <n v="42406.806250000001"/>
    <n v="0.80625000000145519"/>
    <s v="24 min"/>
    <x v="0"/>
    <s v="Raleigh"/>
    <s v="Cary"/>
    <x v="54"/>
    <x v="2"/>
    <x v="2"/>
  </r>
  <r>
    <n v="42406.811111111114"/>
    <n v="42406"/>
    <x v="1"/>
    <x v="1"/>
    <s v="07:28:00 PM"/>
    <n v="42406.817361111112"/>
    <n v="0.81736111111240461"/>
    <s v="9 min"/>
    <x v="0"/>
    <s v="Edgehill Farms"/>
    <s v="Whitebridge"/>
    <x v="57"/>
    <x v="0"/>
    <x v="0"/>
  </r>
  <r>
    <n v="42407.700694444444"/>
    <n v="42407"/>
    <x v="1"/>
    <x v="5"/>
    <s v="04:49:00 PM"/>
    <n v="42407.709027777775"/>
    <n v="0.70902777777519077"/>
    <s v="12 min"/>
    <x v="0"/>
    <s v="Cary"/>
    <s v="Apex"/>
    <x v="58"/>
    <x v="2"/>
    <x v="2"/>
  </r>
  <r>
    <n v="42407.752083333333"/>
    <n v="42407"/>
    <x v="1"/>
    <x v="5"/>
    <s v="06:03:00 PM"/>
    <n v="42407.761805555558"/>
    <n v="0.7618055555576575"/>
    <s v="14 min"/>
    <x v="0"/>
    <s v="Apex"/>
    <s v="Cary"/>
    <x v="48"/>
    <x v="4"/>
    <x v="2"/>
  </r>
  <r>
    <n v="42407.777083333334"/>
    <n v="42407"/>
    <x v="1"/>
    <x v="5"/>
    <s v="06:39:00 PM"/>
    <n v="42407.786805555559"/>
    <n v="0.78680555555911269"/>
    <s v="14 min"/>
    <x v="0"/>
    <s v="Cary"/>
    <s v="Morrisville"/>
    <x v="59"/>
    <x v="5"/>
    <x v="2"/>
  </r>
  <r>
    <n v="42407.848611111112"/>
    <n v="42407"/>
    <x v="1"/>
    <x v="5"/>
    <s v="08:22:00 PM"/>
    <n v="42407.861111111109"/>
    <n v="0.86111111110949423"/>
    <s v="18 min"/>
    <x v="0"/>
    <s v="Morrisville"/>
    <s v="Cary"/>
    <x v="59"/>
    <x v="3"/>
    <x v="0"/>
  </r>
  <r>
    <n v="42408.539583333331"/>
    <n v="42408"/>
    <x v="1"/>
    <x v="6"/>
    <s v="12:57:00 PM"/>
    <n v="42408.547222222223"/>
    <n v="0.54722222222335404"/>
    <s v="11 min"/>
    <x v="0"/>
    <s v="Whitebridge"/>
    <s v="Edgehill Farms"/>
    <x v="5"/>
    <x v="0"/>
    <x v="3"/>
  </r>
  <r>
    <n v="42408.583333333336"/>
    <n v="42408"/>
    <x v="1"/>
    <x v="6"/>
    <s v="02:00:00 PM"/>
    <n v="42408.590277777781"/>
    <n v="0.59027777778101154"/>
    <s v="10 min"/>
    <x v="0"/>
    <s v="Edgehill Farms"/>
    <s v="Whitebridge"/>
    <x v="38"/>
    <x v="0"/>
    <x v="3"/>
  </r>
  <r>
    <n v="42409.45416666667"/>
    <n v="42409"/>
    <x v="1"/>
    <x v="2"/>
    <s v="10:54:00 AM"/>
    <n v="42409.463194444441"/>
    <n v="0.46319444444088731"/>
    <s v="13 min"/>
    <x v="1"/>
    <s v="Whitebridge"/>
    <s v="Northwoods"/>
    <x v="60"/>
    <x v="1"/>
    <x v="3"/>
  </r>
  <r>
    <n v="42409.488194444442"/>
    <n v="42409"/>
    <x v="1"/>
    <x v="2"/>
    <s v="11:43:00 AM"/>
    <n v="42409.493055555555"/>
    <n v="0.49305555555474712"/>
    <s v="7 min"/>
    <x v="1"/>
    <s v="Northwoods"/>
    <s v="Tanglewood"/>
    <x v="61"/>
    <x v="1"/>
    <x v="3"/>
  </r>
  <r>
    <n v="42409.566666666666"/>
    <n v="42409"/>
    <x v="1"/>
    <x v="2"/>
    <s v="01:36:00 PM"/>
    <n v="42409.577777777777"/>
    <n v="0.57777777777664596"/>
    <s v="16 min"/>
    <x v="1"/>
    <s v="Tanglewood"/>
    <s v="Preston"/>
    <x v="0"/>
    <x v="1"/>
    <x v="3"/>
  </r>
  <r>
    <n v="42409.581944444442"/>
    <n v="42409"/>
    <x v="1"/>
    <x v="2"/>
    <s v="01:58:00 PM"/>
    <n v="42409.584722222222"/>
    <n v="0.58472222222189885"/>
    <s v="4 min"/>
    <x v="1"/>
    <s v="Preston"/>
    <s v="Whitebridge"/>
    <x v="62"/>
    <x v="1"/>
    <x v="3"/>
  </r>
  <r>
    <n v="42409.788194444445"/>
    <n v="42409"/>
    <x v="1"/>
    <x v="2"/>
    <s v="06:55:00 PM"/>
    <n v="42409.799305555556"/>
    <n v="0.79930555555620231"/>
    <s v="16 min"/>
    <x v="0"/>
    <s v="Cary"/>
    <s v="Morrisville"/>
    <x v="59"/>
    <x v="1"/>
    <x v="2"/>
  </r>
  <r>
    <n v="42409.85"/>
    <n v="42409"/>
    <x v="1"/>
    <x v="2"/>
    <s v="08:24:00 PM"/>
    <n v="42409.861111111109"/>
    <n v="0.86111111110949423"/>
    <s v="16 min"/>
    <x v="0"/>
    <s v="Morrisville"/>
    <s v="Cary"/>
    <x v="59"/>
    <x v="0"/>
    <x v="0"/>
  </r>
  <r>
    <n v="42411.686111111114"/>
    <n v="42411"/>
    <x v="1"/>
    <x v="4"/>
    <s v="04:28:00 PM"/>
    <n v="42411.715277777781"/>
    <n v="0.71527777778101154"/>
    <s v="42 min"/>
    <x v="0"/>
    <s v="Cary"/>
    <s v="Raleigh"/>
    <x v="63"/>
    <x v="0"/>
    <x v="2"/>
  </r>
  <r>
    <n v="42411.742361111108"/>
    <n v="42411"/>
    <x v="1"/>
    <x v="4"/>
    <s v="05:49:00 PM"/>
    <n v="42411.756944444445"/>
    <n v="0.75694444444525288"/>
    <s v="21 min"/>
    <x v="0"/>
    <s v="Eastgate"/>
    <s v="Walnut Terrace"/>
    <x v="48"/>
    <x v="0"/>
    <x v="2"/>
  </r>
  <r>
    <n v="42411.76666666667"/>
    <n v="42411"/>
    <x v="1"/>
    <x v="4"/>
    <s v="06:24:00 PM"/>
    <n v="42411.781944444447"/>
    <n v="0.78194444444670808"/>
    <s v="22 min"/>
    <x v="0"/>
    <s v="Raleigh"/>
    <s v="Morrisville"/>
    <x v="64"/>
    <x v="5"/>
    <x v="2"/>
  </r>
  <r>
    <n v="42411.85833333333"/>
    <n v="42411"/>
    <x v="1"/>
    <x v="4"/>
    <s v="08:36:00 PM"/>
    <n v="42411.868750000001"/>
    <n v="0.86875000000145519"/>
    <s v="15 min"/>
    <x v="0"/>
    <s v="Morrisville"/>
    <s v="Cary"/>
    <x v="59"/>
    <x v="5"/>
    <x v="0"/>
  </r>
  <r>
    <n v="42412.347916666666"/>
    <n v="42412"/>
    <x v="1"/>
    <x v="0"/>
    <s v="08:21:00 AM"/>
    <n v="42412.362500000003"/>
    <n v="0.36250000000291038"/>
    <s v="21 min"/>
    <x v="0"/>
    <s v="Cary"/>
    <s v="Durham"/>
    <x v="65"/>
    <x v="5"/>
    <x v="1"/>
  </r>
  <r>
    <n v="42412.447916666664"/>
    <n v="42412"/>
    <x v="1"/>
    <x v="0"/>
    <s v="10:45:00 AM"/>
    <n v="42412.452777777777"/>
    <n v="0.45277777777664596"/>
    <s v="7 min"/>
    <x v="0"/>
    <s v="Durham"/>
    <s v="Morrisville"/>
    <x v="66"/>
    <x v="5"/>
    <x v="3"/>
  </r>
  <r>
    <n v="42412.468055555553"/>
    <n v="42412"/>
    <x v="1"/>
    <x v="0"/>
    <s v="11:14:00 AM"/>
    <n v="42412.482638888891"/>
    <n v="0.48263888889050577"/>
    <s v="21 min"/>
    <x v="0"/>
    <s v="Morrisville"/>
    <s v="Raleigh"/>
    <x v="67"/>
    <x v="4"/>
    <x v="3"/>
  </r>
  <r>
    <n v="42412.543055555558"/>
    <n v="42412"/>
    <x v="1"/>
    <x v="0"/>
    <s v="01:02:00 PM"/>
    <n v="42412.566666666666"/>
    <n v="0.56666666666569654"/>
    <s v="34 min"/>
    <x v="0"/>
    <s v="Raleigh"/>
    <s v="Cary"/>
    <x v="68"/>
    <x v="3"/>
    <x v="3"/>
  </r>
  <r>
    <n v="42412.617361111108"/>
    <n v="42412"/>
    <x v="1"/>
    <x v="0"/>
    <s v="02:49:00 PM"/>
    <n v="42412.629166666666"/>
    <n v="0.62916666666569654"/>
    <s v="17 min"/>
    <x v="0"/>
    <s v="Cary"/>
    <s v="Morrisville"/>
    <x v="69"/>
    <x v="3"/>
    <x v="3"/>
  </r>
  <r>
    <n v="42412.647916666669"/>
    <n v="42412"/>
    <x v="1"/>
    <x v="0"/>
    <s v="03:33:00 PM"/>
    <n v="42412.67083333333"/>
    <n v="0.67083333332993789"/>
    <s v="33 min"/>
    <x v="0"/>
    <s v="Morrisville"/>
    <s v="Cary"/>
    <x v="70"/>
    <x v="4"/>
    <x v="2"/>
  </r>
  <r>
    <n v="42413.597916666666"/>
    <n v="42413"/>
    <x v="1"/>
    <x v="1"/>
    <s v="02:21:00 PM"/>
    <n v="42413.611805555556"/>
    <n v="0.61180555555620231"/>
    <s v="20 min"/>
    <x v="0"/>
    <s v="Cary"/>
    <s v="Morrisville"/>
    <x v="71"/>
    <x v="3"/>
    <x v="3"/>
  </r>
  <r>
    <n v="42413.989583333336"/>
    <n v="42413"/>
    <x v="1"/>
    <x v="1"/>
    <s v="11:45:00 PM"/>
    <n v="42414.000694444447"/>
    <n v="6.944444467080757E-4"/>
    <s v="16 min"/>
    <x v="1"/>
    <s v="East Elmhurst"/>
    <s v="Jackson Heights"/>
    <x v="38"/>
    <x v="1"/>
    <x v="0"/>
  </r>
  <r>
    <n v="42414.034722222219"/>
    <n v="42414"/>
    <x v="1"/>
    <x v="5"/>
    <s v="12:50:00 AM"/>
    <n v="42414.041666666664"/>
    <n v="4.1666666664241347E-2"/>
    <s v="10 min"/>
    <x v="1"/>
    <s v="Jackson Heights"/>
    <s v="East Elmhurst"/>
    <x v="18"/>
    <x v="1"/>
    <x v="1"/>
  </r>
  <r>
    <n v="42414.588194444441"/>
    <n v="42414"/>
    <x v="1"/>
    <x v="5"/>
    <s v="02:07:00 PM"/>
    <n v="42414.611111111109"/>
    <n v="0.61111111110949423"/>
    <s v="33 min"/>
    <x v="0"/>
    <s v="East Elmhurst"/>
    <s v="New York"/>
    <x v="72"/>
    <x v="3"/>
    <x v="3"/>
  </r>
  <r>
    <n v="42414.615277777775"/>
    <n v="42414"/>
    <x v="1"/>
    <x v="5"/>
    <s v="02:46:00 PM"/>
    <n v="42414.627083333333"/>
    <n v="0.62708333333284827"/>
    <s v="17 min"/>
    <x v="0"/>
    <s v="Midtown"/>
    <s v="Midtown West"/>
    <x v="20"/>
    <x v="3"/>
    <x v="3"/>
  </r>
  <r>
    <n v="42414.690972222219"/>
    <n v="42414"/>
    <x v="1"/>
    <x v="5"/>
    <s v="04:35:00 PM"/>
    <n v="42414.709722222222"/>
    <n v="0.70972222222189885"/>
    <s v="27 min"/>
    <x v="0"/>
    <s v="New York"/>
    <s v="Long Island City"/>
    <x v="73"/>
    <x v="3"/>
    <x v="2"/>
  </r>
  <r>
    <n v="42414.712500000001"/>
    <n v="42414"/>
    <x v="1"/>
    <x v="5"/>
    <s v="05:06:00 PM"/>
    <n v="42414.728472222225"/>
    <n v="0.72847222222480923"/>
    <s v="23 min"/>
    <x v="0"/>
    <s v="Long Island City"/>
    <s v="Jamaica"/>
    <x v="74"/>
    <x v="3"/>
    <x v="2"/>
  </r>
  <r>
    <n v="42416.13958333333"/>
    <n v="42416"/>
    <x v="1"/>
    <x v="2"/>
    <s v="03:21:00 AM"/>
    <n v="42416.175694444442"/>
    <n v="0.1756944444423425"/>
    <s v="52 min"/>
    <x v="0"/>
    <s v="Katunayaka"/>
    <s v="Unknown Location"/>
    <x v="75"/>
    <x v="4"/>
    <x v="1"/>
  </r>
  <r>
    <n v="42416.353472222225"/>
    <n v="42416"/>
    <x v="1"/>
    <x v="2"/>
    <s v="08:29:00 AM"/>
    <n v="42416.398611111108"/>
    <n v="0.39861111110803904"/>
    <s v="65 min"/>
    <x v="0"/>
    <s v="Unknown Location"/>
    <s v="Colombo"/>
    <x v="76"/>
    <x v="1"/>
    <x v="1"/>
  </r>
  <r>
    <n v="42416.438194444447"/>
    <n v="42416"/>
    <x v="1"/>
    <x v="2"/>
    <s v="10:31:00 AM"/>
    <n v="42416.445138888892"/>
    <n v="0.44513888889196096"/>
    <s v="10 min"/>
    <x v="0"/>
    <s v="Colombo"/>
    <s v="Colombo"/>
    <x v="66"/>
    <x v="1"/>
    <x v="3"/>
  </r>
  <r>
    <n v="42416.480555555558"/>
    <n v="42416"/>
    <x v="1"/>
    <x v="2"/>
    <s v="11:32:00 AM"/>
    <n v="42416.501388888886"/>
    <n v="0.50138888888614019"/>
    <s v="30 min"/>
    <x v="0"/>
    <s v="Colombo"/>
    <s v="Colombo"/>
    <x v="77"/>
    <x v="1"/>
    <x v="3"/>
  </r>
  <r>
    <n v="42416.527083333334"/>
    <n v="42416"/>
    <x v="1"/>
    <x v="2"/>
    <s v="12:39:00 PM"/>
    <n v="42416.529166666667"/>
    <n v="0.52916666666715173"/>
    <s v="3 min"/>
    <x v="0"/>
    <s v="Colombo"/>
    <s v="Colombo"/>
    <x v="15"/>
    <x v="1"/>
    <x v="3"/>
  </r>
  <r>
    <n v="42416.571527777778"/>
    <n v="42416"/>
    <x v="1"/>
    <x v="2"/>
    <s v="01:43:00 PM"/>
    <n v="42416.579861111109"/>
    <n v="0.57986111110949423"/>
    <s v="12 min"/>
    <x v="0"/>
    <s v="Colombo"/>
    <s v="Colombo"/>
    <x v="18"/>
    <x v="5"/>
    <x v="3"/>
  </r>
  <r>
    <n v="42416.69027777778"/>
    <n v="42416"/>
    <x v="1"/>
    <x v="2"/>
    <s v="04:34:00 PM"/>
    <n v="42416.715277777781"/>
    <n v="0.71527777778101154"/>
    <s v="36 min"/>
    <x v="0"/>
    <s v="Colombo"/>
    <s v="Colombo"/>
    <x v="51"/>
    <x v="1"/>
    <x v="2"/>
  </r>
  <r>
    <n v="42416.720138888886"/>
    <n v="42416"/>
    <x v="1"/>
    <x v="2"/>
    <s v="05:17:00 PM"/>
    <n v="42416.726388888892"/>
    <n v="0.72638888889196096"/>
    <s v="9 min"/>
    <x v="0"/>
    <s v="Colombo"/>
    <s v="Nugegoda"/>
    <x v="53"/>
    <x v="0"/>
    <x v="2"/>
  </r>
  <r>
    <n v="42416.736111111109"/>
    <n v="42416"/>
    <x v="1"/>
    <x v="2"/>
    <s v="05:40:00 PM"/>
    <n v="42416.738888888889"/>
    <n v="0.73888888888905058"/>
    <s v="4 min"/>
    <x v="0"/>
    <s v="Nugegoda"/>
    <s v="Unknown Location"/>
    <x v="78"/>
    <x v="2"/>
    <x v="2"/>
  </r>
  <r>
    <n v="42417.554166666669"/>
    <n v="42417"/>
    <x v="1"/>
    <x v="3"/>
    <s v="01:18:00 PM"/>
    <n v="42417.586111111108"/>
    <n v="0.58611111110803904"/>
    <s v="46 min"/>
    <x v="0"/>
    <s v="Unknown Location"/>
    <s v="Colombo"/>
    <x v="41"/>
    <x v="5"/>
    <x v="3"/>
  </r>
  <r>
    <n v="42417.636805555558"/>
    <n v="42417"/>
    <x v="1"/>
    <x v="3"/>
    <s v="03:17:00 PM"/>
    <n v="42417.640277777777"/>
    <n v="0.64027777777664596"/>
    <s v="5 min"/>
    <x v="0"/>
    <s v="Colombo"/>
    <s v="Colombo"/>
    <x v="15"/>
    <x v="0"/>
    <x v="2"/>
  </r>
  <r>
    <n v="42417.647916666669"/>
    <n v="42417"/>
    <x v="1"/>
    <x v="3"/>
    <s v="03:33:00 PM"/>
    <n v="42417.678472222222"/>
    <n v="0.67847222222189885"/>
    <s v="44 min"/>
    <x v="0"/>
    <s v="Colombo"/>
    <s v="Katunayaka"/>
    <x v="79"/>
    <x v="5"/>
    <x v="2"/>
  </r>
  <r>
    <n v="42417.693055555559"/>
    <n v="42417"/>
    <x v="1"/>
    <x v="3"/>
    <s v="04:38:00 PM"/>
    <n v="42417.696527777778"/>
    <n v="0.69652777777810115"/>
    <s v="5 min"/>
    <x v="0"/>
    <s v="Katunayaka"/>
    <s v="Katunayaka"/>
    <x v="35"/>
    <x v="2"/>
    <x v="2"/>
  </r>
  <r>
    <n v="42418.34652777778"/>
    <n v="42418"/>
    <x v="1"/>
    <x v="4"/>
    <s v="08:19:00 AM"/>
    <n v="42418.352083333331"/>
    <n v="0.35208333333139308"/>
    <s v="8 min"/>
    <x v="0"/>
    <s v="Unknown Location"/>
    <s v="Unknown Location"/>
    <x v="80"/>
    <x v="5"/>
    <x v="1"/>
  </r>
  <r>
    <n v="42418.585416666669"/>
    <n v="42418"/>
    <x v="1"/>
    <x v="4"/>
    <s v="02:03:00 PM"/>
    <n v="42418.614583333336"/>
    <n v="0.61458333333575865"/>
    <s v="42 min"/>
    <x v="0"/>
    <s v="Unknown Location"/>
    <s v="Islamabad"/>
    <x v="81"/>
    <x v="5"/>
    <x v="3"/>
  </r>
  <r>
    <n v="42418.636111111111"/>
    <n v="42418"/>
    <x v="1"/>
    <x v="4"/>
    <s v="03:16:00 PM"/>
    <n v="42418.646527777775"/>
    <n v="0.64652777777519077"/>
    <s v="15 min"/>
    <x v="0"/>
    <s v="Islamabad"/>
    <s v="Unknown Location"/>
    <x v="51"/>
    <x v="5"/>
    <x v="2"/>
  </r>
  <r>
    <n v="42418.780555555553"/>
    <n v="42418"/>
    <x v="1"/>
    <x v="4"/>
    <s v="06:44:00 PM"/>
    <n v="42418.790277777778"/>
    <n v="0.79027777777810115"/>
    <s v="14 min"/>
    <x v="0"/>
    <s v="Unknown Location"/>
    <s v="Islamabad"/>
    <x v="44"/>
    <x v="4"/>
    <x v="2"/>
  </r>
  <r>
    <n v="42418.810416666667"/>
    <n v="42418"/>
    <x v="1"/>
    <x v="4"/>
    <s v="07:27:00 PM"/>
    <n v="42418.838888888888"/>
    <n v="0.83888888888759539"/>
    <s v="41 min"/>
    <x v="0"/>
    <s v="Islamabad"/>
    <s v="Unknown Location"/>
    <x v="82"/>
    <x v="3"/>
    <x v="0"/>
  </r>
  <r>
    <n v="42419.376388888886"/>
    <n v="42419"/>
    <x v="1"/>
    <x v="0"/>
    <s v="09:02:00 AM"/>
    <n v="42419.384722222225"/>
    <n v="0.38472222222480923"/>
    <s v="12 min"/>
    <x v="0"/>
    <s v="Unknown Location"/>
    <s v="Unknown Location"/>
    <x v="83"/>
    <x v="3"/>
    <x v="1"/>
  </r>
  <r>
    <n v="42419.38958333333"/>
    <n v="42419"/>
    <x v="1"/>
    <x v="0"/>
    <s v="09:21:00 AM"/>
    <n v="42419.410416666666"/>
    <n v="0.41041666666569654"/>
    <s v="30 min"/>
    <x v="0"/>
    <s v="Unknown Location"/>
    <s v="Unknown Location"/>
    <x v="22"/>
    <x v="3"/>
    <x v="1"/>
  </r>
  <r>
    <n v="42419.431250000001"/>
    <n v="42419"/>
    <x v="1"/>
    <x v="0"/>
    <s v="10:21:00 AM"/>
    <n v="42419.45"/>
    <n v="0.44999999999708962"/>
    <s v="27 min"/>
    <x v="0"/>
    <s v="Unknown Location"/>
    <s v="Islamabad"/>
    <x v="29"/>
    <x v="3"/>
    <x v="3"/>
  </r>
  <r>
    <n v="42419.472222222219"/>
    <n v="42419"/>
    <x v="1"/>
    <x v="0"/>
    <s v="11:20:00 AM"/>
    <n v="42419.476388888892"/>
    <n v="0.47638888889196096"/>
    <s v="6 min"/>
    <x v="1"/>
    <s v="Islamabad"/>
    <s v="Islamabad"/>
    <x v="62"/>
    <x v="1"/>
    <x v="3"/>
  </r>
  <r>
    <n v="42419.489583333336"/>
    <n v="42419"/>
    <x v="1"/>
    <x v="0"/>
    <s v="11:45:00 AM"/>
    <n v="42419.493055555555"/>
    <n v="0.49305555555474712"/>
    <s v="5 min"/>
    <x v="1"/>
    <s v="Islamabad"/>
    <s v="Islamabad"/>
    <x v="32"/>
    <x v="1"/>
    <x v="3"/>
  </r>
  <r>
    <n v="42419.506249999999"/>
    <n v="42419"/>
    <x v="1"/>
    <x v="0"/>
    <s v="12:09:00 PM"/>
    <n v="42419.518750000003"/>
    <n v="0.51875000000291038"/>
    <s v="18 min"/>
    <x v="0"/>
    <s v="Islamabad"/>
    <s v="Unknown Location"/>
    <x v="84"/>
    <x v="5"/>
    <x v="3"/>
  </r>
  <r>
    <n v="42419.68472222222"/>
    <n v="42419"/>
    <x v="1"/>
    <x v="0"/>
    <s v="04:26:00 PM"/>
    <n v="42419.697916666664"/>
    <n v="0.69791666666424135"/>
    <s v="19 min"/>
    <x v="0"/>
    <s v="Unknown Location"/>
    <s v="Islamabad"/>
    <x v="85"/>
    <x v="1"/>
    <x v="2"/>
  </r>
  <r>
    <n v="42419.714583333334"/>
    <n v="42419"/>
    <x v="1"/>
    <x v="0"/>
    <s v="05:09:00 PM"/>
    <n v="42419.722222222219"/>
    <n v="0.72222222221898846"/>
    <s v="11 min"/>
    <x v="0"/>
    <s v="Islamabad"/>
    <s v="Islamabad"/>
    <x v="86"/>
    <x v="1"/>
    <x v="2"/>
  </r>
  <r>
    <n v="42419.838888888888"/>
    <n v="42419"/>
    <x v="1"/>
    <x v="0"/>
    <s v="08:08:00 PM"/>
    <n v="42419.854166666664"/>
    <n v="0.85416666666424135"/>
    <s v="22 min"/>
    <x v="1"/>
    <s v="Islamabad"/>
    <s v="Unknown Location"/>
    <x v="87"/>
    <x v="1"/>
    <x v="0"/>
  </r>
  <r>
    <n v="42419.856944444444"/>
    <n v="42419"/>
    <x v="1"/>
    <x v="0"/>
    <s v="08:34:00 PM"/>
    <n v="42419.868750000001"/>
    <n v="0.86875000000145519"/>
    <s v="17 min"/>
    <x v="1"/>
    <s v="Unknown Location"/>
    <s v="Unknown Location"/>
    <x v="88"/>
    <x v="1"/>
    <x v="0"/>
  </r>
  <r>
    <n v="42420.332638888889"/>
    <n v="42420"/>
    <x v="1"/>
    <x v="1"/>
    <s v="07:59:00 AM"/>
    <n v="42420.355555555558"/>
    <n v="0.3555555555576575"/>
    <s v="33 min"/>
    <x v="1"/>
    <s v="Unknown Location"/>
    <s v="Islamabad"/>
    <x v="89"/>
    <x v="1"/>
    <x v="1"/>
  </r>
  <r>
    <n v="42420.45"/>
    <n v="42420"/>
    <x v="1"/>
    <x v="1"/>
    <s v="10:48:00 AM"/>
    <n v="42420.455555555556"/>
    <n v="0.45555555555620231"/>
    <s v="8 min"/>
    <x v="1"/>
    <s v="Islamabad"/>
    <s v="Islamabad"/>
    <x v="61"/>
    <x v="1"/>
    <x v="3"/>
  </r>
  <r>
    <n v="42420.489583333336"/>
    <n v="42420"/>
    <x v="1"/>
    <x v="1"/>
    <s v="11:45:00 AM"/>
    <n v="42420.495138888888"/>
    <n v="0.49513888888759539"/>
    <s v="8 min"/>
    <x v="1"/>
    <s v="Islamabad"/>
    <s v="Islamabad"/>
    <x v="62"/>
    <x v="1"/>
    <x v="3"/>
  </r>
  <r>
    <n v="42420.52847222222"/>
    <n v="42420"/>
    <x v="1"/>
    <x v="1"/>
    <s v="12:41:00 PM"/>
    <n v="42420.553472222222"/>
    <n v="0.55347222222189885"/>
    <s v="36 min"/>
    <x v="0"/>
    <s v="Islamabad"/>
    <s v="R?walpindi"/>
    <x v="90"/>
    <x v="1"/>
    <x v="3"/>
  </r>
  <r>
    <n v="42420.618055555555"/>
    <n v="42420"/>
    <x v="1"/>
    <x v="1"/>
    <s v="02:50:00 PM"/>
    <n v="42420.662499999999"/>
    <n v="0.66249999999854481"/>
    <s v="64 min"/>
    <x v="0"/>
    <s v="R?walpindi"/>
    <s v="R?walpindi"/>
    <x v="91"/>
    <x v="3"/>
    <x v="3"/>
  </r>
  <r>
    <n v="42420.707638888889"/>
    <n v="42420"/>
    <x v="1"/>
    <x v="1"/>
    <s v="04:59:00 PM"/>
    <n v="42420.745833333334"/>
    <n v="0.74583333333430346"/>
    <s v="55 min"/>
    <x v="1"/>
    <s v="R?walpindi"/>
    <s v="Unknown Location"/>
    <x v="9"/>
    <x v="1"/>
    <x v="2"/>
  </r>
  <r>
    <n v="42420.75"/>
    <n v="42420"/>
    <x v="1"/>
    <x v="1"/>
    <s v="06:00:00 PM"/>
    <n v="42420.752083333333"/>
    <n v="0.75208333333284827"/>
    <s v="3 min"/>
    <x v="0"/>
    <s v="Unknown Location"/>
    <s v="Unknown Location"/>
    <x v="57"/>
    <x v="2"/>
    <x v="2"/>
  </r>
  <r>
    <n v="42420.811111111114"/>
    <n v="42420"/>
    <x v="1"/>
    <x v="1"/>
    <s v="07:28:00 PM"/>
    <n v="42420.825694444444"/>
    <n v="0.82569444444379769"/>
    <s v="21 min"/>
    <x v="0"/>
    <s v="Unknown Location"/>
    <s v="Unknown Location"/>
    <x v="55"/>
    <x v="2"/>
    <x v="0"/>
  </r>
  <r>
    <n v="42421.379861111112"/>
    <n v="42421"/>
    <x v="1"/>
    <x v="5"/>
    <s v="09:07:00 AM"/>
    <n v="42421.406944444447"/>
    <n v="0.40694444444670808"/>
    <s v="39 min"/>
    <x v="0"/>
    <s v="Unknown Location"/>
    <s v="Islamabad"/>
    <x v="92"/>
    <x v="1"/>
    <x v="1"/>
  </r>
  <r>
    <n v="42421.48541666667"/>
    <n v="42421"/>
    <x v="1"/>
    <x v="5"/>
    <s v="11:39:00 AM"/>
    <n v="42421.488194444442"/>
    <n v="0.4881944444423425"/>
    <s v="4 min"/>
    <x v="0"/>
    <s v="Unknown Location"/>
    <s v="Islamabad"/>
    <x v="19"/>
    <x v="2"/>
    <x v="3"/>
  </r>
  <r>
    <n v="42421.490972222222"/>
    <n v="42421"/>
    <x v="1"/>
    <x v="5"/>
    <s v="11:47:00 AM"/>
    <n v="42421.500694444447"/>
    <n v="0.50069444444670808"/>
    <s v="14 min"/>
    <x v="0"/>
    <s v="Islamabad"/>
    <s v="Islamabad"/>
    <x v="43"/>
    <x v="2"/>
    <x v="3"/>
  </r>
  <r>
    <n v="42421.509027777778"/>
    <n v="42421"/>
    <x v="1"/>
    <x v="5"/>
    <s v="12:13:00 PM"/>
    <n v="42421.524305555555"/>
    <n v="0.52430555555474712"/>
    <s v="22 min"/>
    <x v="0"/>
    <s v="Islamabad"/>
    <s v="Unknown Location"/>
    <x v="93"/>
    <x v="0"/>
    <x v="3"/>
  </r>
  <r>
    <n v="42421.535416666666"/>
    <n v="42421"/>
    <x v="1"/>
    <x v="5"/>
    <s v="12:51:00 PM"/>
    <n v="42421.55"/>
    <n v="0.55000000000291038"/>
    <s v="21 min"/>
    <x v="0"/>
    <s v="Unknown Location"/>
    <s v="Unknown Location"/>
    <x v="8"/>
    <x v="5"/>
    <x v="3"/>
  </r>
  <r>
    <n v="42421.564583333333"/>
    <n v="42421"/>
    <x v="1"/>
    <x v="5"/>
    <s v="01:33:00 PM"/>
    <n v="42421.604166666664"/>
    <n v="0.60416666666424135"/>
    <s v="57 min"/>
    <x v="0"/>
    <s v="Unknown Location"/>
    <s v="Unknown Location"/>
    <x v="94"/>
    <x v="5"/>
    <x v="3"/>
  </r>
  <r>
    <n v="42421.60833333333"/>
    <n v="42421"/>
    <x v="1"/>
    <x v="5"/>
    <s v="02:36:00 PM"/>
    <n v="42421.627083333333"/>
    <n v="0.62708333333284827"/>
    <s v="27 min"/>
    <x v="0"/>
    <s v="Unknown Location"/>
    <s v="Islamabad"/>
    <x v="73"/>
    <x v="5"/>
    <x v="3"/>
  </r>
  <r>
    <n v="42421.634722222225"/>
    <n v="42421"/>
    <x v="1"/>
    <x v="5"/>
    <s v="03:14:00 PM"/>
    <n v="42421.646527777775"/>
    <n v="0.64652777777519077"/>
    <s v="17 min"/>
    <x v="0"/>
    <s v="Islamabad"/>
    <s v="Noorpur Shahan"/>
    <x v="72"/>
    <x v="5"/>
    <x v="2"/>
  </r>
  <r>
    <n v="42421.65"/>
    <n v="42421"/>
    <x v="1"/>
    <x v="5"/>
    <s v="03:36:00 PM"/>
    <n v="42421.65347222222"/>
    <n v="0.65347222222044365"/>
    <s v="5 min"/>
    <x v="0"/>
    <s v="Noorpur Shahan"/>
    <s v="Unknown Location"/>
    <x v="95"/>
    <x v="0"/>
    <x v="2"/>
  </r>
  <r>
    <n v="42421.669444444444"/>
    <n v="42421"/>
    <x v="1"/>
    <x v="5"/>
    <s v="04:04:00 PM"/>
    <n v="42421.688888888886"/>
    <n v="0.68888888888614019"/>
    <s v="28 min"/>
    <x v="0"/>
    <s v="Unknown Location"/>
    <s v="Unknown Location"/>
    <x v="52"/>
    <x v="1"/>
    <x v="2"/>
  </r>
  <r>
    <n v="42421.96875"/>
    <n v="42421"/>
    <x v="1"/>
    <x v="5"/>
    <s v="11:15:00 PM"/>
    <n v="42421.994444444441"/>
    <n v="0.99444444444088731"/>
    <s v="37 min"/>
    <x v="0"/>
    <s v="Unknown Location"/>
    <s v="R?walpindi"/>
    <x v="96"/>
    <x v="3"/>
    <x v="0"/>
  </r>
  <r>
    <n v="42422.912499999999"/>
    <n v="42422"/>
    <x v="1"/>
    <x v="6"/>
    <s v="09:54:00 PM"/>
    <n v="42422.92291666667"/>
    <n v="0.92291666667006211"/>
    <s v="15 min"/>
    <x v="0"/>
    <s v="Morrisville"/>
    <s v="Cary"/>
    <x v="72"/>
    <x v="4"/>
    <x v="0"/>
  </r>
  <r>
    <n v="42424.604166666664"/>
    <n v="42424"/>
    <x v="1"/>
    <x v="3"/>
    <s v="02:30:00 PM"/>
    <n v="42424.607638888891"/>
    <n v="0.60763888889050577"/>
    <s v="5 min"/>
    <x v="0"/>
    <s v="Whitebridge"/>
    <s v="Preston"/>
    <x v="62"/>
    <x v="1"/>
    <x v="3"/>
  </r>
  <r>
    <n v="42424.638194444444"/>
    <n v="42424"/>
    <x v="1"/>
    <x v="3"/>
    <s v="03:19:00 PM"/>
    <n v="42424.642361111109"/>
    <n v="0.64236111110949423"/>
    <s v="6 min"/>
    <x v="0"/>
    <s v="Preston"/>
    <s v="Whitebridge"/>
    <x v="15"/>
    <x v="2"/>
    <x v="2"/>
  </r>
  <r>
    <n v="42425.685416666667"/>
    <n v="42425"/>
    <x v="1"/>
    <x v="4"/>
    <s v="04:27:00 PM"/>
    <n v="42425.690972222219"/>
    <n v="0.69097222221898846"/>
    <s v="8 min"/>
    <x v="0"/>
    <s v="Whitebridge"/>
    <s v="Heritage Pines"/>
    <x v="97"/>
    <x v="2"/>
    <x v="2"/>
  </r>
  <r>
    <n v="42425.699305555558"/>
    <n v="42425"/>
    <x v="1"/>
    <x v="4"/>
    <s v="04:47:00 PM"/>
    <n v="42425.709722222222"/>
    <n v="0.70972222222189885"/>
    <s v="15 min"/>
    <x v="0"/>
    <s v="Heritage Pines"/>
    <s v="Whitebridge"/>
    <x v="57"/>
    <x v="2"/>
    <x v="2"/>
  </r>
  <r>
    <n v="42425.719444444447"/>
    <n v="42425"/>
    <x v="1"/>
    <x v="4"/>
    <s v="05:16:00 PM"/>
    <n v="42425.73333333333"/>
    <n v="0.73333333332993789"/>
    <s v="20 min"/>
    <x v="0"/>
    <s v="Whitebridge"/>
    <s v="Tanglewood"/>
    <x v="51"/>
    <x v="0"/>
    <x v="2"/>
  </r>
  <r>
    <n v="42425.765277777777"/>
    <n v="42425"/>
    <x v="1"/>
    <x v="4"/>
    <s v="06:22:00 PM"/>
    <n v="42425.777083333334"/>
    <n v="0.77708333333430346"/>
    <s v="17 min"/>
    <x v="0"/>
    <s v="Tanglewood"/>
    <s v="Whitebridge"/>
    <x v="46"/>
    <x v="0"/>
    <x v="2"/>
  </r>
  <r>
    <n v="42426.379166666666"/>
    <n v="42426"/>
    <x v="1"/>
    <x v="0"/>
    <s v="09:06:00 AM"/>
    <n v="42426.395138888889"/>
    <n v="0.39513888888905058"/>
    <s v="23 min"/>
    <x v="0"/>
    <s v="Whitebridge"/>
    <s v="Westpark Place"/>
    <x v="98"/>
    <x v="1"/>
    <x v="1"/>
  </r>
  <r>
    <n v="42426.461805555555"/>
    <n v="42426"/>
    <x v="1"/>
    <x v="0"/>
    <s v="11:05:00 AM"/>
    <n v="42426.46597222222"/>
    <n v="0.46597222222044365"/>
    <s v="6 min"/>
    <x v="1"/>
    <s v="Westpark Place"/>
    <s v="Whitebridge"/>
    <x v="15"/>
    <x v="1"/>
    <x v="3"/>
  </r>
  <r>
    <n v="42426.482638888891"/>
    <n v="42426"/>
    <x v="1"/>
    <x v="0"/>
    <s v="11:35:00 AM"/>
    <n v="42426.499305555553"/>
    <n v="0.49930555555329192"/>
    <s v="24 min"/>
    <x v="0"/>
    <s v="Cary"/>
    <s v="Durham"/>
    <x v="99"/>
    <x v="3"/>
    <x v="3"/>
  </r>
  <r>
    <n v="42426.542361111111"/>
    <n v="42426"/>
    <x v="1"/>
    <x v="0"/>
    <s v="01:01:00 PM"/>
    <n v="42426.558333333334"/>
    <n v="0.55833333333430346"/>
    <s v="23 min"/>
    <x v="0"/>
    <s v="Durham"/>
    <s v="Cary"/>
    <x v="100"/>
    <x v="3"/>
    <x v="3"/>
  </r>
  <r>
    <n v="42426.609722222223"/>
    <n v="42426"/>
    <x v="1"/>
    <x v="0"/>
    <s v="02:38:00 PM"/>
    <n v="42426.615277777775"/>
    <n v="0.61527777777519077"/>
    <s v="8 min"/>
    <x v="1"/>
    <s v="Whitebridge"/>
    <s v="Westpark Place"/>
    <x v="16"/>
    <x v="1"/>
    <x v="3"/>
  </r>
  <r>
    <n v="42426.625"/>
    <n v="42426"/>
    <x v="1"/>
    <x v="0"/>
    <s v="03:00:00 PM"/>
    <n v="42426.637499999997"/>
    <n v="0.63749999999708962"/>
    <s v="18 min"/>
    <x v="1"/>
    <s v="Westpark Place"/>
    <s v="Hazelwood"/>
    <x v="86"/>
    <x v="1"/>
    <x v="2"/>
  </r>
  <r>
    <n v="42426.709027777775"/>
    <n v="42426"/>
    <x v="1"/>
    <x v="0"/>
    <s v="05:01:00 PM"/>
    <n v="42426.716666666667"/>
    <n v="0.71666666666715173"/>
    <s v="11 min"/>
    <x v="1"/>
    <s v="Hazelwood"/>
    <s v="Whitebridge"/>
    <x v="20"/>
    <x v="1"/>
    <x v="2"/>
  </r>
  <r>
    <n v="42428.223611111112"/>
    <n v="42428"/>
    <x v="1"/>
    <x v="5"/>
    <s v="05:22:00 AM"/>
    <n v="42428.234722222223"/>
    <n v="0.23472222222335404"/>
    <s v="16 min"/>
    <x v="0"/>
    <s v="Whitebridge"/>
    <s v="Waverly Place"/>
    <x v="55"/>
    <x v="3"/>
    <x v="1"/>
  </r>
  <r>
    <n v="42428.393055555556"/>
    <n v="42428"/>
    <x v="1"/>
    <x v="5"/>
    <s v="09:26:00 AM"/>
    <n v="42428.404166666667"/>
    <n v="0.40416666666715173"/>
    <s v="16 min"/>
    <x v="0"/>
    <s v="Waverly Place"/>
    <s v="Whitebridge"/>
    <x v="101"/>
    <x v="3"/>
    <x v="1"/>
  </r>
  <r>
    <n v="42429.463194444441"/>
    <n v="42429"/>
    <x v="1"/>
    <x v="6"/>
    <s v="11:07:00 AM"/>
    <n v="42429.468055555553"/>
    <n v="0.46805555555329192"/>
    <s v="7 min"/>
    <x v="1"/>
    <s v="Whitebridge"/>
    <s v="Westpark Place"/>
    <x v="102"/>
    <x v="1"/>
    <x v="3"/>
  </r>
  <r>
    <n v="42429.479166666664"/>
    <n v="42429"/>
    <x v="1"/>
    <x v="6"/>
    <s v="11:30:00 AM"/>
    <n v="42429.486111111109"/>
    <n v="0.48611111110949423"/>
    <s v="10 min"/>
    <x v="0"/>
    <s v="Cary"/>
    <s v="Apex"/>
    <x v="103"/>
    <x v="3"/>
    <x v="3"/>
  </r>
  <r>
    <n v="42429.525000000001"/>
    <n v="42429"/>
    <x v="1"/>
    <x v="6"/>
    <s v="12:36:00 PM"/>
    <n v="42429.533333333333"/>
    <n v="0.53333333333284827"/>
    <s v="12 min"/>
    <x v="0"/>
    <s v="Apex"/>
    <s v="Cary"/>
    <x v="58"/>
    <x v="3"/>
    <x v="3"/>
  </r>
  <r>
    <n v="42429.621527777781"/>
    <n v="42429"/>
    <x v="1"/>
    <x v="6"/>
    <s v="02:55:00 PM"/>
    <n v="42429.627083333333"/>
    <n v="0.62708333333284827"/>
    <s v="8 min"/>
    <x v="0"/>
    <s v="Whitebridge"/>
    <s v="Hazelwood"/>
    <x v="66"/>
    <x v="1"/>
    <x v="3"/>
  </r>
  <r>
    <n v="42429.694444444445"/>
    <n v="42429"/>
    <x v="1"/>
    <x v="6"/>
    <s v="04:40:00 PM"/>
    <n v="42429.708333333336"/>
    <n v="0.70833333333575865"/>
    <s v="20 min"/>
    <x v="0"/>
    <s v="Hazelwood"/>
    <s v="Whitebridge"/>
    <x v="104"/>
    <x v="4"/>
    <x v="2"/>
  </r>
  <r>
    <n v="42430.782638888886"/>
    <n v="42430"/>
    <x v="2"/>
    <x v="2"/>
    <s v="06:47:00 PM"/>
    <n v="42430.798611111109"/>
    <n v="0.79861111110949423"/>
    <s v="23 min"/>
    <x v="0"/>
    <s v="Whitebridge"/>
    <s v="Wayne Ridge"/>
    <x v="26"/>
    <x v="0"/>
    <x v="2"/>
  </r>
  <r>
    <n v="42430.893750000003"/>
    <n v="42430"/>
    <x v="2"/>
    <x v="2"/>
    <s v="09:27:00 PM"/>
    <n v="42430.90625"/>
    <n v="0.90625"/>
    <s v="18 min"/>
    <x v="0"/>
    <s v="Wayne Ridge"/>
    <s v="Whitebridge"/>
    <x v="26"/>
    <x v="3"/>
    <x v="0"/>
  </r>
  <r>
    <n v="42432.40625"/>
    <n v="42432"/>
    <x v="2"/>
    <x v="4"/>
    <s v="09:45:00 AM"/>
    <n v="42432.411111111112"/>
    <n v="0.41111111111240461"/>
    <s v="7 min"/>
    <x v="1"/>
    <s v="Whitebridge"/>
    <s v="Westpark Place"/>
    <x v="95"/>
    <x v="1"/>
    <x v="1"/>
  </r>
  <r>
    <n v="42432.461111111108"/>
    <n v="42432"/>
    <x v="2"/>
    <x v="4"/>
    <s v="11:04:00 AM"/>
    <n v="42432.465277777781"/>
    <n v="0.46527777778101154"/>
    <s v="6 min"/>
    <x v="0"/>
    <s v="Westpark Place"/>
    <s v="Whitebridge"/>
    <x v="33"/>
    <x v="2"/>
    <x v="3"/>
  </r>
  <r>
    <n v="42432.613888888889"/>
    <n v="42432"/>
    <x v="2"/>
    <x v="4"/>
    <s v="02:44:00 PM"/>
    <n v="42432.623611111114"/>
    <n v="0.62361111111385981"/>
    <s v="14 min"/>
    <x v="0"/>
    <s v="Whitebridge"/>
    <s v="Northwoods"/>
    <x v="44"/>
    <x v="0"/>
    <x v="3"/>
  </r>
  <r>
    <n v="42432.643750000003"/>
    <n v="42432"/>
    <x v="2"/>
    <x v="4"/>
    <s v="03:27:00 PM"/>
    <n v="42432.658333333333"/>
    <n v="0.65833333333284827"/>
    <s v="21 min"/>
    <x v="0"/>
    <s v="Cary"/>
    <s v="Raleigh"/>
    <x v="29"/>
    <x v="4"/>
    <x v="2"/>
  </r>
  <r>
    <n v="42432.668055555558"/>
    <n v="42432"/>
    <x v="2"/>
    <x v="4"/>
    <s v="04:02:00 PM"/>
    <n v="42432.695833333331"/>
    <n v="0.69583333333139308"/>
    <s v="40 min"/>
    <x v="0"/>
    <s v="Raleigh"/>
    <s v="Cary"/>
    <x v="63"/>
    <x v="3"/>
    <x v="2"/>
  </r>
  <r>
    <n v="42433.324305555558"/>
    <n v="42433"/>
    <x v="2"/>
    <x v="0"/>
    <s v="07:47:00 AM"/>
    <n v="42433.337500000001"/>
    <n v="0.33750000000145519"/>
    <s v="19 min"/>
    <x v="0"/>
    <s v="Cary"/>
    <s v="Durham"/>
    <x v="100"/>
    <x v="3"/>
    <x v="1"/>
  </r>
  <r>
    <n v="42433.406944444447"/>
    <n v="42433"/>
    <x v="2"/>
    <x v="0"/>
    <s v="09:46:00 AM"/>
    <n v="42433.418749999997"/>
    <n v="0.41874999999708962"/>
    <s v="17 min"/>
    <x v="0"/>
    <s v="Durham"/>
    <s v="Cary"/>
    <x v="100"/>
    <x v="4"/>
    <x v="1"/>
  </r>
  <r>
    <n v="42433.490277777775"/>
    <n v="42433"/>
    <x v="2"/>
    <x v="0"/>
    <s v="11:46:00 AM"/>
    <n v="42433.504166666666"/>
    <n v="0.50416666666569654"/>
    <s v="20 min"/>
    <x v="0"/>
    <s v="Cary"/>
    <s v="Durham"/>
    <x v="27"/>
    <x v="3"/>
    <x v="3"/>
  </r>
  <r>
    <n v="42433.543749999997"/>
    <n v="42433"/>
    <x v="2"/>
    <x v="0"/>
    <s v="01:03:00 PM"/>
    <n v="42433.559027777781"/>
    <n v="0.55902777778101154"/>
    <s v="22 min"/>
    <x v="0"/>
    <s v="Durham"/>
    <s v="Cary"/>
    <x v="105"/>
    <x v="3"/>
    <x v="3"/>
  </r>
  <r>
    <n v="42433.569444444445"/>
    <n v="42433"/>
    <x v="2"/>
    <x v="0"/>
    <s v="01:40:00 PM"/>
    <n v="42433.589583333334"/>
    <n v="0.58958333333430346"/>
    <s v="29 min"/>
    <x v="0"/>
    <s v="Cary"/>
    <s v="Raleigh"/>
    <x v="42"/>
    <x v="4"/>
    <x v="3"/>
  </r>
  <r>
    <n v="42433.663888888892"/>
    <n v="42433"/>
    <x v="2"/>
    <x v="0"/>
    <s v="03:56:00 PM"/>
    <n v="42433.672222222223"/>
    <n v="0.67222222222335404"/>
    <s v="12 min"/>
    <x v="0"/>
    <s v="Raleigh"/>
    <s v="Raleigh"/>
    <x v="106"/>
    <x v="0"/>
    <x v="2"/>
  </r>
  <r>
    <n v="42433.677777777775"/>
    <n v="42433"/>
    <x v="2"/>
    <x v="0"/>
    <s v="04:16:00 PM"/>
    <n v="42433.681944444441"/>
    <n v="0.68194444444088731"/>
    <s v="6 min"/>
    <x v="0"/>
    <s v="Fayetteville Street"/>
    <s v="Depot Historic District"/>
    <x v="7"/>
    <x v="2"/>
    <x v="2"/>
  </r>
  <r>
    <n v="42433.696527777778"/>
    <n v="42433"/>
    <x v="2"/>
    <x v="0"/>
    <s v="04:43:00 PM"/>
    <n v="42433.716666666667"/>
    <n v="0.71666666666715173"/>
    <s v="29 min"/>
    <x v="0"/>
    <s v="Raleigh"/>
    <s v="Cary"/>
    <x v="64"/>
    <x v="3"/>
    <x v="2"/>
  </r>
  <r>
    <n v="42433.793055555558"/>
    <n v="42433"/>
    <x v="2"/>
    <x v="0"/>
    <s v="07:02:00 PM"/>
    <n v="42433.797222222223"/>
    <n v="0.79722222222335404"/>
    <s v="6 min"/>
    <x v="0"/>
    <s v="Cary"/>
    <s v="Morrisville"/>
    <x v="16"/>
    <x v="5"/>
    <x v="0"/>
  </r>
  <r>
    <n v="42433.802777777775"/>
    <n v="42433"/>
    <x v="2"/>
    <x v="0"/>
    <s v="07:16:00 PM"/>
    <n v="42433.809027777781"/>
    <n v="0.80902777778101154"/>
    <s v="9 min"/>
    <x v="0"/>
    <s v="Morrisville"/>
    <s v="Cary"/>
    <x v="20"/>
    <x v="0"/>
    <x v="0"/>
  </r>
  <r>
    <n v="42434.488888888889"/>
    <n v="42434"/>
    <x v="2"/>
    <x v="1"/>
    <s v="11:44:00 AM"/>
    <n v="42434.499305555553"/>
    <n v="0.49930555555329192"/>
    <s v="15 min"/>
    <x v="0"/>
    <s v="Cary"/>
    <s v="Morrisville"/>
    <x v="107"/>
    <x v="0"/>
    <x v="3"/>
  </r>
  <r>
    <n v="42434.539583333331"/>
    <n v="42434"/>
    <x v="2"/>
    <x v="1"/>
    <s v="12:57:00 PM"/>
    <n v="42434.55"/>
    <n v="0.55000000000291038"/>
    <s v="15 min"/>
    <x v="1"/>
    <s v="Weston"/>
    <s v="Weston"/>
    <x v="86"/>
    <x v="1"/>
    <x v="3"/>
  </r>
  <r>
    <n v="42434.588888888888"/>
    <n v="42434"/>
    <x v="2"/>
    <x v="1"/>
    <s v="02:08:00 PM"/>
    <n v="42434.595833333333"/>
    <n v="0.59583333333284827"/>
    <s v="10 min"/>
    <x v="1"/>
    <s v="Morrisville"/>
    <s v="Cary"/>
    <x v="85"/>
    <x v="1"/>
    <x v="3"/>
  </r>
  <r>
    <n v="42434.61041666667"/>
    <n v="42434"/>
    <x v="2"/>
    <x v="1"/>
    <s v="02:39:00 PM"/>
    <n v="42434.625694444447"/>
    <n v="0.62569444444670808"/>
    <s v="22 min"/>
    <x v="0"/>
    <s v="Whitebridge"/>
    <s v="Wayne Ridge"/>
    <x v="108"/>
    <x v="0"/>
    <x v="3"/>
  </r>
  <r>
    <n v="42434.702777777777"/>
    <n v="42434"/>
    <x v="2"/>
    <x v="1"/>
    <s v="04:52:00 PM"/>
    <n v="42434.717361111114"/>
    <n v="0.71736111111385981"/>
    <s v="21 min"/>
    <x v="0"/>
    <s v="Cary"/>
    <s v="Morrisville"/>
    <x v="108"/>
    <x v="0"/>
    <x v="2"/>
  </r>
  <r>
    <n v="42434.724305555559"/>
    <n v="42434"/>
    <x v="2"/>
    <x v="1"/>
    <s v="05:23:00 PM"/>
    <n v="42434.731944444444"/>
    <n v="0.73194444444379769"/>
    <s v="11 min"/>
    <x v="0"/>
    <s v="Morrisville"/>
    <s v="Cary"/>
    <x v="25"/>
    <x v="0"/>
    <x v="2"/>
  </r>
  <r>
    <n v="42436.381944444445"/>
    <n v="42436"/>
    <x v="2"/>
    <x v="6"/>
    <s v="09:10:00 AM"/>
    <n v="42436.388888888891"/>
    <n v="0.38888888889050577"/>
    <s v="10 min"/>
    <x v="0"/>
    <s v="Whitebridge"/>
    <s v="Edgehill Farms"/>
    <x v="109"/>
    <x v="2"/>
    <x v="1"/>
  </r>
  <r>
    <n v="42436.390972222223"/>
    <n v="42436"/>
    <x v="2"/>
    <x v="6"/>
    <s v="09:23:00 AM"/>
    <n v="42436.407638888886"/>
    <n v="0.40763888888614019"/>
    <s v="24 min"/>
    <x v="0"/>
    <s v="Cary"/>
    <s v="Raleigh"/>
    <x v="110"/>
    <x v="4"/>
    <x v="1"/>
  </r>
  <r>
    <n v="42436.506944444445"/>
    <n v="42436"/>
    <x v="2"/>
    <x v="6"/>
    <s v="12:10:00 PM"/>
    <n v="42436.518055555556"/>
    <n v="0.51805555555620231"/>
    <s v="16 min"/>
    <x v="0"/>
    <s v="Fayetteville Street"/>
    <s v="Meredith Townes"/>
    <x v="111"/>
    <x v="4"/>
    <x v="3"/>
  </r>
  <r>
    <n v="42436.581250000003"/>
    <n v="42436"/>
    <x v="2"/>
    <x v="6"/>
    <s v="01:57:00 PM"/>
    <n v="42436.595833333333"/>
    <n v="0.59583333333284827"/>
    <s v="21 min"/>
    <x v="0"/>
    <s v="Meredith Townes"/>
    <s v="Leesville Hollow"/>
    <x v="112"/>
    <x v="3"/>
    <x v="3"/>
  </r>
  <r>
    <n v="42436.638194444444"/>
    <n v="42436"/>
    <x v="2"/>
    <x v="6"/>
    <s v="03:19:00 PM"/>
    <n v="42436.65625"/>
    <n v="0.65625"/>
    <s v="26 min"/>
    <x v="0"/>
    <s v="Raleigh"/>
    <s v="Cary"/>
    <x v="113"/>
    <x v="6"/>
    <x v="2"/>
  </r>
  <r>
    <n v="42437.609722222223"/>
    <n v="42437"/>
    <x v="2"/>
    <x v="2"/>
    <s v="02:38:00 PM"/>
    <n v="42437.621527777781"/>
    <n v="0.62152777778101154"/>
    <s v="17 min"/>
    <x v="0"/>
    <s v="Whitebridge"/>
    <s v="Waverly Place"/>
    <x v="28"/>
    <x v="6"/>
    <x v="3"/>
  </r>
  <r>
    <n v="42437.649305555555"/>
    <n v="42437"/>
    <x v="2"/>
    <x v="2"/>
    <s v="03:35:00 PM"/>
    <n v="42437.666666666664"/>
    <n v="0.66666666666424135"/>
    <s v="25 min"/>
    <x v="0"/>
    <s v="Waverly Place"/>
    <s v="Whitebridge"/>
    <x v="29"/>
    <x v="0"/>
    <x v="2"/>
  </r>
  <r>
    <n v="42437.675694444442"/>
    <n v="42437"/>
    <x v="2"/>
    <x v="2"/>
    <s v="04:13:00 PM"/>
    <n v="42437.684027777781"/>
    <n v="0.68402777778101154"/>
    <s v="12 min"/>
    <x v="1"/>
    <s v="Whitebridge"/>
    <s v="Whitebridge"/>
    <x v="14"/>
    <x v="1"/>
    <x v="2"/>
  </r>
  <r>
    <n v="42439.15"/>
    <n v="42439"/>
    <x v="2"/>
    <x v="4"/>
    <s v="03:36:00 AM"/>
    <n v="42439.161805555559"/>
    <n v="0.16180555555911269"/>
    <s v="17 min"/>
    <x v="0"/>
    <s v="Cary"/>
    <s v="Morrisville"/>
    <x v="69"/>
    <x v="3"/>
    <x v="1"/>
  </r>
  <r>
    <n v="42439.422222222223"/>
    <n v="42439"/>
    <x v="2"/>
    <x v="4"/>
    <s v="10:08:00 AM"/>
    <n v="42439.442361111112"/>
    <n v="0.44236111111240461"/>
    <s v="29 min"/>
    <x v="0"/>
    <s v="East Austin"/>
    <s v="West University"/>
    <x v="114"/>
    <x v="3"/>
    <x v="3"/>
  </r>
  <r>
    <n v="42439.61041666667"/>
    <n v="42439"/>
    <x v="2"/>
    <x v="4"/>
    <s v="02:39:00 PM"/>
    <n v="42439.621527777781"/>
    <n v="0.62152777778101154"/>
    <s v="16 min"/>
    <x v="0"/>
    <s v="West University"/>
    <s v="South Congress"/>
    <x v="33"/>
    <x v="1"/>
    <x v="3"/>
  </r>
  <r>
    <n v="42439.679166666669"/>
    <n v="42439"/>
    <x v="2"/>
    <x v="4"/>
    <s v="04:18:00 PM"/>
    <n v="42439.686111111114"/>
    <n v="0.68611111111385981"/>
    <s v="10 min"/>
    <x v="0"/>
    <s v="South Congress"/>
    <s v="Arts District"/>
    <x v="14"/>
    <x v="1"/>
    <x v="2"/>
  </r>
  <r>
    <n v="42440.407638888886"/>
    <n v="42440"/>
    <x v="2"/>
    <x v="0"/>
    <s v="09:47:00 AM"/>
    <n v="42440.415972222225"/>
    <n v="0.41597222222480923"/>
    <s v="12 min"/>
    <x v="0"/>
    <s v="The Drag"/>
    <s v="Congress Ave District"/>
    <x v="20"/>
    <x v="0"/>
    <x v="1"/>
  </r>
  <r>
    <n v="42440.436805555553"/>
    <n v="42440"/>
    <x v="2"/>
    <x v="0"/>
    <s v="10:29:00 AM"/>
    <n v="42440.441666666666"/>
    <n v="0.44166666666569654"/>
    <s v="7 min"/>
    <x v="0"/>
    <s v="Congress Ave District"/>
    <s v="Downtown"/>
    <x v="7"/>
    <x v="1"/>
    <x v="3"/>
  </r>
  <r>
    <n v="42440.497916666667"/>
    <n v="42440"/>
    <x v="2"/>
    <x v="0"/>
    <s v="11:57:00 AM"/>
    <n v="42440.50277777778"/>
    <n v="0.50277777777955635"/>
    <s v="7 min"/>
    <x v="0"/>
    <s v="Downtown"/>
    <s v="Red River District"/>
    <x v="115"/>
    <x v="1"/>
    <x v="3"/>
  </r>
  <r>
    <n v="42440.571527777778"/>
    <n v="42440"/>
    <x v="2"/>
    <x v="0"/>
    <s v="01:43:00 PM"/>
    <n v="42440.57708333333"/>
    <n v="0.57708333332993789"/>
    <s v="8 min"/>
    <x v="0"/>
    <s v="Red River District"/>
    <s v="Downtown"/>
    <x v="32"/>
    <x v="1"/>
    <x v="3"/>
  </r>
  <r>
    <n v="42440.806250000001"/>
    <n v="42440"/>
    <x v="2"/>
    <x v="0"/>
    <s v="07:21:00 PM"/>
    <n v="42440.815972222219"/>
    <n v="0.81597222221898846"/>
    <s v="14 min"/>
    <x v="0"/>
    <s v="South Congress"/>
    <s v="The Drag"/>
    <x v="102"/>
    <x v="1"/>
    <x v="0"/>
  </r>
  <r>
    <n v="42441.384027777778"/>
    <n v="42441"/>
    <x v="2"/>
    <x v="1"/>
    <s v="09:13:00 AM"/>
    <n v="42441.390277777777"/>
    <n v="0.39027777777664596"/>
    <s v="9 min"/>
    <x v="0"/>
    <s v="The Drag"/>
    <s v="South Congress"/>
    <x v="95"/>
    <x v="1"/>
    <x v="1"/>
  </r>
  <r>
    <n v="42441.768750000003"/>
    <n v="42441"/>
    <x v="2"/>
    <x v="1"/>
    <s v="06:27:00 PM"/>
    <n v="42441.775694444441"/>
    <n v="0.77569444444088731"/>
    <s v="10 min"/>
    <x v="1"/>
    <s v="South Congress"/>
    <s v="The Drag"/>
    <x v="16"/>
    <x v="1"/>
    <x v="2"/>
  </r>
  <r>
    <n v="42442.379861111112"/>
    <n v="42442"/>
    <x v="2"/>
    <x v="5"/>
    <s v="09:07:00 AM"/>
    <n v="42442.400694444441"/>
    <n v="0.40069444444088731"/>
    <s v="30 min"/>
    <x v="0"/>
    <s v="The Drag"/>
    <s v="Convention Center District"/>
    <x v="48"/>
    <x v="0"/>
    <x v="1"/>
  </r>
  <r>
    <n v="42442.765972222223"/>
    <n v="42442"/>
    <x v="2"/>
    <x v="5"/>
    <s v="06:23:00 PM"/>
    <n v="42442.779861111114"/>
    <n v="0.77986111111385981"/>
    <s v="20 min"/>
    <x v="0"/>
    <s v="South Congress"/>
    <s v="North Austin"/>
    <x v="69"/>
    <x v="0"/>
    <x v="2"/>
  </r>
  <r>
    <n v="42442.838194444441"/>
    <n v="42442"/>
    <x v="2"/>
    <x v="5"/>
    <s v="08:07:00 PM"/>
    <n v="42442.852777777778"/>
    <n v="0.85277777777810115"/>
    <s v="21 min"/>
    <x v="0"/>
    <s v="Georgian Acres"/>
    <s v="The Drag"/>
    <x v="12"/>
    <x v="0"/>
    <x v="0"/>
  </r>
  <r>
    <n v="42442.86041666667"/>
    <n v="42442"/>
    <x v="2"/>
    <x v="5"/>
    <s v="08:39:00 PM"/>
    <n v="42442.873611111114"/>
    <n v="0.87361111111385981"/>
    <s v="19 min"/>
    <x v="0"/>
    <s v="The Drag"/>
    <s v="North Austin"/>
    <x v="116"/>
    <x v="0"/>
    <x v="0"/>
  </r>
  <r>
    <n v="42442.882638888892"/>
    <n v="42442"/>
    <x v="2"/>
    <x v="5"/>
    <s v="09:11:00 PM"/>
    <n v="42442.890972222223"/>
    <n v="0.89097222222335404"/>
    <s v="12 min"/>
    <x v="0"/>
    <s v="North Austin"/>
    <s v="Coxville"/>
    <x v="28"/>
    <x v="0"/>
    <x v="0"/>
  </r>
  <r>
    <n v="42442.929861111108"/>
    <n v="42442"/>
    <x v="2"/>
    <x v="5"/>
    <s v="10:19:00 PM"/>
    <n v="42442.943749999999"/>
    <n v="0.94374999999854481"/>
    <s v="20 min"/>
    <x v="0"/>
    <s v="Coxville"/>
    <s v="The Drag"/>
    <x v="117"/>
    <x v="1"/>
    <x v="0"/>
  </r>
  <r>
    <n v="42443.356944444444"/>
    <n v="42443"/>
    <x v="2"/>
    <x v="6"/>
    <s v="08:34:00 AM"/>
    <n v="42443.367361111108"/>
    <n v="0.36736111110803904"/>
    <s v="15 min"/>
    <x v="0"/>
    <s v="The Drag"/>
    <s v="South Congress"/>
    <x v="20"/>
    <x v="2"/>
    <x v="1"/>
  </r>
  <r>
    <n v="42443.777083333334"/>
    <n v="42443"/>
    <x v="2"/>
    <x v="6"/>
    <s v="06:39:00 PM"/>
    <n v="42443.788194444445"/>
    <n v="0.78819444444525288"/>
    <s v="16 min"/>
    <x v="0"/>
    <s v="South Congress"/>
    <s v="The Drag"/>
    <x v="38"/>
    <x v="1"/>
    <x v="2"/>
  </r>
  <r>
    <n v="42444.364583333336"/>
    <n v="42444"/>
    <x v="2"/>
    <x v="2"/>
    <s v="08:45:00 AM"/>
    <n v="42444.372916666667"/>
    <n v="0.37291666666715173"/>
    <s v="12 min"/>
    <x v="0"/>
    <s v="The Drag"/>
    <s v="Convention Center District"/>
    <x v="20"/>
    <x v="1"/>
    <x v="1"/>
  </r>
  <r>
    <n v="42444.866666666669"/>
    <n v="42444"/>
    <x v="2"/>
    <x v="2"/>
    <s v="08:48:00 PM"/>
    <n v="42444.875694444447"/>
    <n v="0.87569444444670808"/>
    <s v="13 min"/>
    <x v="0"/>
    <s v="Downtown"/>
    <s v="The Drag"/>
    <x v="109"/>
    <x v="0"/>
    <x v="0"/>
  </r>
  <r>
    <n v="42445.481944444444"/>
    <n v="42445"/>
    <x v="2"/>
    <x v="3"/>
    <s v="11:34:00 AM"/>
    <n v="42445.489583333336"/>
    <n v="0.48958333333575865"/>
    <s v="11 min"/>
    <x v="0"/>
    <s v="The Drag"/>
    <s v="Congress Ave District"/>
    <x v="15"/>
    <x v="0"/>
    <x v="3"/>
  </r>
  <r>
    <n v="42445.613888888889"/>
    <n v="42445"/>
    <x v="2"/>
    <x v="3"/>
    <s v="02:44:00 PM"/>
    <n v="42445.621527777781"/>
    <n v="0.62152777778101154"/>
    <s v="11 min"/>
    <x v="0"/>
    <s v="Convention Center District"/>
    <s v="West University"/>
    <x v="20"/>
    <x v="1"/>
    <x v="3"/>
  </r>
  <r>
    <n v="42445.779861111114"/>
    <n v="42445"/>
    <x v="2"/>
    <x v="3"/>
    <s v="06:43:00 PM"/>
    <n v="42445.788888888892"/>
    <n v="0.78888888889196096"/>
    <s v="13 min"/>
    <x v="0"/>
    <s v="West University"/>
    <s v="Congress Ave District"/>
    <x v="102"/>
    <x v="0"/>
    <x v="2"/>
  </r>
  <r>
    <n v="42446.022916666669"/>
    <n v="42446"/>
    <x v="2"/>
    <x v="4"/>
    <s v="12:33:00 AM"/>
    <n v="42446.030555555553"/>
    <n v="3.0555555553291924E-2"/>
    <s v="11 min"/>
    <x v="1"/>
    <s v="Downtown"/>
    <s v="The Drag"/>
    <x v="15"/>
    <x v="1"/>
    <x v="1"/>
  </r>
  <r>
    <n v="42446.536111111112"/>
    <n v="42446"/>
    <x v="2"/>
    <x v="4"/>
    <s v="12:52:00 PM"/>
    <n v="42446.632638888892"/>
    <n v="0.63263888889196096"/>
    <s v="139 min"/>
    <x v="0"/>
    <s v="Austin"/>
    <s v="Katy"/>
    <x v="118"/>
    <x v="4"/>
    <x v="3"/>
  </r>
  <r>
    <n v="42446.636111111111"/>
    <n v="42446"/>
    <x v="2"/>
    <x v="4"/>
    <s v="03:16:00 PM"/>
    <n v="42446.665277777778"/>
    <n v="0.66527777777810115"/>
    <s v="42 min"/>
    <x v="0"/>
    <s v="Katy"/>
    <s v="Houston"/>
    <x v="119"/>
    <x v="3"/>
    <x v="2"/>
  </r>
  <r>
    <n v="42446.722222222219"/>
    <n v="42446"/>
    <x v="2"/>
    <x v="4"/>
    <s v="05:20:00 PM"/>
    <n v="42446.751388888886"/>
    <n v="0.75138888888614019"/>
    <s v="42 min"/>
    <x v="0"/>
    <s v="Midtown"/>
    <s v="Alief"/>
    <x v="120"/>
    <x v="0"/>
    <x v="2"/>
  </r>
  <r>
    <n v="42446.782638888886"/>
    <n v="42446"/>
    <x v="2"/>
    <x v="4"/>
    <s v="06:47:00 PM"/>
    <n v="42446.79791666667"/>
    <n v="0.79791666667006211"/>
    <s v="22 min"/>
    <x v="1"/>
    <s v="Houston"/>
    <s v="Houston"/>
    <x v="106"/>
    <x v="1"/>
    <x v="2"/>
  </r>
  <r>
    <n v="42446.872916666667"/>
    <n v="42446"/>
    <x v="2"/>
    <x v="4"/>
    <s v="08:57:00 PM"/>
    <n v="42446.894444444442"/>
    <n v="0.8944444444423425"/>
    <s v="31 min"/>
    <x v="1"/>
    <s v="Houston"/>
    <s v="Houston"/>
    <x v="121"/>
    <x v="1"/>
    <x v="0"/>
  </r>
  <r>
    <n v="42446.908333333333"/>
    <n v="42446"/>
    <x v="2"/>
    <x v="4"/>
    <s v="09:48:00 PM"/>
    <n v="42446.919444444444"/>
    <n v="0.91944444444379769"/>
    <s v="16 min"/>
    <x v="1"/>
    <s v="Sharpstown"/>
    <s v="Midtown"/>
    <x v="27"/>
    <x v="1"/>
    <x v="0"/>
  </r>
  <r>
    <n v="42447.302083333336"/>
    <n v="42447"/>
    <x v="2"/>
    <x v="0"/>
    <s v="07:15:00 AM"/>
    <n v="42447.306250000001"/>
    <n v="0.30625000000145519"/>
    <s v="6 min"/>
    <x v="0"/>
    <s v="Midtown"/>
    <s v="Midtown"/>
    <x v="53"/>
    <x v="0"/>
    <x v="1"/>
  </r>
  <r>
    <n v="42447.357638888891"/>
    <n v="42447"/>
    <x v="2"/>
    <x v="0"/>
    <s v="08:35:00 AM"/>
    <n v="42447.363194444442"/>
    <n v="0.3631944444423425"/>
    <s v="8 min"/>
    <x v="0"/>
    <s v="Midtown"/>
    <s v="Midtown"/>
    <x v="53"/>
    <x v="0"/>
    <x v="1"/>
  </r>
  <r>
    <n v="42447.76666666667"/>
    <n v="42447"/>
    <x v="2"/>
    <x v="0"/>
    <s v="06:24:00 PM"/>
    <n v="42447.797222222223"/>
    <n v="0.79722222222335404"/>
    <s v="44 min"/>
    <x v="0"/>
    <s v="Midtown"/>
    <s v="Sharpstown"/>
    <x v="122"/>
    <x v="3"/>
    <x v="2"/>
  </r>
  <r>
    <n v="42447.807638888888"/>
    <n v="42447"/>
    <x v="2"/>
    <x v="0"/>
    <s v="07:23:00 PM"/>
    <n v="42447.811805555553"/>
    <n v="0.81180555555329192"/>
    <s v="6 min"/>
    <x v="0"/>
    <s v="Sharpstown"/>
    <s v="Sharpstown"/>
    <x v="32"/>
    <x v="2"/>
    <x v="0"/>
  </r>
  <r>
    <n v="42447.875694444447"/>
    <n v="42447"/>
    <x v="2"/>
    <x v="0"/>
    <s v="09:01:00 PM"/>
    <n v="42447.885416666664"/>
    <n v="0.88541666666424135"/>
    <s v="14 min"/>
    <x v="0"/>
    <s v="Sharpstown"/>
    <s v="Midtown"/>
    <x v="123"/>
    <x v="4"/>
    <x v="0"/>
  </r>
  <r>
    <n v="42448.381944444445"/>
    <n v="42448"/>
    <x v="2"/>
    <x v="1"/>
    <s v="09:10:00 AM"/>
    <n v="42448.392361111109"/>
    <n v="0.39236111110949423"/>
    <s v="15 min"/>
    <x v="0"/>
    <s v="Midtown"/>
    <s v="Sharpstown"/>
    <x v="112"/>
    <x v="0"/>
    <x v="1"/>
  </r>
  <r>
    <n v="42448.534722222219"/>
    <n v="42448"/>
    <x v="2"/>
    <x v="1"/>
    <s v="12:50:00 PM"/>
    <n v="42448.550694444442"/>
    <n v="0.5506944444423425"/>
    <s v="23 min"/>
    <x v="0"/>
    <s v="Houston"/>
    <s v="Sugar Land"/>
    <x v="124"/>
    <x v="4"/>
    <x v="3"/>
  </r>
  <r>
    <n v="42448.584027777775"/>
    <n v="42448"/>
    <x v="2"/>
    <x v="1"/>
    <s v="02:01:00 PM"/>
    <n v="42448.622916666667"/>
    <n v="0.62291666666715173"/>
    <s v="56 min"/>
    <x v="0"/>
    <s v="Sugar Land"/>
    <s v="Houston"/>
    <x v="125"/>
    <x v="4"/>
    <x v="3"/>
  </r>
  <r>
    <n v="42448.648611111108"/>
    <n v="42448"/>
    <x v="2"/>
    <x v="1"/>
    <s v="03:34:00 PM"/>
    <n v="42448.693055555559"/>
    <n v="0.69305555555911269"/>
    <s v="64 min"/>
    <x v="0"/>
    <s v="Houston"/>
    <s v="Galveston"/>
    <x v="126"/>
    <x v="0"/>
    <x v="2"/>
  </r>
  <r>
    <n v="42448.720138888886"/>
    <n v="42448"/>
    <x v="2"/>
    <x v="1"/>
    <s v="05:17:00 PM"/>
    <n v="42448.730555555558"/>
    <n v="0.7305555555576575"/>
    <s v="15 min"/>
    <x v="0"/>
    <s v="Galveston"/>
    <s v="Port Bolivar"/>
    <x v="97"/>
    <x v="0"/>
    <x v="2"/>
  </r>
  <r>
    <n v="42448.734027777777"/>
    <n v="42448"/>
    <x v="2"/>
    <x v="1"/>
    <s v="05:37:00 PM"/>
    <n v="42448.740972222222"/>
    <n v="0.74097222222189885"/>
    <s v="10 min"/>
    <x v="0"/>
    <s v="Port Bolivar"/>
    <s v="Port Bolivar"/>
    <x v="102"/>
    <x v="2"/>
    <x v="2"/>
  </r>
  <r>
    <n v="42448.744444444441"/>
    <n v="42448"/>
    <x v="2"/>
    <x v="1"/>
    <s v="05:52:00 PM"/>
    <n v="42448.75"/>
    <n v="0.75"/>
    <s v="8 min"/>
    <x v="0"/>
    <s v="Port Bolivar"/>
    <s v="Port Bolivar"/>
    <x v="115"/>
    <x v="1"/>
    <x v="2"/>
  </r>
  <r>
    <n v="42448.786805555559"/>
    <n v="42448"/>
    <x v="2"/>
    <x v="1"/>
    <s v="06:53:00 PM"/>
    <n v="42448.811805555553"/>
    <n v="0.81180555555329192"/>
    <s v="36 min"/>
    <x v="0"/>
    <s v="Port Bolivar"/>
    <s v="Galveston"/>
    <x v="11"/>
    <x v="3"/>
    <x v="2"/>
  </r>
  <r>
    <n v="42448.814583333333"/>
    <n v="42448"/>
    <x v="2"/>
    <x v="1"/>
    <s v="07:33:00 PM"/>
    <n v="42448.86041666667"/>
    <n v="0.86041666667006211"/>
    <s v="66 min"/>
    <x v="0"/>
    <s v="Galveston"/>
    <s v="Houston"/>
    <x v="127"/>
    <x v="4"/>
    <x v="0"/>
  </r>
  <r>
    <n v="42449.317361111112"/>
    <n v="42449"/>
    <x v="2"/>
    <x v="5"/>
    <s v="07:37:00 AM"/>
    <n v="42449.324999999997"/>
    <n v="0.32499999999708962"/>
    <s v="11 min"/>
    <x v="0"/>
    <s v="Midtown"/>
    <s v="Washington Avenue"/>
    <x v="111"/>
    <x v="3"/>
    <x v="1"/>
  </r>
  <r>
    <n v="42449.487500000003"/>
    <n v="42449"/>
    <x v="2"/>
    <x v="5"/>
    <s v="11:42:00 AM"/>
    <n v="42449.49722222222"/>
    <n v="0.49722222222044365"/>
    <s v="14 min"/>
    <x v="0"/>
    <s v="Washington Avenue"/>
    <s v="Midtown"/>
    <x v="12"/>
    <x v="3"/>
    <x v="3"/>
  </r>
  <r>
    <n v="42449.713888888888"/>
    <n v="42449"/>
    <x v="2"/>
    <x v="5"/>
    <s v="05:08:00 PM"/>
    <n v="42449.731944444444"/>
    <n v="0.73194444444379769"/>
    <s v="26 min"/>
    <x v="0"/>
    <s v="Midtown"/>
    <s v="Sharpstown"/>
    <x v="27"/>
    <x v="1"/>
    <x v="2"/>
  </r>
  <r>
    <n v="42449.773611111108"/>
    <n v="42449"/>
    <x v="2"/>
    <x v="5"/>
    <s v="06:34:00 PM"/>
    <n v="42449.777777777781"/>
    <n v="0.77777777778101154"/>
    <s v="6 min"/>
    <x v="1"/>
    <s v="Sharpstown"/>
    <s v="Briar Meadow"/>
    <x v="115"/>
    <x v="1"/>
    <x v="2"/>
  </r>
  <r>
    <n v="42449.78125"/>
    <n v="42449"/>
    <x v="2"/>
    <x v="5"/>
    <s v="06:45:00 PM"/>
    <n v="42449.79583333333"/>
    <n v="0.79583333332993789"/>
    <s v="21 min"/>
    <x v="0"/>
    <s v="Briar Meadow"/>
    <s v="Midtown"/>
    <x v="128"/>
    <x v="4"/>
    <x v="2"/>
  </r>
  <r>
    <n v="42450.431250000001"/>
    <n v="42450"/>
    <x v="2"/>
    <x v="6"/>
    <s v="10:21:00 AM"/>
    <n v="42450.43472222222"/>
    <n v="0.43472222222044365"/>
    <s v="5 min"/>
    <x v="1"/>
    <s v="Midtown"/>
    <s v="Downtown"/>
    <x v="32"/>
    <x v="1"/>
    <x v="3"/>
  </r>
  <r>
    <n v="42450.670138888891"/>
    <n v="42450"/>
    <x v="2"/>
    <x v="6"/>
    <s v="04:05:00 PM"/>
    <n v="42450.675694444442"/>
    <n v="0.6756944444423425"/>
    <s v="8 min"/>
    <x v="0"/>
    <s v="Downtown"/>
    <s v="Midtown"/>
    <x v="129"/>
    <x v="0"/>
    <x v="2"/>
  </r>
  <r>
    <n v="42450.790972222225"/>
    <n v="42450"/>
    <x v="2"/>
    <x v="6"/>
    <s v="06:59:00 PM"/>
    <n v="42450.802083333336"/>
    <n v="0.80208333333575865"/>
    <s v="16 min"/>
    <x v="0"/>
    <s v="Midtown"/>
    <s v="Sharpstown"/>
    <x v="93"/>
    <x v="1"/>
    <x v="2"/>
  </r>
  <r>
    <n v="42450.845833333333"/>
    <n v="42450"/>
    <x v="2"/>
    <x v="6"/>
    <s v="08:18:00 PM"/>
    <n v="42450.871527777781"/>
    <n v="0.87152777778101154"/>
    <s v="37 min"/>
    <x v="0"/>
    <s v="Sharpstown"/>
    <s v="Midtown"/>
    <x v="130"/>
    <x v="0"/>
    <x v="0"/>
  </r>
  <r>
    <n v="42451.261805555558"/>
    <n v="42451"/>
    <x v="2"/>
    <x v="2"/>
    <s v="06:17:00 AM"/>
    <n v="42451.279861111114"/>
    <n v="0.27986111111385981"/>
    <s v="26 min"/>
    <x v="0"/>
    <s v="Midtown"/>
    <s v="Greater Greenspoint"/>
    <x v="131"/>
    <x v="0"/>
    <x v="1"/>
  </r>
  <r>
    <n v="42451.504166666666"/>
    <n v="42451"/>
    <x v="2"/>
    <x v="2"/>
    <s v="12:06:00 PM"/>
    <n v="42451.51666666667"/>
    <n v="0.51666666667006211"/>
    <s v="18 min"/>
    <x v="1"/>
    <s v="Morrisville"/>
    <s v="Cary"/>
    <x v="72"/>
    <x v="1"/>
    <x v="3"/>
  </r>
  <r>
    <n v="42451.8"/>
    <n v="42451"/>
    <x v="2"/>
    <x v="2"/>
    <s v="07:12:00 PM"/>
    <n v="42451.809027777781"/>
    <n v="0.80902777778101154"/>
    <s v="13 min"/>
    <x v="1"/>
    <s v="Whitebridge"/>
    <s v="Whitebridge"/>
    <x v="34"/>
    <x v="1"/>
    <x v="0"/>
  </r>
  <r>
    <n v="42452.609027777777"/>
    <n v="42452"/>
    <x v="2"/>
    <x v="3"/>
    <s v="02:37:00 PM"/>
    <n v="42452.612500000003"/>
    <n v="0.61250000000291038"/>
    <s v="5 min"/>
    <x v="1"/>
    <s v="Whitebridge"/>
    <s v="Preston"/>
    <x v="15"/>
    <x v="1"/>
    <x v="3"/>
  </r>
  <r>
    <n v="42452.620138888888"/>
    <n v="42452"/>
    <x v="2"/>
    <x v="3"/>
    <s v="02:53:00 PM"/>
    <n v="42452.624305555553"/>
    <n v="0.62430555555329192"/>
    <s v="6 min"/>
    <x v="1"/>
    <s v="Preston"/>
    <s v="Whitebridge"/>
    <x v="14"/>
    <x v="1"/>
    <x v="3"/>
  </r>
  <r>
    <n v="42453.824305555558"/>
    <n v="42453"/>
    <x v="2"/>
    <x v="4"/>
    <s v="07:47:00 PM"/>
    <n v="42453.82916666667"/>
    <n v="0.82916666667006211"/>
    <s v="7 min"/>
    <x v="1"/>
    <s v="Whitebridge"/>
    <s v="Westpark Place"/>
    <x v="20"/>
    <x v="1"/>
    <x v="0"/>
  </r>
  <r>
    <n v="42453.856944444444"/>
    <n v="42453"/>
    <x v="2"/>
    <x v="4"/>
    <s v="08:34:00 PM"/>
    <n v="42453.861111111109"/>
    <n v="0.86111111110949423"/>
    <s v="6 min"/>
    <x v="0"/>
    <s v="Westpark Place"/>
    <s v="Whitebridge"/>
    <x v="95"/>
    <x v="1"/>
    <x v="0"/>
  </r>
  <r>
    <n v="42454.558333333334"/>
    <n v="42454"/>
    <x v="2"/>
    <x v="0"/>
    <s v="01:24:00 PM"/>
    <n v="42454.681944444441"/>
    <n v="0.68194444444088731"/>
    <s v="178 min"/>
    <x v="0"/>
    <s v="Cary"/>
    <s v="Latta"/>
    <x v="132"/>
    <x v="4"/>
    <x v="3"/>
  </r>
  <r>
    <n v="42454.702777777777"/>
    <n v="42454"/>
    <x v="2"/>
    <x v="0"/>
    <s v="04:52:00 PM"/>
    <n v="42454.931944444441"/>
    <n v="0.93194444444088731"/>
    <s v="330 min"/>
    <x v="0"/>
    <s v="Latta"/>
    <s v="Jacksonville"/>
    <x v="133"/>
    <x v="4"/>
    <x v="2"/>
  </r>
  <r>
    <n v="42454.95416666667"/>
    <n v="42454"/>
    <x v="2"/>
    <x v="0"/>
    <s v="10:54:00 PM"/>
    <n v="42455.068749999999"/>
    <n v="6.8749999998544808E-2"/>
    <s v="165 min"/>
    <x v="0"/>
    <s v="Jacksonville"/>
    <s v="Kissimmee"/>
    <x v="134"/>
    <x v="3"/>
    <x v="0"/>
  </r>
  <r>
    <n v="42455.586805555555"/>
    <n v="42455"/>
    <x v="2"/>
    <x v="1"/>
    <s v="02:05:00 PM"/>
    <n v="42455.603472222225"/>
    <n v="0.60347222222480923"/>
    <s v="24 min"/>
    <x v="1"/>
    <s v="Couples Glen"/>
    <s v="Isles of Buena Vista"/>
    <x v="135"/>
    <x v="1"/>
    <x v="3"/>
  </r>
  <r>
    <n v="42455.638194444444"/>
    <n v="42455"/>
    <x v="2"/>
    <x v="1"/>
    <s v="03:19:00 PM"/>
    <n v="42455.65902777778"/>
    <n v="0.65902777777955635"/>
    <s v="30 min"/>
    <x v="1"/>
    <s v="Kissimmee"/>
    <s v="Orlando"/>
    <x v="93"/>
    <x v="1"/>
    <x v="2"/>
  </r>
  <r>
    <n v="42455.68472222222"/>
    <n v="42455"/>
    <x v="2"/>
    <x v="1"/>
    <s v="04:26:00 PM"/>
    <n v="42455.6875"/>
    <n v="0.6875"/>
    <s v="4 min"/>
    <x v="1"/>
    <s v="Lake Reams"/>
    <s v="Lake Reams"/>
    <x v="115"/>
    <x v="1"/>
    <x v="2"/>
  </r>
  <r>
    <n v="42456.021527777775"/>
    <n v="42456"/>
    <x v="2"/>
    <x v="5"/>
    <s v="12:31:00 AM"/>
    <n v="42456.027777777781"/>
    <n v="2.7777777781011537E-2"/>
    <s v="9 min"/>
    <x v="0"/>
    <s v="Lake Reams"/>
    <s v="Lake Reams"/>
    <x v="102"/>
    <x v="2"/>
    <x v="1"/>
  </r>
  <r>
    <n v="42456.049305555556"/>
    <n v="42456"/>
    <x v="2"/>
    <x v="5"/>
    <s v="01:11:00 AM"/>
    <n v="42456.057638888888"/>
    <n v="5.7638888887595385E-2"/>
    <s v="12 min"/>
    <x v="0"/>
    <s v="Orlando"/>
    <s v="Kissimmee"/>
    <x v="104"/>
    <x v="0"/>
    <x v="1"/>
  </r>
  <r>
    <n v="42456.646527777775"/>
    <n v="42456"/>
    <x v="2"/>
    <x v="5"/>
    <s v="03:31:00 PM"/>
    <n v="42456.663888888892"/>
    <n v="0.66388888889196096"/>
    <s v="25 min"/>
    <x v="0"/>
    <s v="Kissimmee"/>
    <s v="Orlando"/>
    <x v="59"/>
    <x v="4"/>
    <x v="2"/>
  </r>
  <r>
    <n v="42456.893055555556"/>
    <n v="42456"/>
    <x v="2"/>
    <x v="5"/>
    <s v="09:26:00 PM"/>
    <n v="42456.90347222222"/>
    <n v="0.90347222222044365"/>
    <s v="15 min"/>
    <x v="1"/>
    <s v="Orlando"/>
    <s v="Orlando"/>
    <x v="136"/>
    <x v="1"/>
    <x v="0"/>
  </r>
  <r>
    <n v="42456.961111111108"/>
    <n v="42456"/>
    <x v="2"/>
    <x v="5"/>
    <s v="11:04:00 PM"/>
    <n v="42456.970833333333"/>
    <n v="0.97083333333284827"/>
    <s v="14 min"/>
    <x v="1"/>
    <s v="Orlando"/>
    <s v="Kissimmee"/>
    <x v="84"/>
    <x v="1"/>
    <x v="0"/>
  </r>
  <r>
    <n v="42457.520138888889"/>
    <n v="42457"/>
    <x v="2"/>
    <x v="6"/>
    <s v="12:29:00 PM"/>
    <n v="42457.529166666667"/>
    <n v="0.52916666666715173"/>
    <s v="13 min"/>
    <x v="1"/>
    <s v="Kissimmee"/>
    <s v="Orlando"/>
    <x v="78"/>
    <x v="1"/>
    <x v="3"/>
  </r>
  <r>
    <n v="42457.8125"/>
    <n v="42457"/>
    <x v="2"/>
    <x v="6"/>
    <s v="07:30:00 PM"/>
    <n v="42457.849305555559"/>
    <n v="0.84930555555911269"/>
    <s v="53 min"/>
    <x v="1"/>
    <s v="Couples Glen"/>
    <s v="Vista East"/>
    <x v="137"/>
    <x v="1"/>
    <x v="0"/>
  </r>
  <r>
    <n v="42457.954861111109"/>
    <n v="42457"/>
    <x v="2"/>
    <x v="6"/>
    <s v="10:55:00 PM"/>
    <n v="42457.976388888892"/>
    <n v="0.97638888889196096"/>
    <s v="31 min"/>
    <x v="1"/>
    <s v="Orlando"/>
    <s v="Kissimmee"/>
    <x v="138"/>
    <x v="1"/>
    <x v="0"/>
  </r>
  <r>
    <n v="42458.643750000003"/>
    <n v="42458"/>
    <x v="2"/>
    <x v="2"/>
    <s v="03:27:00 PM"/>
    <n v="42458.674305555556"/>
    <n v="0.67430555555620231"/>
    <s v="44 min"/>
    <x v="1"/>
    <s v="Kissimmee"/>
    <s v="Orlando"/>
    <x v="87"/>
    <x v="1"/>
    <x v="2"/>
  </r>
  <r>
    <n v="42458.763888888891"/>
    <n v="42458"/>
    <x v="2"/>
    <x v="2"/>
    <s v="06:20:00 PM"/>
    <n v="42458.777083333334"/>
    <n v="0.77708333333430346"/>
    <s v="19 min"/>
    <x v="1"/>
    <s v="Sand Lake Commons"/>
    <s v="Sky Lake"/>
    <x v="12"/>
    <x v="1"/>
    <x v="2"/>
  </r>
  <r>
    <n v="42458.853472222225"/>
    <n v="42458"/>
    <x v="2"/>
    <x v="2"/>
    <s v="08:29:00 PM"/>
    <n v="42458.863888888889"/>
    <n v="0.86388888888905058"/>
    <s v="15 min"/>
    <x v="1"/>
    <s v="Sky Lake"/>
    <s v="Sand Lake Commons"/>
    <x v="51"/>
    <x v="1"/>
    <x v="0"/>
  </r>
  <r>
    <n v="42458.961111111108"/>
    <n v="42458"/>
    <x v="2"/>
    <x v="2"/>
    <s v="11:04:00 PM"/>
    <n v="42458.972916666666"/>
    <n v="0.97291666666569654"/>
    <s v="17 min"/>
    <x v="1"/>
    <s v="Orlando"/>
    <s v="Kissimmee"/>
    <x v="139"/>
    <x v="1"/>
    <x v="0"/>
  </r>
  <r>
    <n v="42459.920138888891"/>
    <n v="42459"/>
    <x v="2"/>
    <x v="3"/>
    <s v="10:05:00 PM"/>
    <n v="42459.954861111109"/>
    <n v="0.95486111110949423"/>
    <s v="50 min"/>
    <x v="0"/>
    <s v="Orlando"/>
    <s v="Kissimmee"/>
    <x v="140"/>
    <x v="0"/>
    <x v="0"/>
  </r>
  <r>
    <n v="42460.532638888886"/>
    <n v="42460"/>
    <x v="2"/>
    <x v="4"/>
    <s v="12:47:00 PM"/>
    <n v="42460.556944444441"/>
    <n v="0.55694444444088731"/>
    <s v="35 min"/>
    <x v="0"/>
    <s v="Kissimmee"/>
    <s v="Orlando"/>
    <x v="141"/>
    <x v="5"/>
    <x v="3"/>
  </r>
  <r>
    <n v="42460.609027777777"/>
    <n v="42460"/>
    <x v="2"/>
    <x v="4"/>
    <s v="02:37:00 PM"/>
    <n v="42460.631249999999"/>
    <n v="0.63124999999854481"/>
    <s v="32 min"/>
    <x v="0"/>
    <s v="Orlando"/>
    <s v="Kissimmee"/>
    <x v="142"/>
    <x v="0"/>
    <x v="3"/>
  </r>
  <r>
    <n v="42461.571527777778"/>
    <n v="42461"/>
    <x v="3"/>
    <x v="0"/>
    <s v="01:43:00 PM"/>
    <n v="42461.584027777775"/>
    <n v="0.58402777777519077"/>
    <s v="18 min"/>
    <x v="0"/>
    <s v="Kissimmee"/>
    <s v="Kissimmee"/>
    <x v="143"/>
    <x v="3"/>
    <x v="3"/>
  </r>
  <r>
    <n v="42461.60833333333"/>
    <n v="42461"/>
    <x v="3"/>
    <x v="0"/>
    <s v="02:36:00 PM"/>
    <n v="42461.64166666667"/>
    <n v="0.64166666667006211"/>
    <s v="48 min"/>
    <x v="0"/>
    <s v="Kissimmee"/>
    <s v="Orlando"/>
    <x v="120"/>
    <x v="4"/>
    <x v="3"/>
  </r>
  <r>
    <n v="42461.667361111111"/>
    <n v="42461"/>
    <x v="3"/>
    <x v="0"/>
    <s v="04:01:00 PM"/>
    <n v="42461.700694444444"/>
    <n v="0.70069444444379769"/>
    <s v="48 min"/>
    <x v="0"/>
    <s v="Orlando"/>
    <s v="Kissimmee"/>
    <x v="144"/>
    <x v="3"/>
    <x v="2"/>
  </r>
  <r>
    <n v="42461.702777777777"/>
    <n v="42461"/>
    <x v="3"/>
    <x v="0"/>
    <s v="04:52:00 PM"/>
    <n v="42461.706250000003"/>
    <n v="0.70625000000291038"/>
    <s v="5 min"/>
    <x v="1"/>
    <s v="Kissimmee"/>
    <s v="Kissimmee"/>
    <x v="145"/>
    <x v="1"/>
    <x v="2"/>
  </r>
  <r>
    <n v="42462.366666666669"/>
    <n v="42462"/>
    <x v="3"/>
    <x v="1"/>
    <s v="08:48:00 AM"/>
    <n v="42462.37777777778"/>
    <n v="0.37777777777955635"/>
    <s v="16 min"/>
    <x v="1"/>
    <s v="Kissimmee"/>
    <s v="Kissimmee"/>
    <x v="47"/>
    <x v="1"/>
    <x v="1"/>
  </r>
  <r>
    <n v="42462.459027777775"/>
    <n v="42462"/>
    <x v="3"/>
    <x v="1"/>
    <s v="11:01:00 AM"/>
    <n v="42462.469444444447"/>
    <n v="0.46944444444670808"/>
    <s v="15 min"/>
    <x v="1"/>
    <s v="Kissimmee"/>
    <s v="Kissimmee"/>
    <x v="0"/>
    <x v="1"/>
    <x v="3"/>
  </r>
  <r>
    <n v="42462.51458333333"/>
    <n v="42462"/>
    <x v="3"/>
    <x v="1"/>
    <s v="12:21:00 PM"/>
    <n v="42462.615972222222"/>
    <n v="0.61597222222189885"/>
    <s v="146 min"/>
    <x v="0"/>
    <s v="Kissimmee"/>
    <s v="Daytona Beach"/>
    <x v="146"/>
    <x v="4"/>
    <x v="3"/>
  </r>
  <r>
    <n v="42462.706250000003"/>
    <n v="42462"/>
    <x v="3"/>
    <x v="1"/>
    <s v="04:57:00 PM"/>
    <n v="42462.756249999999"/>
    <n v="0.75624999999854481"/>
    <s v="72 min"/>
    <x v="0"/>
    <s v="Daytona Beach"/>
    <s v="Jacksonville"/>
    <x v="147"/>
    <x v="4"/>
    <x v="2"/>
  </r>
  <r>
    <n v="42462.818055555559"/>
    <n v="42462"/>
    <x v="3"/>
    <x v="1"/>
    <s v="07:38:00 PM"/>
    <n v="42462.941666666666"/>
    <n v="0.94166666666569654"/>
    <s v="178 min"/>
    <x v="0"/>
    <s v="Jacksonville"/>
    <s v="Ridgeland"/>
    <x v="148"/>
    <x v="4"/>
    <x v="0"/>
  </r>
  <r>
    <n v="42462.96597222222"/>
    <n v="42462"/>
    <x v="3"/>
    <x v="1"/>
    <s v="11:11:00 PM"/>
    <n v="42463.06527777778"/>
    <n v="6.5277777779556345E-2"/>
    <s v="143 min"/>
    <x v="0"/>
    <s v="Ridgeland"/>
    <s v="Florence"/>
    <x v="132"/>
    <x v="3"/>
    <x v="0"/>
  </r>
  <r>
    <n v="42463.083333333336"/>
    <n v="42463"/>
    <x v="3"/>
    <x v="5"/>
    <s v="02:00:00 AM"/>
    <n v="42463.177777777775"/>
    <n v="0.17777777777519077"/>
    <s v="136 min"/>
    <x v="0"/>
    <s v="Florence"/>
    <s v="Cary"/>
    <x v="149"/>
    <x v="3"/>
    <x v="1"/>
  </r>
  <r>
    <n v="42465.902083333334"/>
    <n v="42465"/>
    <x v="3"/>
    <x v="2"/>
    <s v="09:39:00 PM"/>
    <n v="42465.913194444445"/>
    <n v="0.91319444444525288"/>
    <s v="16 min"/>
    <x v="0"/>
    <s v="Whitebridge"/>
    <s v="Wayne Ridge"/>
    <x v="150"/>
    <x v="0"/>
    <x v="0"/>
  </r>
  <r>
    <n v="42466.013194444444"/>
    <n v="42466"/>
    <x v="3"/>
    <x v="3"/>
    <s v="12:19:00 AM"/>
    <n v="42466.027083333334"/>
    <n v="2.7083333334303461E-2"/>
    <s v="20 min"/>
    <x v="0"/>
    <s v="Wayne Ridge"/>
    <s v="Whitebridge"/>
    <x v="26"/>
    <x v="0"/>
    <x v="1"/>
  </r>
  <r>
    <n v="42467.763888888891"/>
    <n v="42467"/>
    <x v="3"/>
    <x v="4"/>
    <s v="06:20:00 PM"/>
    <n v="42467.777083333334"/>
    <n v="0.77708333333430346"/>
    <s v="19 min"/>
    <x v="0"/>
    <s v="Cary"/>
    <s v="Morrisville"/>
    <x v="59"/>
    <x v="0"/>
    <x v="2"/>
  </r>
  <r>
    <n v="42467.822916666664"/>
    <n v="42467"/>
    <x v="3"/>
    <x v="4"/>
    <s v="07:45:00 PM"/>
    <n v="42467.833333333336"/>
    <n v="0.83333333333575865"/>
    <s v="15 min"/>
    <x v="0"/>
    <s v="Morrisville"/>
    <s v="Cary"/>
    <x v="59"/>
    <x v="2"/>
    <x v="0"/>
  </r>
  <r>
    <n v="42468.520833333336"/>
    <n v="42468"/>
    <x v="3"/>
    <x v="0"/>
    <s v="12:30:00 PM"/>
    <n v="42468.533333333333"/>
    <n v="0.53333333333284827"/>
    <s v="18 min"/>
    <x v="0"/>
    <s v="Cary"/>
    <s v="Durham"/>
    <x v="116"/>
    <x v="3"/>
    <x v="3"/>
  </r>
  <r>
    <n v="42468.56527777778"/>
    <n v="42468"/>
    <x v="3"/>
    <x v="0"/>
    <s v="01:34:00 PM"/>
    <n v="42468.57708333333"/>
    <n v="0.57708333332993789"/>
    <s v="17 min"/>
    <x v="0"/>
    <s v="Durham"/>
    <s v="Cary"/>
    <x v="151"/>
    <x v="0"/>
    <x v="3"/>
  </r>
  <r>
    <n v="42468.579861111109"/>
    <n v="42468"/>
    <x v="3"/>
    <x v="0"/>
    <s v="01:55:00 PM"/>
    <n v="42468.585416666669"/>
    <n v="0.58541666666860692"/>
    <s v="8 min"/>
    <x v="0"/>
    <s v="Westpark Place"/>
    <s v="Whitebridge"/>
    <x v="18"/>
    <x v="2"/>
    <x v="3"/>
  </r>
  <r>
    <n v="42468.613194444442"/>
    <n v="42468"/>
    <x v="3"/>
    <x v="0"/>
    <s v="02:43:00 PM"/>
    <n v="42468.638888888891"/>
    <n v="0.63888888889050577"/>
    <s v="37 min"/>
    <x v="0"/>
    <s v="Cary"/>
    <s v="Raleigh"/>
    <x v="152"/>
    <x v="3"/>
    <x v="3"/>
  </r>
  <r>
    <n v="42468.670138888891"/>
    <n v="42468"/>
    <x v="3"/>
    <x v="0"/>
    <s v="04:05:00 PM"/>
    <n v="42468.699305555558"/>
    <n v="0.6993055555576575"/>
    <s v="42 min"/>
    <x v="0"/>
    <s v="Raleigh"/>
    <s v="Cary"/>
    <x v="153"/>
    <x v="3"/>
    <x v="2"/>
  </r>
  <r>
    <n v="42472.385416666664"/>
    <n v="42472"/>
    <x v="3"/>
    <x v="2"/>
    <s v="09:15:00 AM"/>
    <n v="42472.393055555556"/>
    <n v="0.39305555555620231"/>
    <s v="11 min"/>
    <x v="0"/>
    <s v="Whitebridge"/>
    <s v="Edgehill Farms"/>
    <x v="109"/>
    <x v="2"/>
    <x v="1"/>
  </r>
  <r>
    <n v="42472.398611111108"/>
    <n v="42472"/>
    <x v="3"/>
    <x v="2"/>
    <s v="09:34:00 AM"/>
    <n v="42472.411805555559"/>
    <n v="0.41180555555911269"/>
    <s v="19 min"/>
    <x v="0"/>
    <s v="Cary"/>
    <s v="Raleigh"/>
    <x v="71"/>
    <x v="3"/>
    <x v="1"/>
  </r>
  <r>
    <n v="42472.456944444442"/>
    <n v="42472"/>
    <x v="3"/>
    <x v="2"/>
    <s v="10:58:00 AM"/>
    <n v="42472.470833333333"/>
    <n v="0.47083333333284827"/>
    <s v="20 min"/>
    <x v="0"/>
    <s v="Meredith"/>
    <s v="Cedar Hill"/>
    <x v="11"/>
    <x v="4"/>
    <x v="3"/>
  </r>
  <r>
    <n v="42472.515277777777"/>
    <n v="42472"/>
    <x v="3"/>
    <x v="2"/>
    <s v="12:22:00 PM"/>
    <n v="42472.530555555553"/>
    <n v="0.53055555555329192"/>
    <s v="22 min"/>
    <x v="0"/>
    <s v="Raleigh"/>
    <s v="Morrisville"/>
    <x v="154"/>
    <x v="3"/>
    <x v="3"/>
  </r>
  <r>
    <n v="42472.570833333331"/>
    <n v="42472"/>
    <x v="3"/>
    <x v="2"/>
    <s v="01:42:00 PM"/>
    <n v="42472.584027777775"/>
    <n v="0.58402777777519077"/>
    <s v="19 min"/>
    <x v="0"/>
    <s v="Morrisville"/>
    <s v="Cary"/>
    <x v="107"/>
    <x v="0"/>
    <x v="3"/>
  </r>
  <r>
    <n v="42474.311805555553"/>
    <n v="42474"/>
    <x v="3"/>
    <x v="4"/>
    <s v="07:29:00 AM"/>
    <n v="42474.339583333334"/>
    <n v="0.33958333333430346"/>
    <s v="40 min"/>
    <x v="0"/>
    <s v="Cary"/>
    <s v="Holly Springs"/>
    <x v="155"/>
    <x v="5"/>
    <x v="1"/>
  </r>
  <r>
    <n v="42474.666666666664"/>
    <n v="42474"/>
    <x v="3"/>
    <x v="4"/>
    <s v="04:00:00 PM"/>
    <n v="42474.696527777778"/>
    <n v="0.69652777777810115"/>
    <s v="43 min"/>
    <x v="0"/>
    <s v="Holly Springs"/>
    <s v="Cary"/>
    <x v="156"/>
    <x v="5"/>
    <x v="2"/>
  </r>
  <r>
    <n v="42475.48333333333"/>
    <n v="42475"/>
    <x v="3"/>
    <x v="0"/>
    <s v="11:36:00 AM"/>
    <n v="42475.504861111112"/>
    <n v="0.50486111111240461"/>
    <s v="31 min"/>
    <x v="0"/>
    <s v="Cary"/>
    <s v="Raleigh"/>
    <x v="113"/>
    <x v="5"/>
    <x v="3"/>
  </r>
  <r>
    <n v="42475.520138888889"/>
    <n v="42475"/>
    <x v="3"/>
    <x v="0"/>
    <s v="12:29:00 PM"/>
    <n v="42475.522222222222"/>
    <n v="0.52222222222189885"/>
    <s v="3 min"/>
    <x v="0"/>
    <s v="Meredith Townes"/>
    <s v="Harden Place"/>
    <x v="34"/>
    <x v="2"/>
    <x v="3"/>
  </r>
  <r>
    <n v="42475.604861111111"/>
    <n v="42475"/>
    <x v="3"/>
    <x v="0"/>
    <s v="02:31:00 PM"/>
    <n v="42475.625694444447"/>
    <n v="0.62569444444670808"/>
    <s v="30 min"/>
    <x v="0"/>
    <s v="Raleigh"/>
    <s v="Cary"/>
    <x v="157"/>
    <x v="3"/>
    <x v="3"/>
  </r>
  <r>
    <n v="42476.540972222225"/>
    <n v="42476"/>
    <x v="3"/>
    <x v="1"/>
    <s v="12:59:00 PM"/>
    <n v="42476.553472222222"/>
    <n v="0.55347222222189885"/>
    <s v="18 min"/>
    <x v="0"/>
    <s v="Cary"/>
    <s v="Morrisville"/>
    <x v="51"/>
    <x v="2"/>
    <x v="3"/>
  </r>
  <r>
    <n v="42476.631944444445"/>
    <n v="42476"/>
    <x v="3"/>
    <x v="1"/>
    <s v="03:10:00 PM"/>
    <n v="42476.643055555556"/>
    <n v="0.64305555555620231"/>
    <s v="16 min"/>
    <x v="0"/>
    <s v="Morrisville"/>
    <s v="Cary"/>
    <x v="59"/>
    <x v="0"/>
    <x v="2"/>
  </r>
  <r>
    <n v="42479.738888888889"/>
    <n v="42479"/>
    <x v="3"/>
    <x v="2"/>
    <s v="05:44:00 PM"/>
    <n v="42479.755555555559"/>
    <n v="0.75555555555911269"/>
    <s v="24 min"/>
    <x v="0"/>
    <s v="Whitebridge"/>
    <s v="Wayne Ridge"/>
    <x v="158"/>
    <x v="0"/>
    <x v="2"/>
  </r>
  <r>
    <n v="42479.831250000003"/>
    <n v="42479"/>
    <x v="3"/>
    <x v="2"/>
    <s v="07:57:00 PM"/>
    <n v="42479.84652777778"/>
    <n v="0.84652777777955635"/>
    <s v="22 min"/>
    <x v="0"/>
    <s v="Wayne Ridge"/>
    <s v="Whitebridge"/>
    <x v="26"/>
    <x v="0"/>
    <x v="0"/>
  </r>
  <r>
    <n v="42482.350694444445"/>
    <n v="42482"/>
    <x v="3"/>
    <x v="0"/>
    <s v="08:25:00 AM"/>
    <n v="42482.37777777778"/>
    <n v="0.37777777777955635"/>
    <s v="39 min"/>
    <x v="0"/>
    <s v="Cary"/>
    <s v="Raleigh"/>
    <x v="87"/>
    <x v="3"/>
    <x v="1"/>
  </r>
  <r>
    <n v="42482.423611111109"/>
    <n v="42482"/>
    <x v="3"/>
    <x v="0"/>
    <s v="10:10:00 AM"/>
    <n v="42482.444444444445"/>
    <n v="0.44444444444525288"/>
    <s v="30 min"/>
    <x v="0"/>
    <s v="Raleigh"/>
    <s v="Cary"/>
    <x v="159"/>
    <x v="3"/>
    <x v="3"/>
  </r>
  <r>
    <n v="42482.505555555559"/>
    <n v="42482"/>
    <x v="3"/>
    <x v="0"/>
    <s v="12:08:00 PM"/>
    <n v="42482.519444444442"/>
    <n v="0.5194444444423425"/>
    <s v="20 min"/>
    <x v="0"/>
    <s v="Cary"/>
    <s v="Durham"/>
    <x v="27"/>
    <x v="3"/>
    <x v="3"/>
  </r>
  <r>
    <n v="42482.543055555558"/>
    <n v="42482"/>
    <x v="3"/>
    <x v="0"/>
    <s v="01:02:00 PM"/>
    <n v="42482.55972222222"/>
    <n v="0.55972222222044365"/>
    <s v="24 min"/>
    <x v="0"/>
    <s v="Durham"/>
    <s v="Cary"/>
    <x v="82"/>
    <x v="3"/>
    <x v="3"/>
  </r>
  <r>
    <n v="42483.710416666669"/>
    <n v="42483"/>
    <x v="3"/>
    <x v="1"/>
    <s v="05:03:00 PM"/>
    <n v="42483.719444444447"/>
    <n v="0.71944444444670808"/>
    <s v="13 min"/>
    <x v="0"/>
    <s v="Whitebridge"/>
    <s v="Tanglewood"/>
    <x v="51"/>
    <x v="0"/>
    <x v="2"/>
  </r>
  <r>
    <n v="42483.78402777778"/>
    <n v="42483"/>
    <x v="3"/>
    <x v="1"/>
    <s v="06:49:00 PM"/>
    <n v="42483.795138888891"/>
    <n v="0.79513888889050577"/>
    <s v="16 min"/>
    <x v="0"/>
    <s v="Tanglewood"/>
    <s v="Whitebridge"/>
    <x v="107"/>
    <x v="0"/>
    <x v="2"/>
  </r>
  <r>
    <n v="42484.796527777777"/>
    <n v="42484"/>
    <x v="3"/>
    <x v="5"/>
    <s v="07:07:00 PM"/>
    <n v="42484.802777777775"/>
    <n v="0.80277777777519077"/>
    <s v="9 min"/>
    <x v="0"/>
    <s v="Cary"/>
    <s v="Morrisville"/>
    <x v="97"/>
    <x v="2"/>
    <x v="0"/>
  </r>
  <r>
    <n v="42484.823611111111"/>
    <n v="42484"/>
    <x v="3"/>
    <x v="5"/>
    <s v="07:46:00 PM"/>
    <n v="42484.827777777777"/>
    <n v="0.82777777777664596"/>
    <s v="6 min"/>
    <x v="0"/>
    <s v="Chessington"/>
    <s v="Chessington"/>
    <x v="16"/>
    <x v="2"/>
    <x v="0"/>
  </r>
  <r>
    <n v="42484.90347222222"/>
    <n v="42484"/>
    <x v="3"/>
    <x v="5"/>
    <s v="09:41:00 PM"/>
    <n v="42484.909722222219"/>
    <n v="0.90972222221898846"/>
    <s v="9 min"/>
    <x v="0"/>
    <s v="Morrisville"/>
    <s v="Cary"/>
    <x v="86"/>
    <x v="6"/>
    <x v="0"/>
  </r>
  <r>
    <n v="42487.5625"/>
    <n v="42487"/>
    <x v="3"/>
    <x v="3"/>
    <s v="01:30:00 PM"/>
    <n v="42487.569444444445"/>
    <n v="0.56944444444525288"/>
    <s v="10 min"/>
    <x v="0"/>
    <s v="Whitebridge"/>
    <s v="Burtrose"/>
    <x v="106"/>
    <x v="6"/>
    <x v="3"/>
  </r>
  <r>
    <n v="42487.592361111114"/>
    <n v="42487"/>
    <x v="3"/>
    <x v="3"/>
    <s v="02:13:00 PM"/>
    <n v="42487.600694444445"/>
    <n v="0.60069444444525288"/>
    <s v="12 min"/>
    <x v="0"/>
    <s v="Burtrose"/>
    <s v="Whitebridge"/>
    <x v="2"/>
    <x v="6"/>
    <x v="3"/>
  </r>
  <r>
    <n v="42488.506249999999"/>
    <n v="42488"/>
    <x v="3"/>
    <x v="4"/>
    <s v="12:09:00 PM"/>
    <n v="42488.523611111108"/>
    <n v="0.52361111110803904"/>
    <s v="25 min"/>
    <x v="0"/>
    <s v="Cary"/>
    <s v="Raleigh"/>
    <x v="110"/>
    <x v="4"/>
    <x v="3"/>
  </r>
  <r>
    <n v="42488.5625"/>
    <n v="42488"/>
    <x v="3"/>
    <x v="4"/>
    <s v="01:30:00 PM"/>
    <n v="42488.575694444444"/>
    <n v="0.57569444444379769"/>
    <s v="19 min"/>
    <x v="0"/>
    <s v="Raleigh"/>
    <s v="Cary"/>
    <x v="160"/>
    <x v="4"/>
    <x v="3"/>
  </r>
  <r>
    <n v="42488.923611111109"/>
    <n v="42488"/>
    <x v="3"/>
    <x v="4"/>
    <s v="10:10:00 PM"/>
    <n v="42488.936111111114"/>
    <n v="0.93611111111385981"/>
    <s v="18 min"/>
    <x v="0"/>
    <s v="Morrisville"/>
    <s v="Cary"/>
    <x v="47"/>
    <x v="4"/>
    <x v="0"/>
  </r>
  <r>
    <n v="42489.488888888889"/>
    <n v="42489"/>
    <x v="3"/>
    <x v="0"/>
    <s v="11:44:00 AM"/>
    <n v="42489.500694444447"/>
    <n v="0.50069444444670808"/>
    <s v="17 min"/>
    <x v="0"/>
    <s v="Cary"/>
    <s v="Durham"/>
    <x v="100"/>
    <x v="3"/>
    <x v="3"/>
  </r>
  <r>
    <n v="42489.550694444442"/>
    <n v="42489"/>
    <x v="3"/>
    <x v="0"/>
    <s v="01:13:00 PM"/>
    <n v="42489.56527777778"/>
    <n v="0.56527777777955635"/>
    <s v="21 min"/>
    <x v="0"/>
    <s v="Durham"/>
    <s v="Cary"/>
    <x v="82"/>
    <x v="3"/>
    <x v="3"/>
  </r>
  <r>
    <n v="42489.781944444447"/>
    <n v="42489"/>
    <x v="3"/>
    <x v="0"/>
    <s v="06:46:00 PM"/>
    <n v="42489.804166666669"/>
    <n v="0.80416666666860692"/>
    <s v="32 min"/>
    <x v="0"/>
    <s v="Cary"/>
    <s v="Durham"/>
    <x v="161"/>
    <x v="4"/>
    <x v="2"/>
  </r>
  <r>
    <n v="42489.947222222225"/>
    <n v="42489"/>
    <x v="3"/>
    <x v="0"/>
    <s v="10:44:00 PM"/>
    <n v="42489.97152777778"/>
    <n v="0.97152777777955635"/>
    <s v="35 min"/>
    <x v="0"/>
    <s v="Durham"/>
    <s v="Cary"/>
    <x v="162"/>
    <x v="3"/>
    <x v="0"/>
  </r>
  <r>
    <n v="42490.779166666667"/>
    <n v="42490"/>
    <x v="3"/>
    <x v="1"/>
    <s v="06:42:00 PM"/>
    <n v="42490.789583333331"/>
    <n v="0.78958333333139308"/>
    <s v="15 min"/>
    <x v="0"/>
    <s v="Whitebridge"/>
    <s v="Waverly Place"/>
    <x v="55"/>
    <x v="0"/>
    <x v="2"/>
  </r>
  <r>
    <n v="42490.927777777775"/>
    <n v="42490"/>
    <x v="3"/>
    <x v="1"/>
    <s v="10:16:00 PM"/>
    <n v="42490.94027777778"/>
    <n v="0.94027777777955635"/>
    <s v="18 min"/>
    <x v="0"/>
    <s v="Waverly Place"/>
    <s v="Whitebridge"/>
    <x v="101"/>
    <x v="1"/>
    <x v="0"/>
  </r>
  <r>
    <n v="42491.572916666664"/>
    <n v="42491"/>
    <x v="4"/>
    <x v="5"/>
    <s v="01:45:00 PM"/>
    <n v="42491.578472222223"/>
    <n v="0.57847222222335404"/>
    <s v="8 min"/>
    <x v="0"/>
    <s v="Whitebridge"/>
    <s v="Westpark Place"/>
    <x v="102"/>
    <x v="0"/>
    <x v="3"/>
  </r>
  <r>
    <n v="42491.601388888892"/>
    <n v="42491"/>
    <x v="4"/>
    <x v="5"/>
    <s v="02:26:00 PM"/>
    <n v="42491.604861111111"/>
    <n v="0.60486111111094942"/>
    <s v="5 min"/>
    <x v="0"/>
    <s v="Westpark Place"/>
    <s v="Whitebridge"/>
    <x v="33"/>
    <x v="1"/>
    <x v="3"/>
  </r>
  <r>
    <n v="42491.731249999997"/>
    <n v="42491"/>
    <x v="4"/>
    <x v="5"/>
    <s v="05:33:00 PM"/>
    <n v="42491.739583333336"/>
    <n v="0.73958333333575865"/>
    <s v="12 min"/>
    <x v="0"/>
    <s v="Whitebridge"/>
    <s v="Tanglewood"/>
    <x v="12"/>
    <x v="6"/>
    <x v="2"/>
  </r>
  <r>
    <n v="42491.745833333334"/>
    <n v="42491"/>
    <x v="4"/>
    <x v="5"/>
    <s v="05:54:00 PM"/>
    <n v="42491.756944444445"/>
    <n v="0.75694444444525288"/>
    <s v="16 min"/>
    <x v="0"/>
    <s v="Tanglewood"/>
    <s v="Parkway"/>
    <x v="11"/>
    <x v="3"/>
    <x v="2"/>
  </r>
  <r>
    <n v="42491.943055555559"/>
    <n v="42491"/>
    <x v="4"/>
    <x v="5"/>
    <s v="10:38:00 PM"/>
    <n v="42491.950694444444"/>
    <n v="0.95069444444379769"/>
    <s v="11 min"/>
    <x v="0"/>
    <s v="Parkway"/>
    <s v="Whitebridge"/>
    <x v="97"/>
    <x v="2"/>
    <x v="0"/>
  </r>
  <r>
    <n v="42492.593055555553"/>
    <n v="42492"/>
    <x v="4"/>
    <x v="6"/>
    <s v="02:14:00 PM"/>
    <n v="42492.597916666666"/>
    <n v="0.59791666666569654"/>
    <s v="7 min"/>
    <x v="0"/>
    <s v="Whitebridge"/>
    <s v="Westpark Place"/>
    <x v="95"/>
    <x v="2"/>
    <x v="3"/>
  </r>
  <r>
    <n v="42492.650694444441"/>
    <n v="42492"/>
    <x v="4"/>
    <x v="6"/>
    <s v="03:37:00 PM"/>
    <n v="42492.658333333333"/>
    <n v="0.65833333333284827"/>
    <s v="11 min"/>
    <x v="0"/>
    <s v="Westpark Place"/>
    <s v="Whitebridge"/>
    <x v="25"/>
    <x v="0"/>
    <x v="2"/>
  </r>
  <r>
    <n v="42493.930555555555"/>
    <n v="42493"/>
    <x v="4"/>
    <x v="2"/>
    <s v="10:20:00 PM"/>
    <n v="42493.936111111114"/>
    <n v="0.93611111111385981"/>
    <s v="8 min"/>
    <x v="0"/>
    <s v="Morrisville"/>
    <s v="Cary"/>
    <x v="88"/>
    <x v="0"/>
    <x v="0"/>
  </r>
  <r>
    <n v="42494.636111111111"/>
    <n v="42494"/>
    <x v="4"/>
    <x v="3"/>
    <s v="03:16:00 PM"/>
    <n v="42494.650694444441"/>
    <n v="0.65069444444088731"/>
    <s v="21 min"/>
    <x v="0"/>
    <s v="Cary"/>
    <s v="Morrisville"/>
    <x v="151"/>
    <x v="0"/>
    <x v="2"/>
  </r>
  <r>
    <n v="42494.871527777781"/>
    <n v="42494"/>
    <x v="4"/>
    <x v="3"/>
    <s v="08:55:00 PM"/>
    <n v="42494.884722222225"/>
    <n v="0.88472222222480923"/>
    <s v="19 min"/>
    <x v="0"/>
    <s v="Mcvan"/>
    <s v="Capitol One"/>
    <x v="92"/>
    <x v="2"/>
    <x v="0"/>
  </r>
  <r>
    <n v="42494.895833333336"/>
    <n v="42494"/>
    <x v="4"/>
    <x v="3"/>
    <s v="09:30:00 PM"/>
    <n v="42494.9"/>
    <n v="0.90000000000145519"/>
    <s v="6 min"/>
    <x v="0"/>
    <s v="Capitol One"/>
    <s v="University District"/>
    <x v="77"/>
    <x v="0"/>
    <x v="0"/>
  </r>
  <r>
    <n v="42494.929861111108"/>
    <n v="42494"/>
    <x v="4"/>
    <x v="3"/>
    <s v="10:19:00 PM"/>
    <n v="42494.935416666667"/>
    <n v="0.93541666666715173"/>
    <s v="8 min"/>
    <x v="0"/>
    <s v="University District"/>
    <s v="Capitol One"/>
    <x v="1"/>
    <x v="0"/>
    <x v="0"/>
  </r>
  <r>
    <n v="42495.89166666667"/>
    <n v="42495"/>
    <x v="4"/>
    <x v="4"/>
    <s v="09:24:00 PM"/>
    <n v="42495.9"/>
    <n v="0.90000000000145519"/>
    <s v="12 min"/>
    <x v="0"/>
    <s v="Seattle"/>
    <s v="Redmond"/>
    <x v="161"/>
    <x v="0"/>
    <x v="0"/>
  </r>
  <r>
    <n v="42495.94027777778"/>
    <n v="42495"/>
    <x v="4"/>
    <x v="4"/>
    <s v="10:34:00 PM"/>
    <n v="42495.944444444445"/>
    <n v="0.94444444444525288"/>
    <s v="6 min"/>
    <x v="0"/>
    <s v="Redmond"/>
    <s v="Bellevue"/>
    <x v="163"/>
    <x v="2"/>
    <x v="0"/>
  </r>
  <r>
    <n v="42495.996527777781"/>
    <n v="42495"/>
    <x v="4"/>
    <x v="4"/>
    <s v="11:55:00 PM"/>
    <n v="42496.005555555559"/>
    <n v="5.5555555591126904E-3"/>
    <s v="13 min"/>
    <x v="0"/>
    <s v="Bellevue"/>
    <s v="Seattle"/>
    <x v="39"/>
    <x v="3"/>
    <x v="0"/>
  </r>
  <r>
    <n v="42496.240972222222"/>
    <n v="42496"/>
    <x v="4"/>
    <x v="0"/>
    <s v="05:47:00 AM"/>
    <n v="42496.251388888886"/>
    <n v="0.25138888888614019"/>
    <s v="15 min"/>
    <x v="0"/>
    <s v="Capitol One"/>
    <s v="Mcvan"/>
    <x v="89"/>
    <x v="3"/>
    <x v="1"/>
  </r>
  <r>
    <n v="42496.697916666664"/>
    <n v="42496"/>
    <x v="4"/>
    <x v="0"/>
    <s v="04:45:00 PM"/>
    <n v="42496.707638888889"/>
    <n v="0.70763888888905058"/>
    <s v="14 min"/>
    <x v="0"/>
    <s v="Chapel Hill"/>
    <s v="Morrisville"/>
    <x v="67"/>
    <x v="3"/>
    <x v="2"/>
  </r>
  <r>
    <n v="42496.720833333333"/>
    <n v="42496"/>
    <x v="4"/>
    <x v="0"/>
    <s v="05:18:00 PM"/>
    <n v="42496.738888888889"/>
    <n v="0.73888888888905058"/>
    <s v="26 min"/>
    <x v="0"/>
    <s v="Morrisville"/>
    <s v="Cary"/>
    <x v="150"/>
    <x v="4"/>
    <x v="2"/>
  </r>
  <r>
    <n v="42499.255555555559"/>
    <n v="42499"/>
    <x v="4"/>
    <x v="6"/>
    <s v="06:08:00 AM"/>
    <n v="42499.267361111109"/>
    <n v="0.26736111110949423"/>
    <s v="17 min"/>
    <x v="0"/>
    <s v="Cary"/>
    <s v="Morrisville"/>
    <x v="69"/>
    <x v="4"/>
    <x v="1"/>
  </r>
  <r>
    <n v="42499.61041666667"/>
    <n v="42499"/>
    <x v="4"/>
    <x v="6"/>
    <s v="02:39:00 PM"/>
    <n v="42499.629166666666"/>
    <n v="0.62916666666569654"/>
    <s v="27 min"/>
    <x v="0"/>
    <s v="San Francisco"/>
    <s v="Palo Alto"/>
    <x v="164"/>
    <x v="6"/>
    <x v="3"/>
  </r>
  <r>
    <n v="42499.748611111114"/>
    <n v="42499"/>
    <x v="4"/>
    <x v="6"/>
    <s v="05:58:00 PM"/>
    <n v="42499.768055555556"/>
    <n v="0.76805555555620231"/>
    <s v="28 min"/>
    <x v="0"/>
    <s v="Palo Alto"/>
    <s v="Sunnyvale"/>
    <x v="165"/>
    <x v="4"/>
    <x v="2"/>
  </r>
  <r>
    <n v="42499.815972222219"/>
    <n v="42499"/>
    <x v="4"/>
    <x v="6"/>
    <s v="07:35:00 PM"/>
    <n v="42499.832638888889"/>
    <n v="0.83263888888905058"/>
    <s v="24 min"/>
    <x v="0"/>
    <s v="Sunnyvale"/>
    <s v="Newark"/>
    <x v="166"/>
    <x v="4"/>
    <x v="0"/>
  </r>
  <r>
    <n v="42500.377083333333"/>
    <n v="42500"/>
    <x v="4"/>
    <x v="2"/>
    <s v="09:03:00 AM"/>
    <n v="42500.388888888891"/>
    <n v="0.38888888889050577"/>
    <s v="17 min"/>
    <x v="0"/>
    <s v="Newark"/>
    <s v="Menlo Park"/>
    <x v="167"/>
    <x v="4"/>
    <x v="1"/>
  </r>
  <r>
    <n v="42500.72152777778"/>
    <n v="42500"/>
    <x v="4"/>
    <x v="2"/>
    <s v="05:19:00 PM"/>
    <n v="42500.729861111111"/>
    <n v="0.72986111111094942"/>
    <s v="12 min"/>
    <x v="0"/>
    <s v="Menlo Park"/>
    <s v="Newark"/>
    <x v="150"/>
    <x v="4"/>
    <x v="2"/>
  </r>
  <r>
    <n v="42501.357638888891"/>
    <n v="42501"/>
    <x v="4"/>
    <x v="3"/>
    <s v="08:35:00 AM"/>
    <n v="42501.383333333331"/>
    <n v="0.38333333333139308"/>
    <s v="37 min"/>
    <x v="0"/>
    <s v="Newark"/>
    <s v="San Francisco"/>
    <x v="130"/>
    <x v="3"/>
    <x v="1"/>
  </r>
  <r>
    <n v="42501.907638888886"/>
    <n v="42501"/>
    <x v="4"/>
    <x v="3"/>
    <s v="09:47:00 PM"/>
    <n v="42501.919444444444"/>
    <n v="0.91944444444379769"/>
    <s v="17 min"/>
    <x v="0"/>
    <s v="Morrisville"/>
    <s v="Cary"/>
    <x v="72"/>
    <x v="3"/>
    <x v="0"/>
  </r>
  <r>
    <n v="42504.774305555555"/>
    <n v="42504"/>
    <x v="4"/>
    <x v="1"/>
    <s v="06:35:00 PM"/>
    <n v="42504.777083333334"/>
    <n v="0.77708333333430346"/>
    <s v="4 min"/>
    <x v="0"/>
    <s v="Cary"/>
    <s v="Morrisville"/>
    <x v="97"/>
    <x v="0"/>
    <x v="2"/>
  </r>
  <r>
    <n v="42504.959027777775"/>
    <n v="42504"/>
    <x v="4"/>
    <x v="1"/>
    <s v="11:01:00 PM"/>
    <n v="42504.961805555555"/>
    <n v="0.96180555555474712"/>
    <s v="4 min"/>
    <x v="0"/>
    <s v="Morrisville"/>
    <s v="Cary"/>
    <x v="97"/>
    <x v="0"/>
    <x v="0"/>
  </r>
  <r>
    <n v="42507.552083333336"/>
    <n v="42507"/>
    <x v="4"/>
    <x v="2"/>
    <s v="01:15:00 PM"/>
    <n v="42507.557638888888"/>
    <n v="0.55763888888759539"/>
    <s v="8 min"/>
    <x v="0"/>
    <s v="Whitebridge"/>
    <s v="Preston"/>
    <x v="109"/>
    <x v="2"/>
    <x v="3"/>
  </r>
  <r>
    <n v="42507.580555555556"/>
    <n v="42507"/>
    <x v="4"/>
    <x v="2"/>
    <s v="01:56:00 PM"/>
    <n v="42507.588888888888"/>
    <n v="0.58888888888759539"/>
    <s v="12 min"/>
    <x v="0"/>
    <s v="Preston"/>
    <s v="Westpark Place"/>
    <x v="38"/>
    <x v="2"/>
    <x v="3"/>
  </r>
  <r>
    <n v="42507.606944444444"/>
    <n v="42507"/>
    <x v="4"/>
    <x v="2"/>
    <s v="02:34:00 PM"/>
    <n v="42507.611111111109"/>
    <n v="0.61111111110949423"/>
    <s v="6 min"/>
    <x v="0"/>
    <s v="Westpark Place"/>
    <s v="Whitebridge"/>
    <x v="16"/>
    <x v="2"/>
    <x v="3"/>
  </r>
  <r>
    <n v="42508.382638888892"/>
    <n v="42508"/>
    <x v="4"/>
    <x v="3"/>
    <s v="09:11:00 AM"/>
    <n v="42508.40347222222"/>
    <n v="0.40347222222044365"/>
    <s v="30 min"/>
    <x v="0"/>
    <s v="Cary"/>
    <s v="Morrisville"/>
    <x v="69"/>
    <x v="4"/>
    <x v="1"/>
  </r>
  <r>
    <n v="42508.541666666664"/>
    <n v="42508"/>
    <x v="4"/>
    <x v="3"/>
    <s v="01:00:00 PM"/>
    <n v="42508.543055555558"/>
    <n v="0.5430555555576575"/>
    <s v="2 min"/>
    <x v="0"/>
    <s v="Morrisville"/>
    <s v="Raleigh"/>
    <x v="29"/>
    <x v="4"/>
    <x v="3"/>
  </r>
  <r>
    <n v="42509.609027777777"/>
    <n v="42509"/>
    <x v="4"/>
    <x v="4"/>
    <s v="02:37:00 PM"/>
    <n v="42509.625694444447"/>
    <n v="0.62569444444670808"/>
    <s v="24 min"/>
    <x v="0"/>
    <s v="Old City"/>
    <s v="Parkway Museums"/>
    <x v="163"/>
    <x v="0"/>
    <x v="3"/>
  </r>
  <r>
    <n v="42510.455555555556"/>
    <n v="42510"/>
    <x v="4"/>
    <x v="0"/>
    <s v="10:56:00 AM"/>
    <n v="42510.463194444441"/>
    <n v="0.46319444444088731"/>
    <s v="11 min"/>
    <x v="0"/>
    <s v="Old City"/>
    <s v="Hog Island"/>
    <x v="22"/>
    <x v="3"/>
    <x v="3"/>
  </r>
  <r>
    <n v="42510.654861111114"/>
    <n v="42510"/>
    <x v="4"/>
    <x v="0"/>
    <s v="03:43:00 PM"/>
    <n v="42510.675000000003"/>
    <n v="0.67500000000291038"/>
    <s v="29 min"/>
    <x v="0"/>
    <s v="Morrisville"/>
    <s v="Cary"/>
    <x v="158"/>
    <x v="0"/>
    <x v="2"/>
  </r>
  <r>
    <n v="42512.652083333334"/>
    <n v="42512"/>
    <x v="4"/>
    <x v="5"/>
    <s v="03:39:00 PM"/>
    <n v="42512.656944444447"/>
    <n v="0.65694444444670808"/>
    <s v="7 min"/>
    <x v="0"/>
    <s v="Cary"/>
    <s v="Morrisville"/>
    <x v="61"/>
    <x v="0"/>
    <x v="2"/>
  </r>
  <r>
    <n v="42512.781944444447"/>
    <n v="42512"/>
    <x v="4"/>
    <x v="5"/>
    <s v="06:46:00 PM"/>
    <n v="42512.786805555559"/>
    <n v="0.78680555555911269"/>
    <s v="7 min"/>
    <x v="0"/>
    <s v="Morrisville"/>
    <s v="Cary"/>
    <x v="88"/>
    <x v="0"/>
    <x v="2"/>
  </r>
  <r>
    <n v="42513.84652777778"/>
    <n v="42513"/>
    <x v="4"/>
    <x v="6"/>
    <s v="08:19:00 PM"/>
    <n v="42513.852083333331"/>
    <n v="0.85208333333139308"/>
    <s v="8 min"/>
    <x v="0"/>
    <s v="Whitebridge"/>
    <s v="Savon Height"/>
    <x v="78"/>
    <x v="0"/>
    <x v="0"/>
  </r>
  <r>
    <n v="42513.881249999999"/>
    <n v="42513"/>
    <x v="4"/>
    <x v="6"/>
    <s v="09:09:00 PM"/>
    <n v="42513.88958333333"/>
    <n v="0.88958333332993789"/>
    <s v="12 min"/>
    <x v="0"/>
    <s v="Savon Height"/>
    <s v="Whitebridge"/>
    <x v="78"/>
    <x v="2"/>
    <x v="0"/>
  </r>
  <r>
    <n v="42517.851388888892"/>
    <n v="42517"/>
    <x v="4"/>
    <x v="0"/>
    <s v="08:26:00 PM"/>
    <n v="42517.854166666664"/>
    <n v="0.85416666666424135"/>
    <s v="4 min"/>
    <x v="0"/>
    <s v="Whitebridge"/>
    <s v="Kildaire Farms"/>
    <x v="77"/>
    <x v="2"/>
    <x v="0"/>
  </r>
  <r>
    <n v="42517.865972222222"/>
    <n v="42517"/>
    <x v="4"/>
    <x v="0"/>
    <s v="08:47:00 PM"/>
    <n v="42517.870138888888"/>
    <n v="0.87013888888759539"/>
    <s v="6 min"/>
    <x v="0"/>
    <s v="Savon Height"/>
    <s v="Kilarney Woods"/>
    <x v="115"/>
    <x v="1"/>
    <x v="0"/>
  </r>
  <r>
    <n v="42517.924305555556"/>
    <n v="42517"/>
    <x v="4"/>
    <x v="0"/>
    <s v="10:11:00 PM"/>
    <n v="42517.926388888889"/>
    <n v="0.92638888888905058"/>
    <s v="3 min"/>
    <x v="0"/>
    <s v="Kilarney Woods"/>
    <s v="Kildaire Farms"/>
    <x v="15"/>
    <x v="2"/>
    <x v="0"/>
  </r>
  <r>
    <n v="42518.010416666664"/>
    <n v="42518"/>
    <x v="4"/>
    <x v="1"/>
    <s v="12:15:00 AM"/>
    <n v="42518.01458333333"/>
    <n v="1.4583333329937886E-2"/>
    <s v="6 min"/>
    <x v="0"/>
    <s v="Kilarney Woods"/>
    <s v="Whitebridge"/>
    <x v="3"/>
    <x v="2"/>
    <x v="1"/>
  </r>
  <r>
    <n v="42518.536111111112"/>
    <n v="42518"/>
    <x v="4"/>
    <x v="1"/>
    <s v="12:52:00 PM"/>
    <n v="42518.54583333333"/>
    <n v="0.54583333332993789"/>
    <s v="14 min"/>
    <x v="0"/>
    <s v="Cary"/>
    <s v="Morrisville"/>
    <x v="59"/>
    <x v="0"/>
    <x v="3"/>
  </r>
  <r>
    <n v="42518.607638888891"/>
    <n v="42518"/>
    <x v="4"/>
    <x v="1"/>
    <s v="02:35:00 PM"/>
    <n v="42518.62777777778"/>
    <n v="0.62777777777955635"/>
    <s v="29 min"/>
    <x v="0"/>
    <s v="Morrisville"/>
    <s v="Cary"/>
    <x v="168"/>
    <x v="4"/>
    <x v="3"/>
  </r>
  <r>
    <n v="42521.57916666667"/>
    <n v="42521"/>
    <x v="4"/>
    <x v="2"/>
    <s v="01:54:00 PM"/>
    <n v="42521.611805555556"/>
    <n v="0.61180555555620231"/>
    <s v="47 min"/>
    <x v="0"/>
    <s v="Cary"/>
    <s v="Raleigh"/>
    <x v="169"/>
    <x v="3"/>
    <x v="3"/>
  </r>
  <r>
    <n v="42521.668055555558"/>
    <n v="42521"/>
    <x v="4"/>
    <x v="2"/>
    <s v="04:02:00 PM"/>
    <n v="42521.693749999999"/>
    <n v="0.69374999999854481"/>
    <s v="37 min"/>
    <x v="0"/>
    <s v="Raleigh"/>
    <s v="Cary"/>
    <x v="170"/>
    <x v="3"/>
    <x v="2"/>
  </r>
  <r>
    <n v="42521.743055555555"/>
    <n v="42521"/>
    <x v="4"/>
    <x v="2"/>
    <s v="05:50:00 PM"/>
    <n v="42521.749305555553"/>
    <n v="0.74930555555329192"/>
    <s v="9 min"/>
    <x v="0"/>
    <s v="Westpark Place"/>
    <s v="Whitebridge"/>
    <x v="18"/>
    <x v="1"/>
    <x v="2"/>
  </r>
  <r>
    <n v="42522.429861111108"/>
    <n v="42522"/>
    <x v="5"/>
    <x v="3"/>
    <s v="10:19:00 AM"/>
    <n v="42522.449305555558"/>
    <n v="0.4493055555576575"/>
    <s v="28 min"/>
    <x v="0"/>
    <s v="Cary"/>
    <s v="Morrisville"/>
    <x v="135"/>
    <x v="4"/>
    <x v="3"/>
  </r>
  <r>
    <n v="42522.548611111109"/>
    <n v="42522"/>
    <x v="5"/>
    <x v="3"/>
    <s v="01:10:00 PM"/>
    <n v="42522.568749999999"/>
    <n v="0.56874999999854481"/>
    <s v="29 min"/>
    <x v="0"/>
    <s v="Morrisville"/>
    <s v="Cary"/>
    <x v="128"/>
    <x v="3"/>
    <x v="3"/>
  </r>
  <r>
    <n v="42524.478472222225"/>
    <n v="42524"/>
    <x v="5"/>
    <x v="0"/>
    <s v="11:29:00 AM"/>
    <n v="42524.492361111108"/>
    <n v="0.49236111110803904"/>
    <s v="20 min"/>
    <x v="0"/>
    <s v="Cary"/>
    <s v="Durham"/>
    <x v="27"/>
    <x v="3"/>
    <x v="3"/>
  </r>
  <r>
    <n v="42524.547222222223"/>
    <n v="42524"/>
    <x v="5"/>
    <x v="0"/>
    <s v="01:08:00 PM"/>
    <n v="42524.568055555559"/>
    <n v="0.56805555555911269"/>
    <s v="30 min"/>
    <x v="0"/>
    <s v="Durham"/>
    <s v="Cary"/>
    <x v="100"/>
    <x v="3"/>
    <x v="3"/>
  </r>
  <r>
    <n v="42524.646527777775"/>
    <n v="42524"/>
    <x v="5"/>
    <x v="0"/>
    <s v="03:31:00 PM"/>
    <n v="42524.662499999999"/>
    <n v="0.66249999999854481"/>
    <s v="23 min"/>
    <x v="0"/>
    <s v="Cary"/>
    <s v="Morrisville"/>
    <x v="51"/>
    <x v="0"/>
    <x v="2"/>
  </r>
  <r>
    <n v="42524.759722222225"/>
    <n v="42524"/>
    <x v="5"/>
    <x v="0"/>
    <s v="06:14:00 PM"/>
    <n v="42524.770138888889"/>
    <n v="0.77013888888905058"/>
    <s v="15 min"/>
    <x v="0"/>
    <s v="Townes at Everett Crossing"/>
    <s v="Chessington"/>
    <x v="171"/>
    <x v="2"/>
    <x v="2"/>
  </r>
  <r>
    <n v="42524.77847222222"/>
    <n v="42524"/>
    <x v="5"/>
    <x v="0"/>
    <s v="06:41:00 PM"/>
    <n v="42524.786805555559"/>
    <n v="0.78680555555911269"/>
    <s v="12 min"/>
    <x v="0"/>
    <s v="Morrisville"/>
    <s v="Cary"/>
    <x v="97"/>
    <x v="2"/>
    <x v="2"/>
  </r>
  <r>
    <n v="42524.816666666666"/>
    <n v="42524"/>
    <x v="5"/>
    <x v="0"/>
    <s v="07:36:00 PM"/>
    <n v="42524.820833333331"/>
    <n v="0.82083333333139308"/>
    <s v="6 min"/>
    <x v="0"/>
    <s v="Huntington Woods"/>
    <s v="Weston"/>
    <x v="15"/>
    <x v="2"/>
    <x v="0"/>
  </r>
  <r>
    <n v="42524.949305555558"/>
    <n v="42524"/>
    <x v="5"/>
    <x v="0"/>
    <s v="10:47:00 PM"/>
    <n v="42524.962500000001"/>
    <n v="0.96250000000145519"/>
    <s v="19 min"/>
    <x v="0"/>
    <s v="Morrisville"/>
    <s v="Cary"/>
    <x v="17"/>
    <x v="6"/>
    <x v="0"/>
  </r>
  <r>
    <n v="42526.585416666669"/>
    <n v="42526"/>
    <x v="5"/>
    <x v="5"/>
    <s v="02:03:00 PM"/>
    <n v="42526.606249999997"/>
    <n v="0.60624999999708962"/>
    <s v="30 min"/>
    <x v="0"/>
    <s v="Whitebridge"/>
    <s v="Savon Height"/>
    <x v="108"/>
    <x v="4"/>
    <x v="3"/>
  </r>
  <r>
    <n v="42526.629166666666"/>
    <n v="42526"/>
    <x v="5"/>
    <x v="5"/>
    <s v="03:06:00 PM"/>
    <n v="42526.640277777777"/>
    <n v="0.64027777777664596"/>
    <s v="16 min"/>
    <x v="0"/>
    <s v="Cary"/>
    <s v="Morrisville"/>
    <x v="108"/>
    <x v="4"/>
    <x v="2"/>
  </r>
  <r>
    <n v="42526.664583333331"/>
    <n v="42526"/>
    <x v="5"/>
    <x v="5"/>
    <s v="03:57:00 PM"/>
    <n v="42526.672222222223"/>
    <n v="0.67222222222335404"/>
    <s v="11 min"/>
    <x v="0"/>
    <s v="Weston"/>
    <s v="Weston"/>
    <x v="103"/>
    <x v="0"/>
    <x v="2"/>
  </r>
  <r>
    <n v="42526.753472222219"/>
    <n v="42526"/>
    <x v="5"/>
    <x v="5"/>
    <s v="06:05:00 PM"/>
    <n v="42526.759722222225"/>
    <n v="0.75972222222480923"/>
    <s v="9 min"/>
    <x v="0"/>
    <s v="Morrisville"/>
    <s v="Cary"/>
    <x v="88"/>
    <x v="0"/>
    <x v="2"/>
  </r>
  <r>
    <n v="42526.911805555559"/>
    <n v="42526"/>
    <x v="5"/>
    <x v="5"/>
    <s v="09:53:00 PM"/>
    <n v="42526.920138888891"/>
    <n v="0.92013888889050577"/>
    <s v="12 min"/>
    <x v="0"/>
    <s v="Cary"/>
    <s v="Durham"/>
    <x v="100"/>
    <x v="3"/>
    <x v="0"/>
  </r>
  <r>
    <n v="42526.994444444441"/>
    <n v="42526"/>
    <x v="5"/>
    <x v="5"/>
    <s v="11:52:00 PM"/>
    <n v="42527.005555555559"/>
    <n v="5.5555555591126904E-3"/>
    <s v="16 min"/>
    <x v="0"/>
    <s v="Durham"/>
    <s v="Cary"/>
    <x v="100"/>
    <x v="3"/>
    <x v="0"/>
  </r>
  <r>
    <n v="42527.65"/>
    <n v="42527"/>
    <x v="5"/>
    <x v="6"/>
    <s v="03:36:00 PM"/>
    <n v="42527.65625"/>
    <n v="0.65625"/>
    <s v="9 min"/>
    <x v="0"/>
    <s v="Whitebridge"/>
    <s v="Hazelwood"/>
    <x v="61"/>
    <x v="2"/>
    <x v="2"/>
  </r>
  <r>
    <n v="42527.677777777775"/>
    <n v="42527"/>
    <x v="5"/>
    <x v="6"/>
    <s v="04:16:00 PM"/>
    <n v="42527.683333333334"/>
    <n v="0.68333333333430346"/>
    <s v="8 min"/>
    <x v="0"/>
    <s v="Hazelwood"/>
    <s v="Whitebridge"/>
    <x v="19"/>
    <x v="2"/>
    <x v="2"/>
  </r>
  <r>
    <n v="42527.837500000001"/>
    <n v="42527"/>
    <x v="5"/>
    <x v="6"/>
    <s v="08:06:00 PM"/>
    <n v="42527.847222222219"/>
    <n v="0.84722222221898846"/>
    <s v="14 min"/>
    <x v="0"/>
    <s v="Cary"/>
    <s v="Apex"/>
    <x v="48"/>
    <x v="0"/>
    <x v="0"/>
  </r>
  <r>
    <n v="42527.880555555559"/>
    <n v="42527"/>
    <x v="5"/>
    <x v="6"/>
    <s v="09:08:00 PM"/>
    <n v="42527.900694444441"/>
    <n v="0.90069444444088731"/>
    <s v="29 min"/>
    <x v="0"/>
    <s v="Apex"/>
    <s v="Cary"/>
    <x v="28"/>
    <x v="0"/>
    <x v="0"/>
  </r>
  <r>
    <n v="42527.90347222222"/>
    <n v="42527"/>
    <x v="5"/>
    <x v="6"/>
    <s v="09:41:00 PM"/>
    <n v="42527.916666666664"/>
    <n v="0.91666666666424135"/>
    <s v="19 min"/>
    <x v="0"/>
    <s v="Cary"/>
    <s v="Durham"/>
    <x v="27"/>
    <x v="3"/>
    <x v="0"/>
  </r>
  <r>
    <n v="42527.981944444444"/>
    <n v="42527"/>
    <x v="5"/>
    <x v="6"/>
    <s v="11:34:00 PM"/>
    <n v="42527.991666666669"/>
    <n v="0.99166666666860692"/>
    <s v="14 min"/>
    <x v="0"/>
    <s v="Durham"/>
    <s v="Cary"/>
    <x v="100"/>
    <x v="3"/>
    <x v="0"/>
  </r>
  <r>
    <n v="42528.904166666667"/>
    <n v="42528"/>
    <x v="5"/>
    <x v="2"/>
    <s v="09:42:00 PM"/>
    <n v="42528.916666666664"/>
    <n v="0.91666666666424135"/>
    <s v="18 min"/>
    <x v="0"/>
    <s v="Cary"/>
    <s v="Durham"/>
    <x v="27"/>
    <x v="3"/>
    <x v="0"/>
  </r>
  <r>
    <n v="42528.986805555556"/>
    <n v="42528"/>
    <x v="5"/>
    <x v="2"/>
    <s v="11:41:00 PM"/>
    <n v="42529.00277777778"/>
    <n v="2.7777777795563452E-3"/>
    <s v="23 min"/>
    <x v="0"/>
    <s v="Durham"/>
    <s v="Cary"/>
    <x v="100"/>
    <x v="3"/>
    <x v="0"/>
  </r>
  <r>
    <n v="42529.349305555559"/>
    <n v="42529"/>
    <x v="5"/>
    <x v="3"/>
    <s v="08:23:00 AM"/>
    <n v="42529.370138888888"/>
    <n v="0.37013888888759539"/>
    <s v="30 min"/>
    <x v="0"/>
    <s v="Cary"/>
    <s v="Morrisville"/>
    <x v="151"/>
    <x v="0"/>
    <x v="1"/>
  </r>
  <r>
    <n v="42529.50277777778"/>
    <n v="42529"/>
    <x v="5"/>
    <x v="3"/>
    <s v="12:04:00 PM"/>
    <n v="42529.542361111111"/>
    <n v="0.54236111111094942"/>
    <s v="57 min"/>
    <x v="0"/>
    <s v="Jamaica"/>
    <s v="New York"/>
    <x v="172"/>
    <x v="2"/>
    <x v="3"/>
  </r>
  <r>
    <n v="42529.55"/>
    <n v="42529"/>
    <x v="5"/>
    <x v="3"/>
    <s v="01:12:00 PM"/>
    <n v="42529.561805555553"/>
    <n v="0.56180555555329192"/>
    <s v="17 min"/>
    <x v="0"/>
    <s v="Seaport"/>
    <s v="Gramercy-Flatiron"/>
    <x v="171"/>
    <x v="0"/>
    <x v="3"/>
  </r>
  <r>
    <n v="42529.604861111111"/>
    <n v="42529"/>
    <x v="5"/>
    <x v="3"/>
    <s v="02:31:00 PM"/>
    <n v="42529.609027777777"/>
    <n v="0.60902777777664596"/>
    <s v="6 min"/>
    <x v="0"/>
    <s v="Medical Centre"/>
    <s v="Tudor City"/>
    <x v="145"/>
    <x v="2"/>
    <x v="3"/>
  </r>
  <r>
    <n v="42529.704861111109"/>
    <n v="42529"/>
    <x v="5"/>
    <x v="3"/>
    <s v="04:55:00 PM"/>
    <n v="42529.71597222222"/>
    <n v="0.71597222222044365"/>
    <s v="16 min"/>
    <x v="0"/>
    <s v="Rose Hill"/>
    <s v="Soho"/>
    <x v="88"/>
    <x v="0"/>
    <x v="2"/>
  </r>
  <r>
    <n v="42529.719444444447"/>
    <n v="42529"/>
    <x v="5"/>
    <x v="3"/>
    <s v="05:16:00 PM"/>
    <n v="42529.720833333333"/>
    <n v="0.72083333333284827"/>
    <s v="2 min"/>
    <x v="0"/>
    <s v="Soho"/>
    <s v="Tribeca"/>
    <x v="35"/>
    <x v="2"/>
    <x v="2"/>
  </r>
  <r>
    <n v="42529.749305555553"/>
    <n v="42529"/>
    <x v="5"/>
    <x v="3"/>
    <s v="05:59:00 PM"/>
    <n v="42529.753472222219"/>
    <n v="0.75347222221898846"/>
    <s v="6 min"/>
    <x v="0"/>
    <s v="Tribeca"/>
    <s v="Financial District"/>
    <x v="129"/>
    <x v="2"/>
    <x v="2"/>
  </r>
  <r>
    <n v="42529.84097222222"/>
    <n v="42529"/>
    <x v="5"/>
    <x v="3"/>
    <s v="08:11:00 PM"/>
    <n v="42529.850694444445"/>
    <n v="0.85069444444525288"/>
    <s v="14 min"/>
    <x v="0"/>
    <s v="Financial District"/>
    <s v="Kips Bay"/>
    <x v="2"/>
    <x v="2"/>
    <x v="0"/>
  </r>
  <r>
    <n v="42531.638194444444"/>
    <n v="42531"/>
    <x v="5"/>
    <x v="0"/>
    <s v="03:19:00 PM"/>
    <n v="42531.686111111114"/>
    <n v="0.68611111111385981"/>
    <s v="69 min"/>
    <x v="0"/>
    <s v="New York"/>
    <s v="Jamaica"/>
    <x v="173"/>
    <x v="3"/>
    <x v="2"/>
  </r>
  <r>
    <n v="42531.907638888886"/>
    <n v="42531"/>
    <x v="5"/>
    <x v="0"/>
    <s v="09:47:00 PM"/>
    <n v="42531.919444444444"/>
    <n v="0.91944444444379769"/>
    <s v="17 min"/>
    <x v="0"/>
    <s v="Cary"/>
    <s v="Durham"/>
    <x v="27"/>
    <x v="3"/>
    <x v="0"/>
  </r>
  <r>
    <n v="42531.995138888888"/>
    <n v="42531"/>
    <x v="5"/>
    <x v="0"/>
    <s v="11:53:00 PM"/>
    <n v="42532.000694444447"/>
    <n v="6.944444467080757E-4"/>
    <s v="8 min"/>
    <x v="0"/>
    <s v="Durham"/>
    <s v="Cary"/>
    <x v="100"/>
    <x v="3"/>
    <x v="0"/>
  </r>
  <r>
    <n v="42532.713888888888"/>
    <n v="42532"/>
    <x v="5"/>
    <x v="1"/>
    <s v="05:08:00 PM"/>
    <n v="42532.719444444447"/>
    <n v="0.71944444444670808"/>
    <s v="8 min"/>
    <x v="0"/>
    <s v="Cary"/>
    <s v="Morrisville"/>
    <x v="174"/>
    <x v="2"/>
    <x v="2"/>
  </r>
  <r>
    <n v="42532.731944444444"/>
    <n v="42532"/>
    <x v="5"/>
    <x v="1"/>
    <s v="05:34:00 PM"/>
    <n v="42532.73541666667"/>
    <n v="0.73541666667006211"/>
    <s v="5 min"/>
    <x v="0"/>
    <s v="Morrisville"/>
    <s v="Cary"/>
    <x v="43"/>
    <x v="0"/>
    <x v="2"/>
  </r>
  <r>
    <n v="42532.743055555555"/>
    <n v="42532"/>
    <x v="5"/>
    <x v="1"/>
    <s v="05:50:00 PM"/>
    <n v="42532.74722222222"/>
    <n v="0.74722222222044365"/>
    <s v="6 min"/>
    <x v="0"/>
    <s v="Westpark Place"/>
    <s v="Whitebridge"/>
    <x v="15"/>
    <x v="1"/>
    <x v="2"/>
  </r>
  <r>
    <n v="42532.90625"/>
    <n v="42532"/>
    <x v="5"/>
    <x v="1"/>
    <s v="09:45:00 PM"/>
    <n v="42532.919444444444"/>
    <n v="0.91944444444379769"/>
    <s v="19 min"/>
    <x v="0"/>
    <s v="Cary"/>
    <s v="Durham"/>
    <x v="27"/>
    <x v="3"/>
    <x v="0"/>
  </r>
  <r>
    <n v="42532.98541666667"/>
    <n v="42532"/>
    <x v="5"/>
    <x v="1"/>
    <s v="11:39:00 PM"/>
    <n v="42533.003472222219"/>
    <n v="3.4722222189884633E-3"/>
    <s v="26 min"/>
    <x v="0"/>
    <s v="Durham"/>
    <s v="Cary"/>
    <x v="100"/>
    <x v="3"/>
    <x v="0"/>
  </r>
  <r>
    <n v="42533.828472222223"/>
    <n v="42533"/>
    <x v="5"/>
    <x v="5"/>
    <s v="07:53:00 PM"/>
    <n v="42533.830555555556"/>
    <n v="0.83055555555620231"/>
    <s v="3 min"/>
    <x v="0"/>
    <s v="Cary"/>
    <s v="Morrisville"/>
    <x v="88"/>
    <x v="0"/>
    <x v="0"/>
  </r>
  <r>
    <n v="42533.836805555555"/>
    <n v="42533"/>
    <x v="5"/>
    <x v="5"/>
    <s v="08:05:00 PM"/>
    <n v="42533.844444444447"/>
    <n v="0.84444444444670808"/>
    <s v="11 min"/>
    <x v="0"/>
    <s v="Morrisville"/>
    <s v="Cary"/>
    <x v="5"/>
    <x v="2"/>
    <x v="0"/>
  </r>
  <r>
    <n v="42533.915277777778"/>
    <n v="42533"/>
    <x v="5"/>
    <x v="5"/>
    <s v="09:58:00 PM"/>
    <n v="42533.929861111108"/>
    <n v="0.92986111110803904"/>
    <s v="21 min"/>
    <x v="0"/>
    <s v="Parkway"/>
    <s v="Whitebridge"/>
    <x v="109"/>
    <x v="2"/>
    <x v="0"/>
  </r>
  <r>
    <n v="42534.224305555559"/>
    <n v="42534"/>
    <x v="5"/>
    <x v="6"/>
    <s v="05:23:00 AM"/>
    <n v="42534.237500000003"/>
    <n v="0.23750000000291038"/>
    <s v="19 min"/>
    <x v="0"/>
    <s v="Cary"/>
    <s v="Morrisville"/>
    <x v="69"/>
    <x v="0"/>
    <x v="1"/>
  </r>
  <r>
    <n v="42534.595138888886"/>
    <n v="42534"/>
    <x v="5"/>
    <x v="6"/>
    <s v="02:17:00 PM"/>
    <n v="42534.615277777775"/>
    <n v="0.61527777777519077"/>
    <s v="29 min"/>
    <x v="0"/>
    <s v="Oakland"/>
    <s v="Emeryville"/>
    <x v="122"/>
    <x v="3"/>
    <x v="3"/>
  </r>
  <r>
    <n v="42534.755555555559"/>
    <n v="42534"/>
    <x v="5"/>
    <x v="6"/>
    <s v="06:08:00 PM"/>
    <n v="42534.782638888886"/>
    <n v="0.78263888888614019"/>
    <s v="39 min"/>
    <x v="0"/>
    <s v="Emeryville"/>
    <s v="Berkeley"/>
    <x v="25"/>
    <x v="0"/>
    <x v="2"/>
  </r>
  <r>
    <n v="42534.787499999999"/>
    <n v="42534"/>
    <x v="5"/>
    <x v="6"/>
    <s v="06:54:00 PM"/>
    <n v="42534.807638888888"/>
    <n v="0.80763888888759539"/>
    <s v="29 min"/>
    <x v="0"/>
    <s v="Berkeley"/>
    <s v="Oakland"/>
    <x v="0"/>
    <x v="0"/>
    <x v="2"/>
  </r>
  <r>
    <n v="42534.833333333336"/>
    <n v="42534"/>
    <x v="5"/>
    <x v="6"/>
    <s v="08:00:00 PM"/>
    <n v="42534.836805555555"/>
    <n v="0.83680555555474712"/>
    <s v="5 min"/>
    <x v="0"/>
    <s v="Oakland"/>
    <s v="Unknown Location"/>
    <x v="44"/>
    <x v="4"/>
    <x v="0"/>
  </r>
  <r>
    <n v="42535.502083333333"/>
    <n v="42535"/>
    <x v="5"/>
    <x v="2"/>
    <s v="12:03:00 PM"/>
    <n v="42535.51458333333"/>
    <n v="0.51458333332993789"/>
    <s v="18 min"/>
    <x v="0"/>
    <s v="Emeryville"/>
    <s v="San Francisco"/>
    <x v="165"/>
    <x v="1"/>
    <x v="3"/>
  </r>
  <r>
    <n v="42535.67291666667"/>
    <n v="42535"/>
    <x v="5"/>
    <x v="2"/>
    <s v="04:09:00 PM"/>
    <n v="42535.693749999999"/>
    <n v="0.69374999999854481"/>
    <s v="30 min"/>
    <x v="0"/>
    <s v="San Francisco"/>
    <s v="Emeryville"/>
    <x v="175"/>
    <x v="3"/>
    <x v="2"/>
  </r>
  <r>
    <n v="42535.71875"/>
    <n v="42535"/>
    <x v="5"/>
    <x v="2"/>
    <s v="05:15:00 PM"/>
    <n v="42535.724999999999"/>
    <n v="0.72499999999854481"/>
    <s v="9 min"/>
    <x v="0"/>
    <s v="Emeryville"/>
    <s v="Oakland"/>
    <x v="0"/>
    <x v="3"/>
    <x v="2"/>
  </r>
  <r>
    <n v="42535.727083333331"/>
    <n v="42535"/>
    <x v="5"/>
    <x v="2"/>
    <s v="05:27:00 PM"/>
    <n v="42535.747916666667"/>
    <n v="0.74791666666715173"/>
    <s v="30 min"/>
    <x v="0"/>
    <s v="Downtown"/>
    <s v="Bay Farm Island"/>
    <x v="167"/>
    <x v="2"/>
    <x v="2"/>
  </r>
  <r>
    <n v="42536.073611111111"/>
    <n v="42536"/>
    <x v="5"/>
    <x v="3"/>
    <s v="01:46:00 AM"/>
    <n v="42536.087500000001"/>
    <n v="8.7500000001455192E-2"/>
    <s v="20 min"/>
    <x v="0"/>
    <s v="Kenner"/>
    <s v="New Orleans"/>
    <x v="110"/>
    <x v="6"/>
    <x v="1"/>
  </r>
  <r>
    <n v="42536.643055555556"/>
    <n v="42536"/>
    <x v="5"/>
    <x v="3"/>
    <s v="03:26:00 PM"/>
    <n v="42536.648611111108"/>
    <n v="0.64861111110803904"/>
    <s v="8 min"/>
    <x v="0"/>
    <s v="CBD"/>
    <s v="Lower Garden District"/>
    <x v="16"/>
    <x v="6"/>
    <x v="2"/>
  </r>
  <r>
    <n v="42536.692361111112"/>
    <n v="42536"/>
    <x v="5"/>
    <x v="3"/>
    <s v="04:37:00 PM"/>
    <n v="42536.709722222222"/>
    <n v="0.70972222222189885"/>
    <s v="25 min"/>
    <x v="0"/>
    <s v="Lower Garden District"/>
    <s v="Lakeview"/>
    <x v="13"/>
    <x v="4"/>
    <x v="2"/>
  </r>
  <r>
    <n v="42536.728472222225"/>
    <n v="42536"/>
    <x v="5"/>
    <x v="3"/>
    <s v="05:29:00 PM"/>
    <n v="42536.742361111108"/>
    <n v="0.74236111110803904"/>
    <s v="20 min"/>
    <x v="1"/>
    <s v="Lakeview"/>
    <s v="Storyville"/>
    <x v="47"/>
    <x v="1"/>
    <x v="2"/>
  </r>
  <r>
    <n v="42536.827777777777"/>
    <n v="42536"/>
    <x v="5"/>
    <x v="3"/>
    <s v="07:52:00 PM"/>
    <n v="42536.831944444442"/>
    <n v="0.8319444444423425"/>
    <s v="6 min"/>
    <x v="0"/>
    <s v="Storyville"/>
    <s v="Faubourg Marigny"/>
    <x v="62"/>
    <x v="0"/>
    <x v="0"/>
  </r>
  <r>
    <n v="42537.566666666666"/>
    <n v="42537"/>
    <x v="5"/>
    <x v="4"/>
    <s v="01:36:00 PM"/>
    <n v="42537.604166666664"/>
    <n v="0.60416666666424135"/>
    <s v="54 min"/>
    <x v="0"/>
    <s v="New Orleans"/>
    <s v="Metairie"/>
    <x v="92"/>
    <x v="1"/>
    <x v="3"/>
  </r>
  <r>
    <n v="42537.612500000003"/>
    <n v="42537"/>
    <x v="5"/>
    <x v="4"/>
    <s v="02:42:00 PM"/>
    <n v="42537.615277777775"/>
    <n v="0.61527777777519077"/>
    <s v="4 min"/>
    <x v="0"/>
    <s v="Metairie"/>
    <s v="Kenner"/>
    <x v="38"/>
    <x v="1"/>
    <x v="3"/>
  </r>
  <r>
    <n v="42537.636805555558"/>
    <n v="42537"/>
    <x v="5"/>
    <x v="4"/>
    <s v="03:17:00 PM"/>
    <n v="42537.65347222222"/>
    <n v="0.65347222222044365"/>
    <s v="24 min"/>
    <x v="0"/>
    <s v="Kenner"/>
    <s v="New Orleans"/>
    <x v="176"/>
    <x v="1"/>
    <x v="2"/>
  </r>
  <r>
    <n v="42537.818749999999"/>
    <n v="42537"/>
    <x v="5"/>
    <x v="4"/>
    <s v="07:39:00 PM"/>
    <n v="42537.830555555556"/>
    <n v="0.83055555555620231"/>
    <s v="17 min"/>
    <x v="0"/>
    <s v="New Orleans"/>
    <s v="Kenner"/>
    <x v="39"/>
    <x v="1"/>
    <x v="0"/>
  </r>
  <r>
    <n v="42537.904861111114"/>
    <n v="42537"/>
    <x v="5"/>
    <x v="4"/>
    <s v="09:43:00 PM"/>
    <n v="42537.913888888892"/>
    <n v="0.91388888889196096"/>
    <s v="13 min"/>
    <x v="0"/>
    <s v="Kenner"/>
    <s v="New Orleans"/>
    <x v="87"/>
    <x v="1"/>
    <x v="0"/>
  </r>
  <r>
    <n v="42538.674305555556"/>
    <n v="42538"/>
    <x v="5"/>
    <x v="0"/>
    <s v="04:11:00 PM"/>
    <n v="42538.697222222225"/>
    <n v="0.69722222222480923"/>
    <s v="33 min"/>
    <x v="0"/>
    <s v="New Orleans"/>
    <s v="Kenner"/>
    <x v="177"/>
    <x v="1"/>
    <x v="2"/>
  </r>
  <r>
    <n v="42539.020138888889"/>
    <n v="42539"/>
    <x v="5"/>
    <x v="1"/>
    <s v="12:29:00 AM"/>
    <n v="42539.035416666666"/>
    <n v="3.5416666665696539E-2"/>
    <s v="22 min"/>
    <x v="0"/>
    <s v="Morrisville"/>
    <s v="Cary"/>
    <x v="151"/>
    <x v="1"/>
    <x v="1"/>
  </r>
  <r>
    <n v="42540.11041666667"/>
    <n v="42540"/>
    <x v="5"/>
    <x v="5"/>
    <s v="02:39:00 AM"/>
    <n v="42540.118055555555"/>
    <n v="0.11805555555474712"/>
    <s v="11 min"/>
    <x v="0"/>
    <s v="Cary"/>
    <s v="Raleigh"/>
    <x v="51"/>
    <x v="1"/>
    <x v="1"/>
  </r>
  <r>
    <n v="42540.243750000001"/>
    <n v="42540"/>
    <x v="5"/>
    <x v="5"/>
    <s v="05:51:00 AM"/>
    <n v="42540.25"/>
    <n v="0.25"/>
    <s v="9 min"/>
    <x v="0"/>
    <s v="Raleigh"/>
    <s v="Cary"/>
    <x v="111"/>
    <x v="1"/>
    <x v="1"/>
  </r>
  <r>
    <n v="42542.652083333334"/>
    <n v="42542"/>
    <x v="5"/>
    <x v="2"/>
    <s v="03:39:00 PM"/>
    <n v="42542.672222222223"/>
    <n v="0.67222222222335404"/>
    <s v="29 min"/>
    <x v="0"/>
    <s v="Cary"/>
    <s v="Raleigh"/>
    <x v="178"/>
    <x v="1"/>
    <x v="2"/>
  </r>
  <r>
    <n v="42542.71597222222"/>
    <n v="42542"/>
    <x v="5"/>
    <x v="2"/>
    <s v="05:11:00 PM"/>
    <n v="42542.751388888886"/>
    <n v="0.75138888888614019"/>
    <s v="51 min"/>
    <x v="0"/>
    <s v="Raleigh"/>
    <s v="Cary"/>
    <x v="179"/>
    <x v="0"/>
    <x v="2"/>
  </r>
  <r>
    <n v="42545.445138888892"/>
    <n v="42545"/>
    <x v="5"/>
    <x v="0"/>
    <s v="10:41:00 AM"/>
    <n v="42545.456250000003"/>
    <n v="0.45625000000291038"/>
    <s v="16 min"/>
    <x v="0"/>
    <s v="Whitebridge"/>
    <s v="Waverly Place"/>
    <x v="6"/>
    <x v="0"/>
    <x v="3"/>
  </r>
  <r>
    <n v="42545.495833333334"/>
    <n v="42545"/>
    <x v="5"/>
    <x v="0"/>
    <s v="11:54:00 AM"/>
    <n v="42545.500694444447"/>
    <n v="0.50069444444670808"/>
    <s v="7 min"/>
    <x v="0"/>
    <s v="Waverly Place"/>
    <s v="Macgregor Downs"/>
    <x v="102"/>
    <x v="0"/>
    <x v="3"/>
  </r>
  <r>
    <n v="42545.513194444444"/>
    <n v="42545"/>
    <x v="5"/>
    <x v="0"/>
    <s v="12:19:00 PM"/>
    <n v="42545.525694444441"/>
    <n v="0.52569444444088731"/>
    <s v="18 min"/>
    <x v="0"/>
    <s v="Cary"/>
    <s v="Raleigh"/>
    <x v="180"/>
    <x v="2"/>
    <x v="3"/>
  </r>
  <r>
    <n v="42545.534722222219"/>
    <n v="42545"/>
    <x v="5"/>
    <x v="0"/>
    <s v="12:50:00 PM"/>
    <n v="42545.55"/>
    <n v="0.55000000000291038"/>
    <s v="22 min"/>
    <x v="0"/>
    <s v="Raleigh"/>
    <s v="Morrisville"/>
    <x v="54"/>
    <x v="2"/>
    <x v="3"/>
  </r>
  <r>
    <n v="42545.554166666669"/>
    <n v="42545"/>
    <x v="5"/>
    <x v="0"/>
    <s v="01:18:00 PM"/>
    <n v="42545.560416666667"/>
    <n v="0.56041666666715173"/>
    <s v="9 min"/>
    <x v="0"/>
    <s v="Morrisville"/>
    <s v="Cary"/>
    <x v="97"/>
    <x v="2"/>
    <x v="3"/>
  </r>
  <r>
    <n v="42545.584027777775"/>
    <n v="42545"/>
    <x v="5"/>
    <x v="0"/>
    <s v="02:01:00 PM"/>
    <n v="42545.597222222219"/>
    <n v="0.59722222221898846"/>
    <s v="19 min"/>
    <x v="0"/>
    <s v="Cary"/>
    <s v="Morrisville"/>
    <x v="69"/>
    <x v="5"/>
    <x v="3"/>
  </r>
  <r>
    <n v="42545.863888888889"/>
    <n v="42545"/>
    <x v="5"/>
    <x v="0"/>
    <s v="08:44:00 PM"/>
    <n v="42545.876388888886"/>
    <n v="0.87638888888614019"/>
    <s v="18 min"/>
    <x v="0"/>
    <s v="Kenner"/>
    <s v="New Orleans"/>
    <x v="114"/>
    <x v="1"/>
    <x v="0"/>
  </r>
  <r>
    <n v="42546.377083333333"/>
    <n v="42546"/>
    <x v="5"/>
    <x v="1"/>
    <s v="09:03:00 AM"/>
    <n v="42546.383333333331"/>
    <n v="0.38333333333139308"/>
    <s v="9 min"/>
    <x v="0"/>
    <s v="CBD"/>
    <s v="Bywater"/>
    <x v="77"/>
    <x v="1"/>
    <x v="1"/>
  </r>
  <r>
    <n v="42546.385416666664"/>
    <n v="42546"/>
    <x v="5"/>
    <x v="1"/>
    <s v="09:15:00 AM"/>
    <n v="42546.422222222223"/>
    <n v="0.42222222222335404"/>
    <s v="53 min"/>
    <x v="0"/>
    <s v="New Orleans"/>
    <s v="Chalmette"/>
    <x v="23"/>
    <x v="6"/>
    <x v="1"/>
  </r>
  <r>
    <n v="42546.429166666669"/>
    <n v="42546"/>
    <x v="5"/>
    <x v="1"/>
    <s v="10:18:00 AM"/>
    <n v="42546.434027777781"/>
    <n v="0.43402777778101154"/>
    <s v="7 min"/>
    <x v="0"/>
    <s v="Chalmette"/>
    <s v="Arabi"/>
    <x v="53"/>
    <x v="2"/>
    <x v="3"/>
  </r>
  <r>
    <n v="42546.451388888891"/>
    <n v="42546"/>
    <x v="5"/>
    <x v="1"/>
    <s v="10:50:00 AM"/>
    <n v="42546.470833333333"/>
    <n v="0.47083333333284827"/>
    <s v="28 min"/>
    <x v="0"/>
    <s v="Arabi"/>
    <s v="Metairie"/>
    <x v="67"/>
    <x v="0"/>
    <x v="3"/>
  </r>
  <r>
    <n v="42546.475694444445"/>
    <n v="42546"/>
    <x v="5"/>
    <x v="1"/>
    <s v="11:25:00 AM"/>
    <n v="42546.481944444444"/>
    <n v="0.48194444444379769"/>
    <s v="9 min"/>
    <x v="0"/>
    <s v="Pontchartrain Shores"/>
    <s v="Pontchartrain Shores"/>
    <x v="15"/>
    <x v="3"/>
    <x v="3"/>
  </r>
  <r>
    <n v="42546.495138888888"/>
    <n v="42546"/>
    <x v="5"/>
    <x v="1"/>
    <s v="11:53:00 AM"/>
    <n v="42546.556250000001"/>
    <n v="0.55625000000145519"/>
    <s v="88 min"/>
    <x v="0"/>
    <s v="Metairie"/>
    <s v="New Orleans"/>
    <x v="120"/>
    <x v="3"/>
    <x v="3"/>
  </r>
  <r>
    <n v="42546.824305555558"/>
    <n v="42546"/>
    <x v="5"/>
    <x v="1"/>
    <s v="07:47:00 PM"/>
    <n v="42546.831944444442"/>
    <n v="0.8319444444423425"/>
    <s v="11 min"/>
    <x v="0"/>
    <s v="Storyville"/>
    <s v="Marigny"/>
    <x v="14"/>
    <x v="1"/>
    <x v="0"/>
  </r>
  <r>
    <n v="42546.97152777778"/>
    <n v="42546"/>
    <x v="5"/>
    <x v="1"/>
    <s v="11:19:00 PM"/>
    <n v="42546.976388888892"/>
    <n v="0.97638888889196096"/>
    <s v="7 min"/>
    <x v="0"/>
    <s v="Marigny"/>
    <s v="Storyville"/>
    <x v="62"/>
    <x v="1"/>
    <x v="0"/>
  </r>
  <r>
    <n v="42547.738194444442"/>
    <n v="42547"/>
    <x v="5"/>
    <x v="5"/>
    <s v="05:43:00 PM"/>
    <n v="42547.762499999997"/>
    <n v="0.76249999999708962"/>
    <s v="35 min"/>
    <x v="0"/>
    <s v="New Orleans"/>
    <s v="Kenner"/>
    <x v="121"/>
    <x v="3"/>
    <x v="2"/>
  </r>
  <r>
    <n v="42547.78125"/>
    <n v="42547"/>
    <x v="5"/>
    <x v="5"/>
    <s v="06:45:00 PM"/>
    <n v="42547.8"/>
    <n v="0.80000000000291038"/>
    <s v="27 min"/>
    <x v="0"/>
    <s v="Pontchartrain Shores"/>
    <s v="Pontchartrain Shores"/>
    <x v="2"/>
    <x v="1"/>
    <x v="2"/>
  </r>
  <r>
    <n v="42547.820138888892"/>
    <n v="42547"/>
    <x v="5"/>
    <x v="5"/>
    <s v="07:41:00 PM"/>
    <n v="42547.826388888891"/>
    <n v="0.82638888889050577"/>
    <s v="9 min"/>
    <x v="0"/>
    <s v="Kenner"/>
    <s v="Kenner"/>
    <x v="95"/>
    <x v="1"/>
    <x v="0"/>
  </r>
  <r>
    <n v="42547.884722222225"/>
    <n v="42547"/>
    <x v="5"/>
    <x v="5"/>
    <s v="09:14:00 PM"/>
    <n v="42547.904166666667"/>
    <n v="0.90416666666715173"/>
    <s v="28 min"/>
    <x v="0"/>
    <s v="Kenner"/>
    <s v="New Orleans"/>
    <x v="73"/>
    <x v="1"/>
    <x v="0"/>
  </r>
  <r>
    <n v="42548.317361111112"/>
    <n v="42548"/>
    <x v="5"/>
    <x v="6"/>
    <s v="07:37:00 AM"/>
    <n v="42548.366666666669"/>
    <n v="0.36666666666860692"/>
    <s v="71 min"/>
    <x v="0"/>
    <s v="New Orleans"/>
    <s v="Covington"/>
    <x v="181"/>
    <x v="1"/>
    <x v="1"/>
  </r>
  <r>
    <n v="42548.368750000001"/>
    <n v="42548"/>
    <x v="5"/>
    <x v="6"/>
    <s v="08:51:00 AM"/>
    <n v="42548.375"/>
    <n v="0.375"/>
    <s v="9 min"/>
    <x v="0"/>
    <s v="Covington"/>
    <s v="Covington"/>
    <x v="88"/>
    <x v="1"/>
    <x v="1"/>
  </r>
  <r>
    <n v="42548.378472222219"/>
    <n v="42548"/>
    <x v="5"/>
    <x v="6"/>
    <s v="09:05:00 AM"/>
    <n v="42548.397916666669"/>
    <n v="0.39791666666860692"/>
    <s v="28 min"/>
    <x v="0"/>
    <s v="Covington"/>
    <s v="Covington"/>
    <x v="180"/>
    <x v="1"/>
    <x v="1"/>
  </r>
  <r>
    <n v="42548.404861111114"/>
    <n v="42548"/>
    <x v="5"/>
    <x v="6"/>
    <s v="09:43:00 AM"/>
    <n v="42548.422222222223"/>
    <n v="0.42222222222335404"/>
    <s v="25 min"/>
    <x v="0"/>
    <s v="Covington"/>
    <s v="Covington"/>
    <x v="44"/>
    <x v="1"/>
    <x v="1"/>
  </r>
  <r>
    <n v="42548.431944444441"/>
    <n v="42548"/>
    <x v="5"/>
    <x v="6"/>
    <s v="10:22:00 AM"/>
    <n v="42548.443749999999"/>
    <n v="0.44374999999854481"/>
    <s v="17 min"/>
    <x v="0"/>
    <s v="Covington"/>
    <s v="Covington"/>
    <x v="29"/>
    <x v="1"/>
    <x v="3"/>
  </r>
  <r>
    <n v="42548.45208333333"/>
    <n v="42548"/>
    <x v="5"/>
    <x v="6"/>
    <s v="10:51:00 AM"/>
    <n v="42548.456944444442"/>
    <n v="0.4569444444423425"/>
    <s v="7 min"/>
    <x v="0"/>
    <s v="Covington"/>
    <s v="Covington"/>
    <x v="18"/>
    <x v="1"/>
    <x v="3"/>
  </r>
  <r>
    <n v="42548.462500000001"/>
    <n v="42548"/>
    <x v="5"/>
    <x v="6"/>
    <s v="11:06:00 AM"/>
    <n v="42548.474999999999"/>
    <n v="0.47499999999854481"/>
    <s v="18 min"/>
    <x v="0"/>
    <s v="Covington"/>
    <s v="Mandeville"/>
    <x v="3"/>
    <x v="1"/>
    <x v="3"/>
  </r>
  <r>
    <n v="42548.479166666664"/>
    <n v="42548"/>
    <x v="5"/>
    <x v="6"/>
    <s v="11:30:00 AM"/>
    <n v="42548.487500000003"/>
    <n v="0.48750000000291038"/>
    <s v="12 min"/>
    <x v="0"/>
    <s v="Mandeville"/>
    <s v="Mandeville"/>
    <x v="109"/>
    <x v="1"/>
    <x v="3"/>
  </r>
  <r>
    <n v="42548.515277777777"/>
    <n v="42548"/>
    <x v="5"/>
    <x v="6"/>
    <s v="12:22:00 PM"/>
    <n v="42548.543055555558"/>
    <n v="0.5430555555576575"/>
    <s v="40 min"/>
    <x v="0"/>
    <s v="Mandeville"/>
    <s v="Metairie"/>
    <x v="182"/>
    <x v="1"/>
    <x v="3"/>
  </r>
  <r>
    <n v="42548.580555555556"/>
    <n v="42548"/>
    <x v="5"/>
    <x v="6"/>
    <s v="01:56:00 PM"/>
    <n v="42548.586805555555"/>
    <n v="0.58680555555474712"/>
    <s v="9 min"/>
    <x v="0"/>
    <s v="Metairie"/>
    <s v="Kenner"/>
    <x v="183"/>
    <x v="1"/>
    <x v="3"/>
  </r>
  <r>
    <n v="42548.881249999999"/>
    <n v="42548"/>
    <x v="5"/>
    <x v="6"/>
    <s v="09:09:00 PM"/>
    <n v="42548.888194444444"/>
    <n v="0.88819444444379769"/>
    <s v="10 min"/>
    <x v="0"/>
    <s v="Jamestown Court"/>
    <s v="Jamestown Court"/>
    <x v="32"/>
    <x v="1"/>
    <x v="0"/>
  </r>
  <r>
    <n v="42549.033333333333"/>
    <n v="42549"/>
    <x v="5"/>
    <x v="2"/>
    <s v="12:48:00 AM"/>
    <n v="42549.045138888891"/>
    <n v="4.5138888890505768E-2"/>
    <s v="17 min"/>
    <x v="0"/>
    <s v="Morrisville"/>
    <s v="Cary"/>
    <x v="158"/>
    <x v="4"/>
    <x v="1"/>
  </r>
  <r>
    <n v="42549.842361111114"/>
    <n v="42549"/>
    <x v="5"/>
    <x v="2"/>
    <s v="08:13:00 PM"/>
    <n v="42549.856249999997"/>
    <n v="0.85624999999708962"/>
    <s v="20 min"/>
    <x v="0"/>
    <s v="Cary"/>
    <s v="Durham"/>
    <x v="27"/>
    <x v="3"/>
    <x v="0"/>
  </r>
  <r>
    <n v="42549.981944444444"/>
    <n v="42549"/>
    <x v="5"/>
    <x v="2"/>
    <s v="11:34:00 PM"/>
    <n v="42549.999305555553"/>
    <n v="0.99930555555329192"/>
    <s v="25 min"/>
    <x v="0"/>
    <s v="Durham"/>
    <s v="Cary"/>
    <x v="100"/>
    <x v="3"/>
    <x v="0"/>
  </r>
  <r>
    <n v="42550.37222222222"/>
    <n v="42550"/>
    <x v="5"/>
    <x v="3"/>
    <s v="08:56:00 AM"/>
    <n v="42550.39166666667"/>
    <n v="0.39166666667006211"/>
    <s v="28 min"/>
    <x v="0"/>
    <s v="Cary"/>
    <s v="Morrisville"/>
    <x v="84"/>
    <x v="1"/>
    <x v="1"/>
  </r>
  <r>
    <n v="42550.431944444441"/>
    <n v="42550"/>
    <x v="5"/>
    <x v="3"/>
    <s v="10:22:00 AM"/>
    <n v="42550.443055555559"/>
    <n v="0.44305555555911269"/>
    <s v="16 min"/>
    <x v="0"/>
    <s v="Morrisville"/>
    <s v="Cary"/>
    <x v="184"/>
    <x v="1"/>
    <x v="3"/>
  </r>
  <r>
    <n v="42550.492361111108"/>
    <n v="42550"/>
    <x v="5"/>
    <x v="3"/>
    <s v="11:49:00 AM"/>
    <n v="42550.493750000001"/>
    <n v="0.49375000000145519"/>
    <s v="2 min"/>
    <x v="0"/>
    <s v="Whitebridge"/>
    <s v="Westpark Place"/>
    <x v="14"/>
    <x v="1"/>
    <x v="3"/>
  </r>
  <r>
    <n v="42550.507638888892"/>
    <n v="42550"/>
    <x v="5"/>
    <x v="3"/>
    <s v="12:11:00 PM"/>
    <n v="42550.511111111111"/>
    <n v="0.51111111111094942"/>
    <s v="5 min"/>
    <x v="0"/>
    <s v="Westpark Place"/>
    <s v="Whitebridge"/>
    <x v="18"/>
    <x v="1"/>
    <x v="3"/>
  </r>
  <r>
    <n v="42550.84097222222"/>
    <n v="42550"/>
    <x v="5"/>
    <x v="3"/>
    <s v="08:11:00 PM"/>
    <n v="42550.853472222225"/>
    <n v="0.85347222222480923"/>
    <s v="18 min"/>
    <x v="0"/>
    <s v="Cary"/>
    <s v="Durham"/>
    <x v="27"/>
    <x v="3"/>
    <x v="0"/>
  </r>
  <r>
    <n v="42550.984722222223"/>
    <n v="42550"/>
    <x v="5"/>
    <x v="3"/>
    <s v="11:38:00 PM"/>
    <n v="42551"/>
    <n v="0"/>
    <s v="22 min"/>
    <x v="0"/>
    <s v="Durham"/>
    <s v="Cary"/>
    <x v="100"/>
    <x v="3"/>
    <x v="0"/>
  </r>
  <r>
    <n v="42551.839583333334"/>
    <n v="42551"/>
    <x v="5"/>
    <x v="4"/>
    <s v="08:09:00 PM"/>
    <n v="42551.851388888892"/>
    <n v="0.85138888889196096"/>
    <s v="17 min"/>
    <x v="0"/>
    <s v="Cary"/>
    <s v="Durham"/>
    <x v="100"/>
    <x v="3"/>
    <x v="0"/>
  </r>
  <r>
    <n v="42552"/>
    <n v="42552"/>
    <x v="6"/>
    <x v="0"/>
    <s v="12:00:00 AM"/>
    <n v="42552.017361111109"/>
    <n v="1.7361111109494232E-2"/>
    <s v="25 min"/>
    <x v="0"/>
    <s v="Durham"/>
    <s v="Cary"/>
    <x v="100"/>
    <x v="3"/>
    <x v="1"/>
  </r>
  <r>
    <n v="42552.398611111108"/>
    <n v="42552"/>
    <x v="6"/>
    <x v="0"/>
    <s v="09:34:00 AM"/>
    <n v="42552.414583333331"/>
    <n v="0.41458333333139308"/>
    <s v="23 min"/>
    <x v="0"/>
    <s v="Cary"/>
    <s v="Raleigh"/>
    <x v="185"/>
    <x v="3"/>
    <x v="1"/>
  </r>
  <r>
    <n v="42552.525000000001"/>
    <n v="42552"/>
    <x v="6"/>
    <x v="0"/>
    <s v="12:36:00 PM"/>
    <n v="42552.541666666664"/>
    <n v="0.54166666666424135"/>
    <s v="24 min"/>
    <x v="0"/>
    <s v="Raleigh"/>
    <s v="Cary"/>
    <x v="168"/>
    <x v="3"/>
    <x v="3"/>
  </r>
  <r>
    <n v="42552.837500000001"/>
    <n v="42552"/>
    <x v="6"/>
    <x v="0"/>
    <s v="08:06:00 PM"/>
    <n v="42552.85"/>
    <n v="0.84999999999854481"/>
    <s v="18 min"/>
    <x v="0"/>
    <s v="Cary"/>
    <s v="Durham"/>
    <x v="116"/>
    <x v="3"/>
    <x v="0"/>
  </r>
  <r>
    <n v="42552.991666666669"/>
    <n v="42552"/>
    <x v="6"/>
    <x v="0"/>
    <s v="11:48:00 PM"/>
    <n v="42553.006249999999"/>
    <n v="6.2499999985448085E-3"/>
    <s v="21 min"/>
    <x v="0"/>
    <s v="Durham"/>
    <s v="Cary"/>
    <x v="100"/>
    <x v="3"/>
    <x v="0"/>
  </r>
  <r>
    <n v="42553.845833333333"/>
    <n v="42553"/>
    <x v="6"/>
    <x v="1"/>
    <s v="08:18:00 PM"/>
    <n v="42553.85833333333"/>
    <n v="0.85833333332993789"/>
    <s v="18 min"/>
    <x v="0"/>
    <s v="Cary"/>
    <s v="Durham"/>
    <x v="45"/>
    <x v="3"/>
    <x v="0"/>
  </r>
  <r>
    <n v="42553.991666666669"/>
    <n v="42553"/>
    <x v="6"/>
    <x v="1"/>
    <s v="11:48:00 PM"/>
    <n v="42554.008333333331"/>
    <n v="8.333333331393078E-3"/>
    <s v="24 min"/>
    <x v="0"/>
    <s v="Durham"/>
    <s v="Cary"/>
    <x v="100"/>
    <x v="3"/>
    <x v="0"/>
  </r>
  <r>
    <n v="42554.019444444442"/>
    <n v="42554"/>
    <x v="6"/>
    <x v="5"/>
    <s v="12:28:00 AM"/>
    <n v="42554.026388888888"/>
    <n v="2.6388888887595385E-2"/>
    <s v="10 min"/>
    <x v="0"/>
    <s v="Cary"/>
    <s v="Morrisville"/>
    <x v="97"/>
    <x v="2"/>
    <x v="1"/>
  </r>
  <r>
    <n v="42554.126388888886"/>
    <n v="42554"/>
    <x v="6"/>
    <x v="5"/>
    <s v="03:02:00 AM"/>
    <n v="42554.130555555559"/>
    <n v="0.13055555555911269"/>
    <s v="6 min"/>
    <x v="0"/>
    <s v="Morrisville"/>
    <s v="Cary"/>
    <x v="97"/>
    <x v="2"/>
    <x v="1"/>
  </r>
  <r>
    <n v="42554.833333333336"/>
    <n v="42554"/>
    <x v="6"/>
    <x v="5"/>
    <s v="08:00:00 PM"/>
    <n v="42554.845833333333"/>
    <n v="0.84583333333284827"/>
    <s v="18 min"/>
    <x v="0"/>
    <s v="Cary"/>
    <s v="Durham"/>
    <x v="100"/>
    <x v="3"/>
    <x v="0"/>
  </r>
  <r>
    <n v="42555.022222222222"/>
    <n v="42555"/>
    <x v="6"/>
    <x v="6"/>
    <s v="12:32:00 AM"/>
    <n v="42555.032638888886"/>
    <n v="3.2638888886140194E-2"/>
    <s v="15 min"/>
    <x v="0"/>
    <s v="Durham"/>
    <s v="Cary"/>
    <x v="100"/>
    <x v="3"/>
    <x v="1"/>
  </r>
  <r>
    <n v="42555.729861111111"/>
    <n v="42555"/>
    <x v="6"/>
    <x v="6"/>
    <s v="05:31:00 PM"/>
    <n v="42555.742361111108"/>
    <n v="0.74236111110803904"/>
    <s v="18 min"/>
    <x v="0"/>
    <s v="Whitebridge"/>
    <s v="Summerwinds"/>
    <x v="93"/>
    <x v="3"/>
    <x v="2"/>
  </r>
  <r>
    <n v="42555.765972222223"/>
    <n v="42555"/>
    <x v="6"/>
    <x v="6"/>
    <s v="06:23:00 PM"/>
    <n v="42555.78402777778"/>
    <n v="0.78402777777955635"/>
    <s v="26 min"/>
    <x v="0"/>
    <s v="Summerwinds"/>
    <s v="Whitebridge"/>
    <x v="151"/>
    <x v="5"/>
    <x v="2"/>
  </r>
  <r>
    <n v="42555.833333333336"/>
    <n v="42555"/>
    <x v="6"/>
    <x v="6"/>
    <s v="08:00:00 PM"/>
    <n v="42555.845138888886"/>
    <n v="0.84513888888614019"/>
    <s v="17 min"/>
    <x v="0"/>
    <s v="Cary"/>
    <s v="Durham"/>
    <x v="23"/>
    <x v="3"/>
    <x v="0"/>
  </r>
  <r>
    <n v="42556"/>
    <n v="42556"/>
    <x v="6"/>
    <x v="2"/>
    <s v="12:00:00 AM"/>
    <n v="42556.003472222219"/>
    <n v="3.4722222189884633E-3"/>
    <s v="5 min"/>
    <x v="0"/>
    <s v="Parkwood"/>
    <s v="Parkwood"/>
    <x v="115"/>
    <x v="2"/>
    <x v="1"/>
  </r>
  <r>
    <n v="42556.005555555559"/>
    <n v="42556"/>
    <x v="6"/>
    <x v="2"/>
    <s v="12:08:00 AM"/>
    <n v="42556.019444444442"/>
    <n v="1.9444444442342501E-2"/>
    <s v="20 min"/>
    <x v="0"/>
    <s v="Durham"/>
    <s v="Cary"/>
    <x v="100"/>
    <x v="3"/>
    <x v="1"/>
  </r>
  <r>
    <n v="42556.7"/>
    <n v="42556"/>
    <x v="6"/>
    <x v="2"/>
    <s v="04:48:00 PM"/>
    <n v="42556.702777777777"/>
    <n v="0.70277777777664596"/>
    <s v="4 min"/>
    <x v="0"/>
    <s v="Whitebridge"/>
    <s v="Whitebridge"/>
    <x v="186"/>
    <x v="2"/>
    <x v="2"/>
  </r>
  <r>
    <n v="42556.837500000001"/>
    <n v="42556"/>
    <x v="6"/>
    <x v="2"/>
    <s v="08:06:00 PM"/>
    <n v="42556.851388888892"/>
    <n v="0.85138888889196096"/>
    <s v="20 min"/>
    <x v="0"/>
    <s v="Cary"/>
    <s v="Durham"/>
    <x v="100"/>
    <x v="1"/>
    <x v="0"/>
  </r>
  <r>
    <n v="42556.945138888892"/>
    <n v="42556"/>
    <x v="6"/>
    <x v="2"/>
    <s v="10:41:00 PM"/>
    <n v="42556.959722222222"/>
    <n v="0.95972222222189885"/>
    <s v="21 min"/>
    <x v="0"/>
    <s v="Durham"/>
    <s v="Morrisville"/>
    <x v="180"/>
    <x v="1"/>
    <x v="0"/>
  </r>
  <r>
    <n v="42557.022916666669"/>
    <n v="42557"/>
    <x v="6"/>
    <x v="3"/>
    <s v="12:33:00 AM"/>
    <n v="42557.036805555559"/>
    <n v="3.680555555911269E-2"/>
    <s v="20 min"/>
    <x v="0"/>
    <s v="Morrisville"/>
    <s v="Cary"/>
    <x v="98"/>
    <x v="0"/>
    <x v="1"/>
  </r>
  <r>
    <n v="42557.379166666666"/>
    <n v="42557"/>
    <x v="6"/>
    <x v="3"/>
    <s v="09:06:00 AM"/>
    <n v="42557.392361111109"/>
    <n v="0.39236111110949423"/>
    <s v="19 min"/>
    <x v="0"/>
    <s v="Cary"/>
    <s v="Durham"/>
    <x v="100"/>
    <x v="3"/>
    <x v="1"/>
  </r>
  <r>
    <n v="42557.533333333333"/>
    <n v="42557"/>
    <x v="6"/>
    <x v="3"/>
    <s v="12:48:00 PM"/>
    <n v="42557.547222222223"/>
    <n v="0.54722222222335404"/>
    <s v="20 min"/>
    <x v="0"/>
    <s v="Durham"/>
    <s v="Cary"/>
    <x v="100"/>
    <x v="1"/>
    <x v="3"/>
  </r>
  <r>
    <n v="42557.836111111108"/>
    <n v="42557"/>
    <x v="6"/>
    <x v="3"/>
    <s v="08:04:00 PM"/>
    <n v="42557.843055555553"/>
    <n v="0.84305555555329192"/>
    <s v="10 min"/>
    <x v="0"/>
    <s v="Cary"/>
    <s v="Morrisville"/>
    <x v="171"/>
    <x v="0"/>
    <x v="0"/>
  </r>
  <r>
    <n v="42557.990277777775"/>
    <n v="42557"/>
    <x v="6"/>
    <x v="3"/>
    <s v="11:46:00 PM"/>
    <n v="42557.999305555553"/>
    <n v="0.99930555555329192"/>
    <s v="13 min"/>
    <x v="0"/>
    <s v="Morrisville"/>
    <s v="Cary"/>
    <x v="97"/>
    <x v="4"/>
    <x v="0"/>
  </r>
  <r>
    <n v="42558.348611111112"/>
    <n v="42558"/>
    <x v="6"/>
    <x v="4"/>
    <s v="08:22:00 AM"/>
    <n v="42558.368055555555"/>
    <n v="0.36805555555474712"/>
    <s v="28 min"/>
    <x v="0"/>
    <s v="Cary"/>
    <s v="Morrisville"/>
    <x v="150"/>
    <x v="5"/>
    <x v="1"/>
  </r>
  <r>
    <n v="42558.435416666667"/>
    <n v="42558"/>
    <x v="6"/>
    <x v="4"/>
    <s v="10:27:00 AM"/>
    <n v="42558.439583333333"/>
    <n v="0.43958333333284827"/>
    <s v="6 min"/>
    <x v="0"/>
    <s v="Morrisville"/>
    <s v="Cary"/>
    <x v="71"/>
    <x v="1"/>
    <x v="3"/>
  </r>
  <r>
    <n v="42558.540972222225"/>
    <n v="42558"/>
    <x v="6"/>
    <x v="4"/>
    <s v="12:59:00 PM"/>
    <n v="42558.565972222219"/>
    <n v="0.56597222221898846"/>
    <s v="36 min"/>
    <x v="0"/>
    <s v="Kenner"/>
    <s v="New Orleans"/>
    <x v="114"/>
    <x v="1"/>
    <x v="3"/>
  </r>
  <r>
    <n v="42559.409722222219"/>
    <n v="42559"/>
    <x v="6"/>
    <x v="0"/>
    <s v="09:50:00 AM"/>
    <n v="42559.425694444442"/>
    <n v="0.4256944444423425"/>
    <s v="23 min"/>
    <x v="0"/>
    <s v="CBD"/>
    <s v="Pontchartrain Beach"/>
    <x v="55"/>
    <x v="1"/>
    <x v="1"/>
  </r>
  <r>
    <n v="42559.45208333333"/>
    <n v="42559"/>
    <x v="6"/>
    <x v="0"/>
    <s v="10:51:00 AM"/>
    <n v="42559.466666666667"/>
    <n v="0.46666666666715173"/>
    <s v="21 min"/>
    <x v="0"/>
    <s v="Pontchartrain Beach"/>
    <s v="CBD"/>
    <x v="187"/>
    <x v="1"/>
    <x v="3"/>
  </r>
  <r>
    <n v="42559.574999999997"/>
    <n v="42559"/>
    <x v="6"/>
    <x v="0"/>
    <s v="01:48:00 PM"/>
    <n v="42559.59097222222"/>
    <n v="0.59097222222044365"/>
    <s v="23 min"/>
    <x v="0"/>
    <s v="New Orleans"/>
    <s v="Metairie"/>
    <x v="117"/>
    <x v="1"/>
    <x v="3"/>
  </r>
  <r>
    <n v="42559.71597222222"/>
    <n v="42559"/>
    <x v="6"/>
    <x v="0"/>
    <s v="05:11:00 PM"/>
    <n v="42559.729166666664"/>
    <n v="0.72916666666424135"/>
    <s v="19 min"/>
    <x v="0"/>
    <s v="Kenner"/>
    <s v="New Orleans"/>
    <x v="122"/>
    <x v="1"/>
    <x v="2"/>
  </r>
  <r>
    <n v="42560.377083333333"/>
    <n v="42560"/>
    <x v="6"/>
    <x v="1"/>
    <s v="09:03:00 AM"/>
    <n v="42560.406944444447"/>
    <n v="0.40694444444670808"/>
    <s v="43 min"/>
    <x v="0"/>
    <s v="New Orleans"/>
    <s v="Kenner"/>
    <x v="73"/>
    <x v="1"/>
    <x v="1"/>
  </r>
  <r>
    <n v="42560.411111111112"/>
    <n v="42560"/>
    <x v="6"/>
    <x v="1"/>
    <s v="09:52:00 AM"/>
    <n v="42560.42083333333"/>
    <n v="0.42083333332993789"/>
    <s v="14 min"/>
    <x v="0"/>
    <s v="Kenner"/>
    <s v="Metairie"/>
    <x v="106"/>
    <x v="1"/>
    <x v="1"/>
  </r>
  <r>
    <n v="42560.427083333336"/>
    <n v="42560"/>
    <x v="6"/>
    <x v="1"/>
    <s v="10:15:00 AM"/>
    <n v="42560.439583333333"/>
    <n v="0.43958333333284827"/>
    <s v="18 min"/>
    <x v="0"/>
    <s v="Metairie"/>
    <s v="New Orleans"/>
    <x v="65"/>
    <x v="1"/>
    <x v="3"/>
  </r>
  <r>
    <n v="42561.590277777781"/>
    <n v="42561"/>
    <x v="6"/>
    <x v="5"/>
    <s v="02:10:00 PM"/>
    <n v="42561.595138888886"/>
    <n v="0.59513888888614019"/>
    <s v="7 min"/>
    <x v="0"/>
    <s v="CBD"/>
    <s v="St Thomas"/>
    <x v="188"/>
    <x v="1"/>
    <x v="3"/>
  </r>
  <r>
    <n v="42561.669444444444"/>
    <n v="42561"/>
    <x v="6"/>
    <x v="5"/>
    <s v="04:04:00 PM"/>
    <n v="42561.677083333336"/>
    <n v="0.67708333333575865"/>
    <s v="11 min"/>
    <x v="0"/>
    <s v="St Thomas"/>
    <s v="CBD"/>
    <x v="18"/>
    <x v="1"/>
    <x v="2"/>
  </r>
  <r>
    <n v="42561.753472222219"/>
    <n v="42561"/>
    <x v="6"/>
    <x v="5"/>
    <s v="06:05:00 PM"/>
    <n v="42561.76458333333"/>
    <n v="0.76458333332993789"/>
    <s v="16 min"/>
    <x v="0"/>
    <s v="New Orleans"/>
    <s v="Kenner"/>
    <x v="87"/>
    <x v="1"/>
    <x v="2"/>
  </r>
  <r>
    <n v="42561.82708333333"/>
    <n v="42561"/>
    <x v="6"/>
    <x v="5"/>
    <s v="07:51:00 PM"/>
    <n v="42561.838888888888"/>
    <n v="0.83888888888759539"/>
    <s v="17 min"/>
    <x v="0"/>
    <s v="Kenner"/>
    <s v="New Orleans"/>
    <x v="189"/>
    <x v="1"/>
    <x v="0"/>
  </r>
  <r>
    <n v="42563.673611111109"/>
    <n v="42563"/>
    <x v="6"/>
    <x v="2"/>
    <s v="04:10:00 PM"/>
    <n v="42563.697916666664"/>
    <n v="0.69791666666424135"/>
    <s v="35 min"/>
    <x v="0"/>
    <s v="New Orleans"/>
    <s v="Kenner"/>
    <x v="190"/>
    <x v="1"/>
    <x v="2"/>
  </r>
  <r>
    <n v="42563.806250000001"/>
    <n v="42563"/>
    <x v="6"/>
    <x v="2"/>
    <s v="07:21:00 PM"/>
    <n v="42563.80972222222"/>
    <n v="0.80972222222044365"/>
    <s v="5 min"/>
    <x v="1"/>
    <s v="Kenner"/>
    <s v="Kenner"/>
    <x v="34"/>
    <x v="1"/>
    <x v="0"/>
  </r>
  <r>
    <n v="42563.990972222222"/>
    <n v="42563"/>
    <x v="6"/>
    <x v="2"/>
    <s v="11:47:00 PM"/>
    <n v="42564.007638888892"/>
    <n v="7.6388888919609599E-3"/>
    <s v="24 min"/>
    <x v="1"/>
    <s v="Morrisville"/>
    <s v="Cary"/>
    <x v="151"/>
    <x v="1"/>
    <x v="0"/>
  </r>
  <r>
    <n v="42564.527083333334"/>
    <n v="42564"/>
    <x v="6"/>
    <x v="3"/>
    <s v="12:39:00 PM"/>
    <n v="42564.555555555555"/>
    <n v="0.55555555555474712"/>
    <s v="41 min"/>
    <x v="1"/>
    <s v="Cary"/>
    <s v="Morrisville"/>
    <x v="80"/>
    <x v="1"/>
    <x v="3"/>
  </r>
  <r>
    <n v="42564.559027777781"/>
    <n v="42564"/>
    <x v="6"/>
    <x v="3"/>
    <s v="01:25:00 PM"/>
    <n v="42564.568749999999"/>
    <n v="0.56874999999854481"/>
    <s v="14 min"/>
    <x v="1"/>
    <s v="Morrisville"/>
    <s v="Morrisville"/>
    <x v="95"/>
    <x v="1"/>
    <x v="3"/>
  </r>
  <r>
    <n v="42564.570833333331"/>
    <n v="42564"/>
    <x v="6"/>
    <x v="3"/>
    <s v="01:42:00 PM"/>
    <n v="42564.57916666667"/>
    <n v="0.57916666667006211"/>
    <s v="12 min"/>
    <x v="1"/>
    <s v="Morrisville"/>
    <s v="Cary"/>
    <x v="183"/>
    <x v="1"/>
    <x v="3"/>
  </r>
  <r>
    <n v="42565.660416666666"/>
    <n v="42565"/>
    <x v="6"/>
    <x v="4"/>
    <s v="03:51:00 PM"/>
    <n v="42565.665972222225"/>
    <n v="0.66597222222480923"/>
    <s v="8 min"/>
    <x v="1"/>
    <s v="Cary"/>
    <s v="Morrisville"/>
    <x v="171"/>
    <x v="1"/>
    <x v="2"/>
  </r>
  <r>
    <n v="42565.668749999997"/>
    <n v="42565"/>
    <x v="6"/>
    <x v="4"/>
    <s v="04:03:00 PM"/>
    <n v="42565.69027777778"/>
    <n v="0.69027777777955635"/>
    <s v="31 min"/>
    <x v="0"/>
    <s v="Morrisville"/>
    <s v="Morrisville"/>
    <x v="23"/>
    <x v="2"/>
    <x v="2"/>
  </r>
  <r>
    <n v="42565.693749999999"/>
    <n v="42565"/>
    <x v="6"/>
    <x v="4"/>
    <s v="04:39:00 PM"/>
    <n v="42565.836805555555"/>
    <n v="0.83680555555474712"/>
    <s v="206 min"/>
    <x v="0"/>
    <s v="Morrisville"/>
    <s v="Banner Elk"/>
    <x v="191"/>
    <x v="1"/>
    <x v="2"/>
  </r>
  <r>
    <n v="42566.480555555558"/>
    <n v="42566"/>
    <x v="6"/>
    <x v="0"/>
    <s v="11:32:00 AM"/>
    <n v="42566.495138888888"/>
    <n v="0.49513888888759539"/>
    <s v="21 min"/>
    <x v="1"/>
    <s v="Banner Elk"/>
    <s v="Banner Elk"/>
    <x v="8"/>
    <x v="1"/>
    <x v="3"/>
  </r>
  <r>
    <n v="42566.506249999999"/>
    <n v="42566"/>
    <x v="6"/>
    <x v="0"/>
    <s v="12:09:00 PM"/>
    <n v="42566.513194444444"/>
    <n v="0.51319444444379769"/>
    <s v="10 min"/>
    <x v="1"/>
    <s v="Banner Elk"/>
    <s v="Banner Elk"/>
    <x v="57"/>
    <x v="1"/>
    <x v="3"/>
  </r>
  <r>
    <n v="42566.524305555555"/>
    <n v="42566"/>
    <x v="6"/>
    <x v="0"/>
    <s v="12:35:00 PM"/>
    <n v="42566.552083333336"/>
    <n v="0.55208333333575865"/>
    <s v="40 min"/>
    <x v="1"/>
    <s v="Banner Elk"/>
    <s v="Elk Park"/>
    <x v="192"/>
    <x v="1"/>
    <x v="3"/>
  </r>
  <r>
    <n v="42566.627083333333"/>
    <n v="42566"/>
    <x v="6"/>
    <x v="0"/>
    <s v="03:03:00 PM"/>
    <n v="42566.647916666669"/>
    <n v="0.64791666666860692"/>
    <s v="30 min"/>
    <x v="1"/>
    <s v="Elk Park"/>
    <s v="Banner Elk"/>
    <x v="177"/>
    <x v="1"/>
    <x v="2"/>
  </r>
  <r>
    <n v="42566.652777777781"/>
    <n v="42566"/>
    <x v="6"/>
    <x v="0"/>
    <s v="03:40:00 PM"/>
    <n v="42566.661111111112"/>
    <n v="0.66111111111240461"/>
    <s v="12 min"/>
    <x v="1"/>
    <s v="Banner Elk"/>
    <s v="Banner Elk"/>
    <x v="77"/>
    <x v="1"/>
    <x v="2"/>
  </r>
  <r>
    <n v="42567.551388888889"/>
    <n v="42567"/>
    <x v="6"/>
    <x v="1"/>
    <s v="01:14:00 PM"/>
    <n v="42567.590277777781"/>
    <n v="0.59027777778101154"/>
    <s v="56 min"/>
    <x v="1"/>
    <s v="Banner Elk"/>
    <s v="Newland"/>
    <x v="193"/>
    <x v="1"/>
    <x v="3"/>
  </r>
  <r>
    <n v="42567.593055555553"/>
    <n v="42567"/>
    <x v="6"/>
    <x v="1"/>
    <s v="02:14:00 PM"/>
    <n v="42567.604166666664"/>
    <n v="0.60416666666424135"/>
    <s v="16 min"/>
    <x v="1"/>
    <s v="Newland"/>
    <s v="Newland"/>
    <x v="103"/>
    <x v="1"/>
    <x v="3"/>
  </r>
  <r>
    <n v="42567.645138888889"/>
    <n v="42567"/>
    <x v="6"/>
    <x v="1"/>
    <s v="03:29:00 PM"/>
    <n v="42567.706250000003"/>
    <n v="0.70625000000291038"/>
    <s v="88 min"/>
    <x v="1"/>
    <s v="Newland"/>
    <s v="Boone"/>
    <x v="194"/>
    <x v="1"/>
    <x v="2"/>
  </r>
  <r>
    <n v="42567.820833333331"/>
    <n v="42567"/>
    <x v="6"/>
    <x v="1"/>
    <s v="07:42:00 PM"/>
    <n v="42567.857638888891"/>
    <n v="0.85763888889050577"/>
    <s v="53 min"/>
    <x v="1"/>
    <s v="Boone"/>
    <s v="Banner Elk"/>
    <x v="195"/>
    <x v="1"/>
    <x v="0"/>
  </r>
  <r>
    <n v="42567.90625"/>
    <n v="42567"/>
    <x v="6"/>
    <x v="1"/>
    <s v="09:45:00 PM"/>
    <n v="42567.929166666669"/>
    <n v="0.92916666666860692"/>
    <s v="33 min"/>
    <x v="1"/>
    <s v="Banner Elk"/>
    <s v="Banner Elk"/>
    <x v="73"/>
    <x v="1"/>
    <x v="0"/>
  </r>
  <r>
    <n v="42567.951388888891"/>
    <n v="42567"/>
    <x v="6"/>
    <x v="1"/>
    <s v="10:50:00 PM"/>
    <n v="42567.960416666669"/>
    <n v="0.96041666666860692"/>
    <s v="13 min"/>
    <x v="0"/>
    <s v="Banner Elk"/>
    <s v="Banner Elk"/>
    <x v="183"/>
    <x v="2"/>
    <x v="0"/>
  </r>
  <r>
    <n v="42568.474305555559"/>
    <n v="42568"/>
    <x v="6"/>
    <x v="5"/>
    <s v="11:23:00 AM"/>
    <n v="42568.493055555555"/>
    <n v="0.49305555555474712"/>
    <s v="27 min"/>
    <x v="1"/>
    <s v="Banner Elk"/>
    <s v="Boone"/>
    <x v="21"/>
    <x v="7"/>
    <x v="3"/>
  </r>
  <r>
    <n v="42568.513888888891"/>
    <n v="42568"/>
    <x v="6"/>
    <x v="5"/>
    <s v="12:20:00 PM"/>
    <n v="42568.642361111109"/>
    <n v="0.64236111110949423"/>
    <s v="185 min"/>
    <x v="1"/>
    <s v="Boone"/>
    <s v="Cary"/>
    <x v="196"/>
    <x v="8"/>
    <x v="3"/>
  </r>
  <r>
    <n v="42569.442361111112"/>
    <n v="42569"/>
    <x v="6"/>
    <x v="6"/>
    <s v="10:37:00 AM"/>
    <n v="42569.450694444444"/>
    <n v="0.45069444444379769"/>
    <s v="12 min"/>
    <x v="1"/>
    <s v="Cary"/>
    <s v="Morrisville"/>
    <x v="197"/>
    <x v="9"/>
    <x v="3"/>
  </r>
  <r>
    <n v="42569.45416666667"/>
    <n v="42569"/>
    <x v="6"/>
    <x v="6"/>
    <s v="10:54:00 AM"/>
    <n v="42569.46875"/>
    <n v="0.46875"/>
    <s v="21 min"/>
    <x v="1"/>
    <s v="Morrisville"/>
    <s v="Cary"/>
    <x v="59"/>
    <x v="9"/>
    <x v="3"/>
  </r>
  <r>
    <n v="42569.475694444445"/>
    <n v="42569"/>
    <x v="6"/>
    <x v="6"/>
    <s v="11:25:00 AM"/>
    <n v="42569.48333333333"/>
    <n v="0.48333333332993789"/>
    <s v="11 min"/>
    <x v="1"/>
    <s v="Northwoods"/>
    <s v="Preston"/>
    <x v="171"/>
    <x v="9"/>
    <x v="3"/>
  </r>
  <r>
    <n v="42569.486111111109"/>
    <n v="42569"/>
    <x v="6"/>
    <x v="6"/>
    <s v="11:40:00 AM"/>
    <n v="42569.49722222222"/>
    <n v="0.49722222222044365"/>
    <s v="16 min"/>
    <x v="1"/>
    <s v="Preston"/>
    <s v="Whitebridge"/>
    <x v="3"/>
    <x v="9"/>
    <x v="3"/>
  </r>
  <r>
    <n v="42569.716666666667"/>
    <n v="42569"/>
    <x v="6"/>
    <x v="6"/>
    <s v="05:12:00 PM"/>
    <n v="42569.731249999997"/>
    <n v="0.73124999999708962"/>
    <s v="21 min"/>
    <x v="0"/>
    <s v="Cary"/>
    <s v="Apex"/>
    <x v="28"/>
    <x v="3"/>
    <x v="2"/>
  </r>
  <r>
    <n v="42569.772222222222"/>
    <n v="42569"/>
    <x v="6"/>
    <x v="6"/>
    <s v="06:32:00 PM"/>
    <n v="42569.782638888886"/>
    <n v="0.78263888888614019"/>
    <s v="15 min"/>
    <x v="0"/>
    <s v="Apex"/>
    <s v="Cary"/>
    <x v="47"/>
    <x v="0"/>
    <x v="2"/>
  </r>
  <r>
    <n v="42569.796527777777"/>
    <n v="42569"/>
    <x v="6"/>
    <x v="6"/>
    <s v="07:07:00 PM"/>
    <n v="42569.801388888889"/>
    <n v="0.80138888888905058"/>
    <s v="7 min"/>
    <x v="0"/>
    <s v="Cary"/>
    <s v="Morrisville"/>
    <x v="171"/>
    <x v="0"/>
    <x v="0"/>
  </r>
  <r>
    <n v="42569.852777777778"/>
    <n v="42569"/>
    <x v="6"/>
    <x v="6"/>
    <s v="08:28:00 PM"/>
    <n v="42569.855555555558"/>
    <n v="0.8555555555576575"/>
    <s v="4 min"/>
    <x v="0"/>
    <s v="Hazelwood"/>
    <s v="Weston"/>
    <x v="129"/>
    <x v="2"/>
    <x v="0"/>
  </r>
  <r>
    <n v="42569.882638888892"/>
    <n v="42569"/>
    <x v="6"/>
    <x v="6"/>
    <s v="09:11:00 PM"/>
    <n v="42569.888194444444"/>
    <n v="0.88819444444379769"/>
    <s v="8 min"/>
    <x v="0"/>
    <s v="Morrisville"/>
    <s v="Cary"/>
    <x v="103"/>
    <x v="0"/>
    <x v="0"/>
  </r>
  <r>
    <n v="42570.440972222219"/>
    <n v="42570"/>
    <x v="6"/>
    <x v="2"/>
    <s v="10:35:00 AM"/>
    <n v="42570.45208333333"/>
    <n v="0.45208333332993789"/>
    <s v="16 min"/>
    <x v="0"/>
    <s v="Whitebridge"/>
    <s v="Stonewater"/>
    <x v="13"/>
    <x v="4"/>
    <x v="3"/>
  </r>
  <r>
    <n v="42570.455555555556"/>
    <n v="42570"/>
    <x v="6"/>
    <x v="2"/>
    <s v="10:56:00 AM"/>
    <n v="42570.46597222222"/>
    <n v="0.46597222222044365"/>
    <s v="15 min"/>
    <x v="0"/>
    <s v="Stonewater"/>
    <s v="Lexington Park at Amberly"/>
    <x v="61"/>
    <x v="3"/>
    <x v="3"/>
  </r>
  <r>
    <n v="42570.479166666664"/>
    <n v="42570"/>
    <x v="6"/>
    <x v="2"/>
    <s v="11:30:00 AM"/>
    <n v="42570.5"/>
    <n v="0.5"/>
    <s v="30 min"/>
    <x v="0"/>
    <s v="Lexington Park at Amberly"/>
    <s v="Whitebridge"/>
    <x v="151"/>
    <x v="0"/>
    <x v="3"/>
  </r>
  <r>
    <n v="42570.718055555553"/>
    <n v="42570"/>
    <x v="6"/>
    <x v="2"/>
    <s v="05:14:00 PM"/>
    <n v="42570.724999999999"/>
    <n v="0.72499999999854481"/>
    <s v="10 min"/>
    <x v="0"/>
    <s v="Whitebridge"/>
    <s v="Chessington"/>
    <x v="25"/>
    <x v="2"/>
    <x v="2"/>
  </r>
  <r>
    <n v="42570.743055555555"/>
    <n v="42570"/>
    <x v="6"/>
    <x v="2"/>
    <s v="05:50:00 PM"/>
    <n v="42570.755555555559"/>
    <n v="0.75555555555911269"/>
    <s v="18 min"/>
    <x v="1"/>
    <s v="Chessington"/>
    <s v="Whitebridge"/>
    <x v="2"/>
    <x v="1"/>
    <x v="2"/>
  </r>
  <r>
    <n v="42571.716666666667"/>
    <n v="42571"/>
    <x v="6"/>
    <x v="3"/>
    <s v="05:12:00 PM"/>
    <n v="42571.724999999999"/>
    <n v="0.72499999999854481"/>
    <s v="12 min"/>
    <x v="1"/>
    <s v="Whitebridge"/>
    <s v="Edgehill Farms"/>
    <x v="109"/>
    <x v="1"/>
    <x v="2"/>
  </r>
  <r>
    <n v="42571.743055555555"/>
    <n v="42571"/>
    <x v="6"/>
    <x v="3"/>
    <s v="05:50:00 PM"/>
    <n v="42571.747916666667"/>
    <n v="0.74791666666715173"/>
    <s v="7 min"/>
    <x v="1"/>
    <s v="Edgehill Farms"/>
    <s v="Preston"/>
    <x v="34"/>
    <x v="1"/>
    <x v="2"/>
  </r>
  <r>
    <n v="42571.761111111111"/>
    <n v="42571"/>
    <x v="6"/>
    <x v="3"/>
    <s v="06:16:00 PM"/>
    <n v="42571.763888888891"/>
    <n v="0.76388888889050577"/>
    <s v="4 min"/>
    <x v="1"/>
    <s v="Preston"/>
    <s v="Whitebridge"/>
    <x v="34"/>
    <x v="1"/>
    <x v="2"/>
  </r>
  <r>
    <n v="42572.720138888886"/>
    <n v="42572"/>
    <x v="6"/>
    <x v="4"/>
    <s v="05:17:00 PM"/>
    <n v="42572.724305555559"/>
    <n v="0.72430555555911269"/>
    <s v="6 min"/>
    <x v="0"/>
    <s v="Whitebridge"/>
    <s v="Edgehill Farms"/>
    <x v="38"/>
    <x v="1"/>
    <x v="2"/>
  </r>
  <r>
    <n v="42572.737500000003"/>
    <n v="42572"/>
    <x v="6"/>
    <x v="4"/>
    <s v="05:42:00 PM"/>
    <n v="42572.743750000001"/>
    <n v="0.74375000000145519"/>
    <s v="9 min"/>
    <x v="0"/>
    <s v="Edgehill Farms"/>
    <s v="Burtrose"/>
    <x v="33"/>
    <x v="1"/>
    <x v="2"/>
  </r>
  <r>
    <n v="42572.768750000003"/>
    <n v="42572"/>
    <x v="6"/>
    <x v="4"/>
    <s v="06:27:00 PM"/>
    <n v="42572.779166666667"/>
    <n v="0.77916666666715173"/>
    <s v="15 min"/>
    <x v="0"/>
    <s v="Cary"/>
    <s v="Morrisville"/>
    <x v="174"/>
    <x v="1"/>
    <x v="2"/>
  </r>
  <r>
    <n v="42572.8125"/>
    <n v="42572"/>
    <x v="6"/>
    <x v="4"/>
    <s v="07:30:00 PM"/>
    <n v="42572.818749999999"/>
    <n v="0.81874999999854481"/>
    <s v="9 min"/>
    <x v="0"/>
    <s v="Morrisville"/>
    <s v="Cary"/>
    <x v="163"/>
    <x v="1"/>
    <x v="0"/>
  </r>
  <r>
    <n v="42573.445833333331"/>
    <n v="42573"/>
    <x v="6"/>
    <x v="0"/>
    <s v="10:42:00 AM"/>
    <n v="42573.453472222223"/>
    <n v="0.45347222222335404"/>
    <s v="11 min"/>
    <x v="0"/>
    <s v="Cary"/>
    <s v="Morrisville"/>
    <x v="103"/>
    <x v="1"/>
    <x v="3"/>
  </r>
  <r>
    <n v="42573.46597222222"/>
    <n v="42573"/>
    <x v="6"/>
    <x v="0"/>
    <s v="11:11:00 AM"/>
    <n v="42573.475694444445"/>
    <n v="0.47569444444525288"/>
    <s v="14 min"/>
    <x v="0"/>
    <s v="Morrisville"/>
    <s v="Cary"/>
    <x v="0"/>
    <x v="1"/>
    <x v="3"/>
  </r>
  <r>
    <n v="42573.484027777777"/>
    <n v="42573"/>
    <x v="6"/>
    <x v="0"/>
    <s v="11:37:00 AM"/>
    <n v="42573.5"/>
    <n v="0.5"/>
    <s v="23 min"/>
    <x v="0"/>
    <s v="Hazelwood"/>
    <s v="Lexington Park at Amberly"/>
    <x v="198"/>
    <x v="1"/>
    <x v="3"/>
  </r>
  <r>
    <n v="42573.509722222225"/>
    <n v="42573"/>
    <x v="6"/>
    <x v="0"/>
    <s v="12:14:00 PM"/>
    <n v="42573.521527777775"/>
    <n v="0.52152777777519077"/>
    <s v="17 min"/>
    <x v="0"/>
    <s v="Cary"/>
    <s v="Durham"/>
    <x v="26"/>
    <x v="1"/>
    <x v="3"/>
  </r>
  <r>
    <n v="42573.556250000001"/>
    <n v="42573"/>
    <x v="6"/>
    <x v="0"/>
    <s v="01:21:00 PM"/>
    <n v="42573.570833333331"/>
    <n v="0.57083333333139308"/>
    <s v="21 min"/>
    <x v="0"/>
    <s v="Durham"/>
    <s v="Cary"/>
    <x v="100"/>
    <x v="3"/>
    <x v="3"/>
  </r>
  <r>
    <n v="42573.602083333331"/>
    <n v="42573"/>
    <x v="6"/>
    <x v="0"/>
    <s v="02:27:00 PM"/>
    <n v="42573.613194444442"/>
    <n v="0.6131944444423425"/>
    <s v="16 min"/>
    <x v="0"/>
    <s v="Cary"/>
    <s v="Morrisville"/>
    <x v="59"/>
    <x v="0"/>
    <x v="3"/>
  </r>
  <r>
    <n v="42573.65902777778"/>
    <n v="42573"/>
    <x v="6"/>
    <x v="0"/>
    <s v="03:49:00 PM"/>
    <n v="42573.681944444441"/>
    <n v="0.68194444444088731"/>
    <s v="33 min"/>
    <x v="0"/>
    <s v="Morrisville"/>
    <s v="Cary"/>
    <x v="177"/>
    <x v="1"/>
    <x v="2"/>
  </r>
  <r>
    <n v="42573.772916666669"/>
    <n v="42573"/>
    <x v="6"/>
    <x v="0"/>
    <s v="06:33:00 PM"/>
    <n v="42573.785416666666"/>
    <n v="0.78541666666569654"/>
    <s v="18 min"/>
    <x v="0"/>
    <s v="Wayne Ridge"/>
    <s v="Whitebridge"/>
    <x v="26"/>
    <x v="1"/>
    <x v="2"/>
  </r>
  <r>
    <n v="42574.602083333331"/>
    <n v="42574"/>
    <x v="6"/>
    <x v="1"/>
    <s v="02:27:00 PM"/>
    <n v="42574.613888888889"/>
    <n v="0.61388888888905058"/>
    <s v="17 min"/>
    <x v="0"/>
    <s v="Cary"/>
    <s v="Morrisville"/>
    <x v="17"/>
    <x v="1"/>
    <x v="3"/>
  </r>
  <r>
    <n v="42574.616666666669"/>
    <n v="42574"/>
    <x v="6"/>
    <x v="1"/>
    <s v="02:48:00 PM"/>
    <n v="42574.633333333331"/>
    <n v="0.63333333333139308"/>
    <s v="24 min"/>
    <x v="0"/>
    <s v="Morrisville"/>
    <s v="Cary"/>
    <x v="199"/>
    <x v="1"/>
    <x v="3"/>
  </r>
  <r>
    <n v="42574.635416666664"/>
    <n v="42574"/>
    <x v="6"/>
    <x v="1"/>
    <s v="03:15:00 PM"/>
    <n v="42574.643750000003"/>
    <n v="0.64375000000291038"/>
    <s v="12 min"/>
    <x v="0"/>
    <s v="Cary"/>
    <s v="Morrisville"/>
    <x v="61"/>
    <x v="1"/>
    <x v="2"/>
  </r>
  <r>
    <n v="42574.659722222219"/>
    <n v="42574"/>
    <x v="6"/>
    <x v="1"/>
    <s v="03:50:00 PM"/>
    <n v="42574.673611111109"/>
    <n v="0.67361111110949423"/>
    <s v="20 min"/>
    <x v="0"/>
    <s v="Morrisville"/>
    <s v="Cary"/>
    <x v="98"/>
    <x v="1"/>
    <x v="2"/>
  </r>
  <r>
    <n v="42574.845138888886"/>
    <n v="42574"/>
    <x v="6"/>
    <x v="1"/>
    <s v="08:17:00 PM"/>
    <n v="42574.856249999997"/>
    <n v="0.85624999999708962"/>
    <s v="16 min"/>
    <x v="0"/>
    <s v="Cary"/>
    <s v="Durham"/>
    <x v="27"/>
    <x v="3"/>
    <x v="0"/>
  </r>
  <r>
    <n v="42574.970833333333"/>
    <n v="42574"/>
    <x v="6"/>
    <x v="1"/>
    <s v="11:18:00 PM"/>
    <n v="42574.988194444442"/>
    <n v="0.9881944444423425"/>
    <s v="25 min"/>
    <x v="0"/>
    <s v="Durham"/>
    <s v="Cary"/>
    <x v="100"/>
    <x v="3"/>
    <x v="0"/>
  </r>
  <r>
    <n v="42576.440972222219"/>
    <n v="42576"/>
    <x v="6"/>
    <x v="6"/>
    <s v="10:35:00 AM"/>
    <n v="42576.445138888892"/>
    <n v="0.44513888889196096"/>
    <s v="6 min"/>
    <x v="0"/>
    <s v="Whitebridge"/>
    <s v="Parkway"/>
    <x v="62"/>
    <x v="1"/>
    <x v="3"/>
  </r>
  <r>
    <n v="42576.449305555558"/>
    <n v="42576"/>
    <x v="6"/>
    <x v="6"/>
    <s v="10:47:00 AM"/>
    <n v="42576.456944444442"/>
    <n v="0.4569444444423425"/>
    <s v="11 min"/>
    <x v="0"/>
    <s v="Cary"/>
    <s v="Morrisville"/>
    <x v="106"/>
    <x v="1"/>
    <x v="3"/>
  </r>
  <r>
    <n v="42576.461111111108"/>
    <n v="42576"/>
    <x v="6"/>
    <x v="6"/>
    <s v="11:04:00 AM"/>
    <n v="42576.481249999997"/>
    <n v="0.48124999999708962"/>
    <s v="29 min"/>
    <x v="0"/>
    <s v="Morrisville"/>
    <s v="Cary"/>
    <x v="150"/>
    <x v="1"/>
    <x v="3"/>
  </r>
  <r>
    <n v="42576.484027777777"/>
    <n v="42576"/>
    <x v="6"/>
    <x v="6"/>
    <s v="11:37:00 AM"/>
    <n v="42576.488888888889"/>
    <n v="0.48888888888905058"/>
    <s v="7 min"/>
    <x v="0"/>
    <s v="Parkway"/>
    <s v="Whitebridge"/>
    <x v="15"/>
    <x v="1"/>
    <x v="3"/>
  </r>
  <r>
    <n v="42577.654861111114"/>
    <n v="42577"/>
    <x v="6"/>
    <x v="2"/>
    <s v="03:43:00 PM"/>
    <n v="42577.65902777778"/>
    <n v="0.65902777777955635"/>
    <s v="6 min"/>
    <x v="0"/>
    <s v="Whitebridge"/>
    <s v="Westpark Place"/>
    <x v="95"/>
    <x v="1"/>
    <x v="2"/>
  </r>
  <r>
    <n v="42577.718055555553"/>
    <n v="42577"/>
    <x v="6"/>
    <x v="2"/>
    <s v="05:14:00 PM"/>
    <n v="42577.724999999999"/>
    <n v="0.72499999999854481"/>
    <s v="10 min"/>
    <x v="0"/>
    <s v="Westpark Place"/>
    <s v="Whitebridge"/>
    <x v="102"/>
    <x v="1"/>
    <x v="2"/>
  </r>
  <r>
    <n v="42577.869444444441"/>
    <n v="42577"/>
    <x v="6"/>
    <x v="2"/>
    <s v="08:52:00 PM"/>
    <n v="42577.875"/>
    <n v="0.875"/>
    <s v="8 min"/>
    <x v="0"/>
    <s v="Cary"/>
    <s v="Morrisville"/>
    <x v="88"/>
    <x v="0"/>
    <x v="0"/>
  </r>
  <r>
    <n v="42577.938194444447"/>
    <n v="42577"/>
    <x v="6"/>
    <x v="2"/>
    <s v="10:31:00 PM"/>
    <n v="42577.943749999999"/>
    <n v="0.94374999999854481"/>
    <s v="8 min"/>
    <x v="0"/>
    <s v="Morrisville"/>
    <s v="Cary"/>
    <x v="88"/>
    <x v="0"/>
    <x v="0"/>
  </r>
  <r>
    <n v="42578.797222222223"/>
    <n v="42578"/>
    <x v="6"/>
    <x v="3"/>
    <s v="07:08:00 PM"/>
    <n v="42578.805555555555"/>
    <n v="0.80555555555474712"/>
    <s v="12 min"/>
    <x v="0"/>
    <s v="Cary"/>
    <s v="Morrisville"/>
    <x v="109"/>
    <x v="1"/>
    <x v="0"/>
  </r>
  <r>
    <n v="42578.898611111108"/>
    <n v="42578"/>
    <x v="6"/>
    <x v="3"/>
    <s v="09:34:00 PM"/>
    <n v="42578.914583333331"/>
    <n v="0.91458333333139308"/>
    <s v="23 min"/>
    <x v="0"/>
    <s v="Morrisville"/>
    <s v="Raleigh"/>
    <x v="41"/>
    <x v="1"/>
    <x v="0"/>
  </r>
  <r>
    <n v="42578.916666666664"/>
    <n v="42578"/>
    <x v="6"/>
    <x v="3"/>
    <s v="10:00:00 PM"/>
    <n v="42578.93472222222"/>
    <n v="0.93472222222044365"/>
    <s v="26 min"/>
    <x v="0"/>
    <s v="Raleigh"/>
    <s v="Morrisville"/>
    <x v="200"/>
    <x v="1"/>
    <x v="0"/>
  </r>
  <r>
    <n v="42579.00277777778"/>
    <n v="42579"/>
    <x v="6"/>
    <x v="4"/>
    <s v="12:04:00 AM"/>
    <n v="42579.006249999999"/>
    <n v="6.2499999985448085E-3"/>
    <s v="5 min"/>
    <x v="0"/>
    <s v="Morrisville"/>
    <s v="Cary"/>
    <x v="33"/>
    <x v="1"/>
    <x v="1"/>
  </r>
  <r>
    <n v="42580.65625"/>
    <n v="42580"/>
    <x v="6"/>
    <x v="0"/>
    <s v="03:45:00 PM"/>
    <n v="42580.657638888886"/>
    <n v="0.65763888888614019"/>
    <s v="2 min"/>
    <x v="0"/>
    <s v="Whitebridge"/>
    <s v="Westpark Place"/>
    <x v="95"/>
    <x v="1"/>
    <x v="2"/>
  </r>
  <r>
    <n v="42580.727083333331"/>
    <n v="42580"/>
    <x v="6"/>
    <x v="0"/>
    <s v="05:27:00 PM"/>
    <n v="42580.739583333336"/>
    <n v="0.73958333333575865"/>
    <s v="18 min"/>
    <x v="0"/>
    <s v="Westpark Place"/>
    <s v="Whitebridge"/>
    <x v="95"/>
    <x v="0"/>
    <x v="2"/>
  </r>
  <r>
    <n v="42581.709722222222"/>
    <n v="42581"/>
    <x v="6"/>
    <x v="1"/>
    <s v="05:02:00 PM"/>
    <n v="42581.727083333331"/>
    <n v="0.72708333333139308"/>
    <s v="25 min"/>
    <x v="0"/>
    <s v="Cary"/>
    <s v="Durham"/>
    <x v="170"/>
    <x v="1"/>
    <x v="2"/>
  </r>
  <r>
    <n v="42581.886111111111"/>
    <n v="42581"/>
    <x v="6"/>
    <x v="1"/>
    <s v="09:16:00 PM"/>
    <n v="42581.90347222222"/>
    <n v="0.90347222222044365"/>
    <s v="25 min"/>
    <x v="0"/>
    <s v="Durham"/>
    <s v="Cary"/>
    <x v="185"/>
    <x v="1"/>
    <x v="0"/>
  </r>
  <r>
    <n v="42582.729166666664"/>
    <n v="42582"/>
    <x v="6"/>
    <x v="5"/>
    <s v="05:30:00 PM"/>
    <n v="42582.734027777777"/>
    <n v="0.73402777777664596"/>
    <s v="7 min"/>
    <x v="0"/>
    <s v="Westpark Place"/>
    <s v="Whitebridge"/>
    <x v="18"/>
    <x v="1"/>
    <x v="2"/>
  </r>
  <r>
    <n v="42583.532638888886"/>
    <n v="42583"/>
    <x v="7"/>
    <x v="6"/>
    <s v="12:47:00 PM"/>
    <n v="42583.544444444444"/>
    <n v="0.54444444444379769"/>
    <s v="17 min"/>
    <x v="0"/>
    <s v="Whitebridge"/>
    <s v="Arlington Park at Amberly"/>
    <x v="12"/>
    <x v="1"/>
    <x v="3"/>
  </r>
  <r>
    <n v="42583.547222222223"/>
    <n v="42583"/>
    <x v="7"/>
    <x v="6"/>
    <s v="01:08:00 PM"/>
    <n v="42583.554861111108"/>
    <n v="0.55486111110803904"/>
    <s v="11 min"/>
    <x v="0"/>
    <s v="Arlington Park at Amberly"/>
    <s v="Lexington Park at Amberly"/>
    <x v="188"/>
    <x v="1"/>
    <x v="3"/>
  </r>
  <r>
    <n v="42583.561111111114"/>
    <n v="42583"/>
    <x v="7"/>
    <x v="6"/>
    <s v="01:28:00 PM"/>
    <n v="42583.573611111111"/>
    <n v="0.57361111111094942"/>
    <s v="18 min"/>
    <x v="0"/>
    <s v="Lexington Park at Amberly"/>
    <s v="Westpark Place"/>
    <x v="16"/>
    <x v="1"/>
    <x v="3"/>
  </r>
  <r>
    <n v="42583.577777777777"/>
    <n v="42583"/>
    <x v="7"/>
    <x v="6"/>
    <s v="01:52:00 PM"/>
    <n v="42583.593055555553"/>
    <n v="0.59305555555329192"/>
    <s v="22 min"/>
    <x v="0"/>
    <s v="Cary"/>
    <s v="Apex"/>
    <x v="136"/>
    <x v="1"/>
    <x v="3"/>
  </r>
  <r>
    <n v="42583.652777777781"/>
    <n v="42583"/>
    <x v="7"/>
    <x v="6"/>
    <s v="03:40:00 PM"/>
    <n v="42583.657638888886"/>
    <n v="0.65763888888614019"/>
    <s v="7 min"/>
    <x v="0"/>
    <s v="Apex"/>
    <s v="Cary"/>
    <x v="43"/>
    <x v="1"/>
    <x v="2"/>
  </r>
  <r>
    <n v="42583.679166666669"/>
    <n v="42583"/>
    <x v="7"/>
    <x v="6"/>
    <s v="04:18:00 PM"/>
    <n v="42583.684027777781"/>
    <n v="0.68402777778101154"/>
    <s v="7 min"/>
    <x v="0"/>
    <s v="Whitebridge"/>
    <s v="Edgehill Farms"/>
    <x v="109"/>
    <x v="1"/>
    <x v="2"/>
  </r>
  <r>
    <n v="42583.686805555553"/>
    <n v="42583"/>
    <x v="7"/>
    <x v="6"/>
    <s v="04:29:00 PM"/>
    <n v="42583.707638888889"/>
    <n v="0.70763888888905058"/>
    <s v="30 min"/>
    <x v="0"/>
    <s v="Cary"/>
    <s v="Morrisville"/>
    <x v="198"/>
    <x v="1"/>
    <x v="2"/>
  </r>
  <r>
    <n v="42583.724305555559"/>
    <n v="42583"/>
    <x v="7"/>
    <x v="6"/>
    <s v="05:23:00 PM"/>
    <n v="42583.746527777781"/>
    <n v="0.74652777778101154"/>
    <s v="32 min"/>
    <x v="0"/>
    <s v="Morrisville"/>
    <s v="Cary"/>
    <x v="72"/>
    <x v="1"/>
    <x v="2"/>
  </r>
  <r>
    <n v="42584.34097222222"/>
    <n v="42584"/>
    <x v="7"/>
    <x v="2"/>
    <s v="08:11:00 AM"/>
    <n v="42584.355555555558"/>
    <n v="0.3555555555576575"/>
    <s v="21 min"/>
    <x v="0"/>
    <s v="Cary"/>
    <s v="Morrisville"/>
    <x v="69"/>
    <x v="3"/>
    <x v="1"/>
  </r>
  <r>
    <n v="42584.493750000001"/>
    <n v="42584"/>
    <x v="7"/>
    <x v="2"/>
    <s v="11:51:00 AM"/>
    <n v="42584.510416666664"/>
    <n v="0.51041666666424135"/>
    <s v="24 min"/>
    <x v="0"/>
    <s v="Arlington"/>
    <s v="Washington"/>
    <x v="106"/>
    <x v="1"/>
    <x v="3"/>
  </r>
  <r>
    <n v="42584.802083333336"/>
    <n v="42584"/>
    <x v="7"/>
    <x v="2"/>
    <s v="07:15:00 PM"/>
    <n v="42584.807638888888"/>
    <n v="0.80763888888759539"/>
    <s v="8 min"/>
    <x v="0"/>
    <s v="Kalorama Triangle"/>
    <s v="K Street"/>
    <x v="32"/>
    <x v="1"/>
    <x v="0"/>
  </r>
  <r>
    <n v="42584.890972222223"/>
    <n v="42584"/>
    <x v="7"/>
    <x v="2"/>
    <s v="09:23:00 PM"/>
    <n v="42584.895138888889"/>
    <n v="0.89513888888905058"/>
    <s v="6 min"/>
    <x v="0"/>
    <s v="K Street"/>
    <s v="Kalorama Triangle"/>
    <x v="32"/>
    <x v="1"/>
    <x v="0"/>
  </r>
  <r>
    <n v="42585.531944444447"/>
    <n v="42585"/>
    <x v="7"/>
    <x v="3"/>
    <s v="12:46:00 PM"/>
    <n v="42585.541666666664"/>
    <n v="0.54166666666424135"/>
    <s v="14 min"/>
    <x v="0"/>
    <s v="West End"/>
    <s v="Northwest Rectangle"/>
    <x v="20"/>
    <x v="1"/>
    <x v="3"/>
  </r>
  <r>
    <n v="42585.624305555553"/>
    <n v="42585"/>
    <x v="7"/>
    <x v="3"/>
    <s v="02:59:00 PM"/>
    <n v="42585.627083333333"/>
    <n v="0.62708333333284827"/>
    <s v="4 min"/>
    <x v="0"/>
    <s v="K Street"/>
    <s v="Kalorama Triangle"/>
    <x v="53"/>
    <x v="1"/>
    <x v="3"/>
  </r>
  <r>
    <n v="42585.666666666664"/>
    <n v="42585"/>
    <x v="7"/>
    <x v="3"/>
    <s v="04:00:00 PM"/>
    <n v="42585.669444444444"/>
    <n v="0.66944444444379769"/>
    <s v="4 min"/>
    <x v="0"/>
    <s v="Kalorama Triangle"/>
    <s v="Downtown"/>
    <x v="62"/>
    <x v="1"/>
    <x v="2"/>
  </r>
  <r>
    <n v="42587.724305555559"/>
    <n v="42587"/>
    <x v="7"/>
    <x v="0"/>
    <s v="05:23:00 PM"/>
    <n v="42587.729166666664"/>
    <n v="0.72916666666424135"/>
    <s v="7 min"/>
    <x v="0"/>
    <s v="Connecticut Avenue"/>
    <s v="Kalorama Triangle"/>
    <x v="188"/>
    <x v="1"/>
    <x v="2"/>
  </r>
  <r>
    <n v="42587.761805555558"/>
    <n v="42587"/>
    <x v="7"/>
    <x v="0"/>
    <s v="06:17:00 PM"/>
    <n v="42587.76458333333"/>
    <n v="0.76458333332993789"/>
    <s v="4 min"/>
    <x v="0"/>
    <s v="Kalorama Triangle"/>
    <s v="Columbia Heights"/>
    <x v="18"/>
    <x v="1"/>
    <x v="2"/>
  </r>
  <r>
    <n v="42587.803472222222"/>
    <n v="42587"/>
    <x v="7"/>
    <x v="0"/>
    <s v="07:17:00 PM"/>
    <n v="42587.810416666667"/>
    <n v="0.81041666666715173"/>
    <s v="10 min"/>
    <x v="0"/>
    <s v="Columbia Heights"/>
    <s v="Kalorama Triangle"/>
    <x v="62"/>
    <x v="1"/>
    <x v="0"/>
  </r>
  <r>
    <n v="42588.277777777781"/>
    <n v="42588"/>
    <x v="7"/>
    <x v="1"/>
    <s v="06:40:00 AM"/>
    <n v="42588.290277777778"/>
    <n v="0.29027777777810115"/>
    <s v="18 min"/>
    <x v="0"/>
    <s v="Washington"/>
    <s v="Arlington"/>
    <x v="104"/>
    <x v="1"/>
    <x v="1"/>
  </r>
  <r>
    <n v="42588.396527777775"/>
    <n v="42588"/>
    <x v="7"/>
    <x v="1"/>
    <s v="09:31:00 AM"/>
    <n v="42588.411805555559"/>
    <n v="0.41180555555911269"/>
    <s v="22 min"/>
    <x v="0"/>
    <s v="Morrisville"/>
    <s v="Cary"/>
    <x v="26"/>
    <x v="1"/>
    <x v="1"/>
  </r>
  <r>
    <n v="42589.718055555553"/>
    <n v="42589"/>
    <x v="7"/>
    <x v="5"/>
    <s v="05:14:00 PM"/>
    <n v="42589.724305555559"/>
    <n v="0.72430555555911269"/>
    <s v="9 min"/>
    <x v="0"/>
    <s v="Whitebridge"/>
    <s v="Edgehill Farms"/>
    <x v="38"/>
    <x v="1"/>
    <x v="2"/>
  </r>
  <r>
    <n v="42589.727777777778"/>
    <n v="42589"/>
    <x v="7"/>
    <x v="5"/>
    <s v="05:28:00 PM"/>
    <n v="42589.738194444442"/>
    <n v="0.7381944444423425"/>
    <s v="15 min"/>
    <x v="0"/>
    <s v="Edgehill Farms"/>
    <s v="Whitebridge"/>
    <x v="38"/>
    <x v="4"/>
    <x v="2"/>
  </r>
  <r>
    <n v="42589.761805555558"/>
    <n v="42589"/>
    <x v="7"/>
    <x v="5"/>
    <s v="06:17:00 PM"/>
    <n v="42589.765972222223"/>
    <n v="0.76597222222335404"/>
    <s v="6 min"/>
    <x v="0"/>
    <s v="Cary"/>
    <s v="Morrisville"/>
    <x v="88"/>
    <x v="1"/>
    <x v="2"/>
  </r>
  <r>
    <n v="42589.84375"/>
    <n v="42589"/>
    <x v="7"/>
    <x v="5"/>
    <s v="08:15:00 PM"/>
    <n v="42589.849305555559"/>
    <n v="0.84930555555911269"/>
    <s v="8 min"/>
    <x v="0"/>
    <s v="Morrisville"/>
    <s v="Cary"/>
    <x v="88"/>
    <x v="0"/>
    <x v="0"/>
  </r>
  <r>
    <n v="42590.678472222222"/>
    <n v="42590"/>
    <x v="7"/>
    <x v="6"/>
    <s v="04:17:00 PM"/>
    <n v="42590.688194444447"/>
    <n v="0.68819444444670808"/>
    <s v="14 min"/>
    <x v="0"/>
    <s v="Whitebridge"/>
    <s v="Farmington Woods"/>
    <x v="44"/>
    <x v="1"/>
    <x v="2"/>
  </r>
  <r>
    <n v="42590.692361111112"/>
    <n v="42590"/>
    <x v="7"/>
    <x v="6"/>
    <s v="04:37:00 PM"/>
    <n v="42590.701388888891"/>
    <n v="0.70138888889050577"/>
    <s v="13 min"/>
    <x v="0"/>
    <s v="Farmington Woods"/>
    <s v="Edgehill Farms"/>
    <x v="17"/>
    <x v="1"/>
    <x v="2"/>
  </r>
  <r>
    <n v="42590.709722222222"/>
    <n v="42590"/>
    <x v="7"/>
    <x v="6"/>
    <s v="05:02:00 PM"/>
    <n v="42590.717361111114"/>
    <n v="0.71736111111385981"/>
    <s v="11 min"/>
    <x v="0"/>
    <s v="Edgehill Farms"/>
    <s v="Whitebridge"/>
    <x v="38"/>
    <x v="4"/>
    <x v="2"/>
  </r>
  <r>
    <n v="42590.909722222219"/>
    <n v="42590"/>
    <x v="7"/>
    <x v="6"/>
    <s v="09:50:00 PM"/>
    <n v="42590.927083333336"/>
    <n v="0.92708333333575865"/>
    <s v="25 min"/>
    <x v="0"/>
    <s v="Cary"/>
    <s v="Morrisville"/>
    <x v="2"/>
    <x v="1"/>
    <x v="0"/>
  </r>
  <r>
    <n v="42590.977777777778"/>
    <n v="42590"/>
    <x v="7"/>
    <x v="6"/>
    <s v="11:28:00 PM"/>
    <n v="42590.984027777777"/>
    <n v="0.98402777777664596"/>
    <s v="9 min"/>
    <x v="0"/>
    <s v="Morrisville"/>
    <s v="Cary"/>
    <x v="57"/>
    <x v="4"/>
    <x v="0"/>
  </r>
  <r>
    <n v="42591.597222222219"/>
    <n v="42591"/>
    <x v="7"/>
    <x v="2"/>
    <s v="02:20:00 PM"/>
    <n v="42591.609722222223"/>
    <n v="0.60972222222335404"/>
    <s v="18 min"/>
    <x v="0"/>
    <s v="Whitebridge"/>
    <s v="Waverly Place"/>
    <x v="136"/>
    <x v="1"/>
    <x v="3"/>
  </r>
  <r>
    <n v="42591.635416666664"/>
    <n v="42591"/>
    <x v="7"/>
    <x v="2"/>
    <s v="03:15:00 PM"/>
    <n v="42591.65"/>
    <n v="0.65000000000145519"/>
    <s v="21 min"/>
    <x v="0"/>
    <s v="Cary"/>
    <s v="Raleigh"/>
    <x v="169"/>
    <x v="1"/>
    <x v="2"/>
  </r>
  <r>
    <n v="42591.669444444444"/>
    <n v="42591"/>
    <x v="7"/>
    <x v="2"/>
    <s v="04:04:00 PM"/>
    <n v="42591.692361111112"/>
    <n v="0.69236111111240461"/>
    <s v="33 min"/>
    <x v="0"/>
    <s v="Raleigh"/>
    <s v="Cary"/>
    <x v="201"/>
    <x v="1"/>
    <x v="2"/>
  </r>
  <r>
    <n v="42592.705555555556"/>
    <n v="42592"/>
    <x v="7"/>
    <x v="3"/>
    <s v="04:56:00 PM"/>
    <n v="42592.724999999999"/>
    <n v="0.72499999999854481"/>
    <s v="28 min"/>
    <x v="0"/>
    <s v="Cary"/>
    <s v="Durham"/>
    <x v="39"/>
    <x v="1"/>
    <x v="2"/>
  </r>
  <r>
    <n v="42592.745138888888"/>
    <n v="42592"/>
    <x v="7"/>
    <x v="3"/>
    <s v="05:53:00 PM"/>
    <n v="42592.769444444442"/>
    <n v="0.7694444444423425"/>
    <s v="35 min"/>
    <x v="0"/>
    <s v="Durham"/>
    <s v="Apex"/>
    <x v="155"/>
    <x v="1"/>
    <x v="2"/>
  </r>
  <r>
    <n v="42592.78402777778"/>
    <n v="42592"/>
    <x v="7"/>
    <x v="3"/>
    <s v="06:49:00 PM"/>
    <n v="42592.784722222219"/>
    <n v="0.78472222221898846"/>
    <s v="1 min"/>
    <x v="0"/>
    <s v="Apex"/>
    <s v="Apex"/>
    <x v="32"/>
    <x v="1"/>
    <x v="2"/>
  </r>
  <r>
    <n v="42592.824305555558"/>
    <n v="42592"/>
    <x v="7"/>
    <x v="3"/>
    <s v="07:47:00 PM"/>
    <n v="42592.834722222222"/>
    <n v="0.83472222222189885"/>
    <s v="15 min"/>
    <x v="0"/>
    <s v="Apex"/>
    <s v="Cary"/>
    <x v="51"/>
    <x v="1"/>
    <x v="0"/>
  </r>
  <r>
    <n v="42593.536805555559"/>
    <n v="42593"/>
    <x v="7"/>
    <x v="4"/>
    <s v="12:53:00 PM"/>
    <n v="42593.541666666664"/>
    <n v="0.54166666666424135"/>
    <s v="7 min"/>
    <x v="0"/>
    <s v="Whitebridge"/>
    <s v="Heritage Pines"/>
    <x v="95"/>
    <x v="1"/>
    <x v="3"/>
  </r>
  <r>
    <n v="42593.551388888889"/>
    <n v="42593"/>
    <x v="7"/>
    <x v="4"/>
    <s v="01:14:00 PM"/>
    <n v="42593.561111111114"/>
    <n v="0.56111111111385981"/>
    <s v="14 min"/>
    <x v="0"/>
    <s v="Heritage Pines"/>
    <s v="Edgehill Farms"/>
    <x v="183"/>
    <x v="1"/>
    <x v="3"/>
  </r>
  <r>
    <n v="42593.563888888886"/>
    <n v="42593"/>
    <x v="7"/>
    <x v="4"/>
    <s v="01:32:00 PM"/>
    <n v="42593.570833333331"/>
    <n v="0.57083333333139308"/>
    <s v="10 min"/>
    <x v="0"/>
    <s v="Edgehill Farms"/>
    <s v="Whitebridge"/>
    <x v="109"/>
    <x v="1"/>
    <x v="3"/>
  </r>
  <r>
    <n v="42593.775694444441"/>
    <n v="42593"/>
    <x v="7"/>
    <x v="4"/>
    <s v="06:37:00 PM"/>
    <n v="42593.811805555553"/>
    <n v="0.81180555555329192"/>
    <s v="52 min"/>
    <x v="0"/>
    <s v="Cary"/>
    <s v="Wake Forest"/>
    <x v="202"/>
    <x v="1"/>
    <x v="2"/>
  </r>
  <r>
    <n v="42593.874305555553"/>
    <n v="42593"/>
    <x v="7"/>
    <x v="4"/>
    <s v="08:59:00 PM"/>
    <n v="42593.905555555553"/>
    <n v="0.90555555555329192"/>
    <s v="45 min"/>
    <x v="0"/>
    <s v="Wake Forest"/>
    <s v="Cary"/>
    <x v="203"/>
    <x v="1"/>
    <x v="0"/>
  </r>
  <r>
    <n v="42594.78402777778"/>
    <n v="42594"/>
    <x v="7"/>
    <x v="0"/>
    <s v="06:49:00 PM"/>
    <n v="42594.786111111112"/>
    <n v="0.78611111111240461"/>
    <s v="3 min"/>
    <x v="0"/>
    <s v="Whitebridge"/>
    <s v="Westpark Place"/>
    <x v="16"/>
    <x v="1"/>
    <x v="2"/>
  </r>
  <r>
    <n v="42594.788888888892"/>
    <n v="42594"/>
    <x v="7"/>
    <x v="0"/>
    <s v="06:56:00 PM"/>
    <n v="42594.795138888891"/>
    <n v="0.79513888889050577"/>
    <s v="9 min"/>
    <x v="0"/>
    <s v="Westpark Place"/>
    <s v="Whitebridge"/>
    <x v="18"/>
    <x v="1"/>
    <x v="2"/>
  </r>
  <r>
    <n v="42595.649305555555"/>
    <n v="42595"/>
    <x v="7"/>
    <x v="1"/>
    <s v="03:35:00 PM"/>
    <n v="42595.665277777778"/>
    <n v="0.66527777777810115"/>
    <s v="23 min"/>
    <x v="0"/>
    <s v="Cary"/>
    <s v="Morrisville"/>
    <x v="69"/>
    <x v="3"/>
    <x v="2"/>
  </r>
  <r>
    <n v="42597.378472222219"/>
    <n v="42597"/>
    <x v="7"/>
    <x v="6"/>
    <s v="09:05:00 AM"/>
    <n v="42597.411111111112"/>
    <n v="0.41111111111240461"/>
    <s v="47 min"/>
    <x v="0"/>
    <s v="R?walpindi"/>
    <s v="Unknown Location"/>
    <x v="204"/>
    <x v="1"/>
    <x v="1"/>
  </r>
  <r>
    <n v="42597.638888888891"/>
    <n v="42597"/>
    <x v="7"/>
    <x v="6"/>
    <s v="03:20:00 PM"/>
    <n v="42597.657638888886"/>
    <n v="0.65763888888614019"/>
    <s v="27 min"/>
    <x v="0"/>
    <s v="Unknown Location"/>
    <s v="Unknown Location"/>
    <x v="76"/>
    <x v="1"/>
    <x v="2"/>
  </r>
  <r>
    <n v="42597.702777777777"/>
    <n v="42597"/>
    <x v="7"/>
    <x v="6"/>
    <s v="04:52:00 PM"/>
    <n v="42597.729166666664"/>
    <n v="0.72916666666424135"/>
    <s v="38 min"/>
    <x v="0"/>
    <s v="Unknown Location"/>
    <s v="Unknown Location"/>
    <x v="42"/>
    <x v="1"/>
    <x v="2"/>
  </r>
  <r>
    <n v="42597.797222222223"/>
    <n v="42597"/>
    <x v="7"/>
    <x v="6"/>
    <s v="07:08:00 PM"/>
    <n v="42597.854166666664"/>
    <n v="0.85416666666424135"/>
    <s v="82 min"/>
    <x v="0"/>
    <s v="Unknown Location"/>
    <s v="Unknown Location"/>
    <x v="205"/>
    <x v="5"/>
    <x v="0"/>
  </r>
  <r>
    <n v="42598.331944444442"/>
    <n v="42598"/>
    <x v="7"/>
    <x v="2"/>
    <s v="07:58:00 AM"/>
    <n v="42598.34097222222"/>
    <n v="0.34097222222044365"/>
    <s v="13 min"/>
    <x v="0"/>
    <s v="Unknown Location"/>
    <s v="Unknown Location"/>
    <x v="150"/>
    <x v="1"/>
    <x v="1"/>
  </r>
  <r>
    <n v="42598.344444444447"/>
    <n v="42598"/>
    <x v="7"/>
    <x v="2"/>
    <s v="08:16:00 AM"/>
    <n v="42598.349305555559"/>
    <n v="0.34930555555911269"/>
    <s v="7 min"/>
    <x v="0"/>
    <s v="Unknown Location"/>
    <s v="Unknown Location"/>
    <x v="38"/>
    <x v="1"/>
    <x v="1"/>
  </r>
  <r>
    <n v="42598.365277777775"/>
    <n v="42598"/>
    <x v="7"/>
    <x v="2"/>
    <s v="08:46:00 AM"/>
    <n v="42598.370138888888"/>
    <n v="0.37013888888759539"/>
    <s v="7 min"/>
    <x v="0"/>
    <s v="Unknown Location"/>
    <s v="Unknown Location"/>
    <x v="47"/>
    <x v="1"/>
    <x v="1"/>
  </r>
  <r>
    <n v="42598.42083333333"/>
    <n v="42598"/>
    <x v="7"/>
    <x v="2"/>
    <s v="10:06:00 AM"/>
    <n v="42598.435416666667"/>
    <n v="0.43541666666715173"/>
    <s v="21 min"/>
    <x v="0"/>
    <s v="Unknown Location"/>
    <s v="Islamabad"/>
    <x v="48"/>
    <x v="1"/>
    <x v="3"/>
  </r>
  <r>
    <n v="42598.438194444447"/>
    <n v="42598"/>
    <x v="7"/>
    <x v="2"/>
    <s v="10:31:00 AM"/>
    <n v="42598.443055555559"/>
    <n v="0.44305555555911269"/>
    <s v="7 min"/>
    <x v="0"/>
    <s v="Islamabad"/>
    <s v="Islamabad"/>
    <x v="115"/>
    <x v="1"/>
    <x v="3"/>
  </r>
  <r>
    <n v="42598.490972222222"/>
    <n v="42598"/>
    <x v="7"/>
    <x v="2"/>
    <s v="11:47:00 AM"/>
    <n v="42598.502083333333"/>
    <n v="0.50208333333284827"/>
    <s v="16 min"/>
    <x v="0"/>
    <s v="Islamabad"/>
    <s v="Unknown Location"/>
    <x v="48"/>
    <x v="5"/>
    <x v="3"/>
  </r>
  <r>
    <n v="42598.634027777778"/>
    <n v="42598"/>
    <x v="7"/>
    <x v="2"/>
    <s v="03:13:00 PM"/>
    <n v="42598.65"/>
    <n v="0.65000000000145519"/>
    <s v="23 min"/>
    <x v="0"/>
    <s v="Unknown Location"/>
    <s v="Unknown Location"/>
    <x v="206"/>
    <x v="1"/>
    <x v="2"/>
  </r>
  <r>
    <n v="42599.428472222222"/>
    <n v="42599"/>
    <x v="7"/>
    <x v="3"/>
    <s v="10:17:00 AM"/>
    <n v="42599.445138888892"/>
    <n v="0.44513888889196096"/>
    <s v="24 min"/>
    <x v="0"/>
    <s v="Unknown Location"/>
    <s v="Unknown Location"/>
    <x v="66"/>
    <x v="1"/>
    <x v="3"/>
  </r>
  <r>
    <n v="42599.456250000003"/>
    <n v="42599"/>
    <x v="7"/>
    <x v="3"/>
    <s v="10:57:00 AM"/>
    <n v="42599.472222222219"/>
    <n v="0.47222222221898846"/>
    <s v="23 min"/>
    <x v="0"/>
    <s v="Unknown Location"/>
    <s v="Unknown Location"/>
    <x v="207"/>
    <x v="1"/>
    <x v="3"/>
  </r>
  <r>
    <n v="42599.614583333336"/>
    <n v="42599"/>
    <x v="7"/>
    <x v="3"/>
    <s v="02:45:00 PM"/>
    <n v="42599.618055555555"/>
    <n v="0.61805555555474712"/>
    <s v="5 min"/>
    <x v="0"/>
    <s v="Unknown Location"/>
    <s v="R?walpindi"/>
    <x v="34"/>
    <x v="1"/>
    <x v="3"/>
  </r>
  <r>
    <n v="42599.647222222222"/>
    <n v="42599"/>
    <x v="7"/>
    <x v="3"/>
    <s v="03:32:00 PM"/>
    <n v="42599.657638888886"/>
    <n v="0.65763888888614019"/>
    <s v="15 min"/>
    <x v="0"/>
    <s v="R?walpindi"/>
    <s v="Islamabad"/>
    <x v="13"/>
    <x v="1"/>
    <x v="2"/>
  </r>
  <r>
    <n v="42599.686805555553"/>
    <n v="42599"/>
    <x v="7"/>
    <x v="3"/>
    <s v="04:29:00 PM"/>
    <n v="42599.701388888891"/>
    <n v="0.70138888889050577"/>
    <s v="21 min"/>
    <x v="0"/>
    <s v="Islamabad"/>
    <s v="Unknown Location"/>
    <x v="84"/>
    <x v="1"/>
    <x v="2"/>
  </r>
  <r>
    <n v="42599.70416666667"/>
    <n v="42599"/>
    <x v="7"/>
    <x v="3"/>
    <s v="04:54:00 PM"/>
    <n v="42599.708333333336"/>
    <n v="0.70833333333575865"/>
    <s v="6 min"/>
    <x v="0"/>
    <s v="Unknown Location"/>
    <s v="Unknown Location"/>
    <x v="60"/>
    <x v="1"/>
    <x v="2"/>
  </r>
  <r>
    <n v="42599.711805555555"/>
    <n v="42599"/>
    <x v="7"/>
    <x v="3"/>
    <s v="05:05:00 PM"/>
    <n v="42599.731944444444"/>
    <n v="0.73194444444379769"/>
    <s v="29 min"/>
    <x v="0"/>
    <s v="Unknown Location"/>
    <s v="Unknown Location"/>
    <x v="47"/>
    <x v="1"/>
    <x v="2"/>
  </r>
  <r>
    <n v="42599.776388888888"/>
    <n v="42599"/>
    <x v="7"/>
    <x v="3"/>
    <s v="06:38:00 PM"/>
    <n v="42599.789583333331"/>
    <n v="0.78958333333139308"/>
    <s v="19 min"/>
    <x v="0"/>
    <s v="Unknown Location"/>
    <s v="Unknown Location"/>
    <x v="55"/>
    <x v="5"/>
    <x v="2"/>
  </r>
  <r>
    <n v="42600.777777777781"/>
    <n v="42600"/>
    <x v="7"/>
    <x v="4"/>
    <s v="06:40:00 PM"/>
    <n v="42600.796527777777"/>
    <n v="0.79652777777664596"/>
    <s v="27 min"/>
    <x v="0"/>
    <s v="Unknown Location"/>
    <s v="Unknown Location"/>
    <x v="29"/>
    <x v="5"/>
    <x v="2"/>
  </r>
  <r>
    <n v="42601.35"/>
    <n v="42601"/>
    <x v="7"/>
    <x v="0"/>
    <s v="08:24:00 AM"/>
    <n v="42601.364583333336"/>
    <n v="0.36458333333575865"/>
    <s v="21 min"/>
    <x v="0"/>
    <s v="Unknown Location"/>
    <s v="Noorpur Shahan"/>
    <x v="29"/>
    <x v="1"/>
    <x v="1"/>
  </r>
  <r>
    <n v="42601.370833333334"/>
    <n v="42601"/>
    <x v="7"/>
    <x v="0"/>
    <s v="08:54:00 AM"/>
    <n v="42601.379861111112"/>
    <n v="0.37986111111240461"/>
    <s v="13 min"/>
    <x v="0"/>
    <s v="Noorpur Shahan"/>
    <s v="Islamabad"/>
    <x v="171"/>
    <x v="1"/>
    <x v="1"/>
  </r>
  <r>
    <n v="42601.393750000003"/>
    <n v="42601"/>
    <x v="7"/>
    <x v="0"/>
    <s v="09:27:00 AM"/>
    <n v="42601.407638888886"/>
    <n v="0.40763888888614019"/>
    <s v="20 min"/>
    <x v="0"/>
    <s v="Islamabad"/>
    <s v="R?walpindi"/>
    <x v="107"/>
    <x v="1"/>
    <x v="1"/>
  </r>
  <r>
    <n v="42601.456250000003"/>
    <n v="42601"/>
    <x v="7"/>
    <x v="0"/>
    <s v="10:57:00 AM"/>
    <n v="42601.462500000001"/>
    <n v="0.46250000000145519"/>
    <s v="9 min"/>
    <x v="0"/>
    <s v="R?walpindi"/>
    <s v="Unknown Location"/>
    <x v="20"/>
    <x v="1"/>
    <x v="3"/>
  </r>
  <r>
    <n v="42601.504861111112"/>
    <n v="42601"/>
    <x v="7"/>
    <x v="0"/>
    <s v="12:07:00 PM"/>
    <n v="42601.51666666667"/>
    <n v="0.51666666667006211"/>
    <s v="17 min"/>
    <x v="0"/>
    <s v="Unknown Location"/>
    <s v="Islamabad"/>
    <x v="48"/>
    <x v="1"/>
    <x v="3"/>
  </r>
  <r>
    <n v="42601.660416666666"/>
    <n v="42601"/>
    <x v="7"/>
    <x v="0"/>
    <s v="03:51:00 PM"/>
    <n v="42601.67083333333"/>
    <n v="0.67083333332993789"/>
    <s v="15 min"/>
    <x v="0"/>
    <s v="Islamabad"/>
    <s v="Islamabad"/>
    <x v="57"/>
    <x v="1"/>
    <x v="2"/>
  </r>
  <r>
    <n v="42601.716666666667"/>
    <n v="42601"/>
    <x v="7"/>
    <x v="0"/>
    <s v="05:12:00 PM"/>
    <n v="42601.744444444441"/>
    <n v="0.74444444444088731"/>
    <s v="40 min"/>
    <x v="0"/>
    <s v="Islamabad"/>
    <s v="Unknown Location"/>
    <x v="117"/>
    <x v="1"/>
    <x v="2"/>
  </r>
  <r>
    <n v="42603.416666666664"/>
    <n v="42603"/>
    <x v="7"/>
    <x v="5"/>
    <s v="10:00:00 AM"/>
    <n v="42603.436805555553"/>
    <n v="0.43680555555329192"/>
    <s v="29 min"/>
    <x v="0"/>
    <s v="Unknown Location"/>
    <s v="Unknown Location"/>
    <x v="29"/>
    <x v="10"/>
    <x v="3"/>
  </r>
  <r>
    <n v="42603.586805555555"/>
    <n v="42603"/>
    <x v="7"/>
    <x v="5"/>
    <s v="02:05:00 PM"/>
    <n v="42603.606944444444"/>
    <n v="0.60694444444379769"/>
    <s v="29 min"/>
    <x v="0"/>
    <s v="Unknown Location"/>
    <s v="Unknown Location"/>
    <x v="55"/>
    <x v="1"/>
    <x v="3"/>
  </r>
  <r>
    <n v="42603.6875"/>
    <n v="42603"/>
    <x v="7"/>
    <x v="5"/>
    <s v="04:30:00 PM"/>
    <n v="42603.709722222222"/>
    <n v="0.70972222222189885"/>
    <s v="32 min"/>
    <x v="0"/>
    <s v="Unknown Location"/>
    <s v="Islamabad"/>
    <x v="177"/>
    <x v="1"/>
    <x v="2"/>
  </r>
  <r>
    <n v="42603.756944444445"/>
    <n v="42603"/>
    <x v="7"/>
    <x v="5"/>
    <s v="06:10:00 PM"/>
    <n v="42603.761805555558"/>
    <n v="0.7618055555576575"/>
    <s v="7 min"/>
    <x v="0"/>
    <s v="Islamabad"/>
    <s v="Islamabad"/>
    <x v="34"/>
    <x v="1"/>
    <x v="2"/>
  </r>
  <r>
    <n v="42603.783333333333"/>
    <n v="42603"/>
    <x v="7"/>
    <x v="5"/>
    <s v="06:48:00 PM"/>
    <n v="42603.808333333334"/>
    <n v="0.80833333333430346"/>
    <s v="36 min"/>
    <x v="0"/>
    <s v="Islamabad"/>
    <s v="Unknown Location"/>
    <x v="208"/>
    <x v="1"/>
    <x v="2"/>
  </r>
  <r>
    <n v="42604.416666666664"/>
    <n v="42604"/>
    <x v="7"/>
    <x v="6"/>
    <s v="10:00:00 AM"/>
    <n v="42604.447222222225"/>
    <n v="0.44722222222480923"/>
    <s v="44 min"/>
    <x v="0"/>
    <s v="Unknown Location"/>
    <s v="Islamabad"/>
    <x v="165"/>
    <x v="1"/>
    <x v="3"/>
  </r>
  <r>
    <n v="42604.463194444441"/>
    <n v="42604"/>
    <x v="7"/>
    <x v="6"/>
    <s v="11:07:00 AM"/>
    <n v="42604.474305555559"/>
    <n v="0.47430555555911269"/>
    <s v="16 min"/>
    <x v="0"/>
    <s v="Islamabad"/>
    <s v="Unknown Location"/>
    <x v="98"/>
    <x v="1"/>
    <x v="3"/>
  </r>
  <r>
    <n v="42604.525000000001"/>
    <n v="42604"/>
    <x v="7"/>
    <x v="6"/>
    <s v="12:36:00 PM"/>
    <n v="42604.53402777778"/>
    <n v="0.53402777777955635"/>
    <s v="13 min"/>
    <x v="0"/>
    <s v="Unknown Location"/>
    <s v="Islamabad"/>
    <x v="106"/>
    <x v="1"/>
    <x v="3"/>
  </r>
  <r>
    <n v="42604.543055555558"/>
    <n v="42604"/>
    <x v="7"/>
    <x v="6"/>
    <s v="01:02:00 PM"/>
    <n v="42604.549305555556"/>
    <n v="0.54930555555620231"/>
    <s v="9 min"/>
    <x v="0"/>
    <s v="Islamabad"/>
    <s v="Islamabad"/>
    <x v="62"/>
    <x v="1"/>
    <x v="3"/>
  </r>
  <r>
    <n v="42604.588194444441"/>
    <n v="42604"/>
    <x v="7"/>
    <x v="6"/>
    <s v="02:07:00 PM"/>
    <n v="42604.604861111111"/>
    <n v="0.60486111111094942"/>
    <s v="24 min"/>
    <x v="0"/>
    <s v="Islamabad"/>
    <s v="Unknown Location"/>
    <x v="105"/>
    <x v="1"/>
    <x v="3"/>
  </r>
  <r>
    <n v="42604.634722222225"/>
    <n v="42604"/>
    <x v="7"/>
    <x v="6"/>
    <s v="03:14:00 PM"/>
    <n v="42604.65902777778"/>
    <n v="0.65902777777955635"/>
    <s v="35 min"/>
    <x v="0"/>
    <s v="Unknown Location"/>
    <s v="Unknown Location"/>
    <x v="40"/>
    <x v="1"/>
    <x v="2"/>
  </r>
  <r>
    <n v="42604.665972222225"/>
    <n v="42604"/>
    <x v="7"/>
    <x v="6"/>
    <s v="03:59:00 PM"/>
    <n v="42604.719444444447"/>
    <n v="0.71944444444670808"/>
    <s v="77 min"/>
    <x v="0"/>
    <s v="Unknown Location"/>
    <s v="Unknown Location"/>
    <x v="40"/>
    <x v="1"/>
    <x v="2"/>
  </r>
  <r>
    <n v="42604.831944444442"/>
    <n v="42604"/>
    <x v="7"/>
    <x v="6"/>
    <s v="07:58:00 PM"/>
    <n v="42604.868055555555"/>
    <n v="0.86805555555474712"/>
    <s v="52 min"/>
    <x v="0"/>
    <s v="Unknown Location"/>
    <s v="R?walpindi"/>
    <x v="150"/>
    <x v="1"/>
    <x v="0"/>
  </r>
  <r>
    <n v="42604.870138888888"/>
    <n v="42604"/>
    <x v="7"/>
    <x v="6"/>
    <s v="08:53:00 PM"/>
    <n v="42604.896527777775"/>
    <n v="0.89652777777519077"/>
    <s v="38 min"/>
    <x v="0"/>
    <s v="R?walpindi"/>
    <s v="R?walpindi"/>
    <x v="197"/>
    <x v="1"/>
    <x v="0"/>
  </r>
  <r>
    <n v="42604.938194444447"/>
    <n v="42604"/>
    <x v="7"/>
    <x v="6"/>
    <s v="10:31:00 PM"/>
    <n v="42604.958333333336"/>
    <n v="0.95833333333575865"/>
    <s v="29 min"/>
    <x v="0"/>
    <s v="R?walpindi"/>
    <s v="Unknown Location"/>
    <x v="36"/>
    <x v="1"/>
    <x v="0"/>
  </r>
  <r>
    <n v="42605.340277777781"/>
    <n v="42605"/>
    <x v="7"/>
    <x v="2"/>
    <s v="08:10:00 AM"/>
    <n v="42605.350694444445"/>
    <n v="0.35069444444525288"/>
    <s v="15 min"/>
    <x v="0"/>
    <s v="Unknown Location"/>
    <s v="Noorpur Shahan"/>
    <x v="151"/>
    <x v="1"/>
    <x v="1"/>
  </r>
  <r>
    <n v="42605.399305555555"/>
    <n v="42605"/>
    <x v="7"/>
    <x v="2"/>
    <s v="09:35:00 AM"/>
    <n v="42605.42291666667"/>
    <n v="0.42291666667006211"/>
    <s v="34 min"/>
    <x v="0"/>
    <s v="Noorpur Shahan"/>
    <s v="Unknown Location"/>
    <x v="11"/>
    <x v="1"/>
    <x v="1"/>
  </r>
  <r>
    <n v="42605.540972222225"/>
    <n v="42605"/>
    <x v="7"/>
    <x v="2"/>
    <s v="12:59:00 PM"/>
    <n v="42605.552083333336"/>
    <n v="0.55208333333575865"/>
    <s v="16 min"/>
    <x v="0"/>
    <s v="Unknown Location"/>
    <s v="Noorpur Shahan"/>
    <x v="55"/>
    <x v="1"/>
    <x v="3"/>
  </r>
  <r>
    <n v="42605.554861111108"/>
    <n v="42605"/>
    <x v="7"/>
    <x v="2"/>
    <s v="01:19:00 PM"/>
    <n v="42605.5625"/>
    <n v="0.5625"/>
    <s v="11 min"/>
    <x v="0"/>
    <s v="Noorpur Shahan"/>
    <s v="Islamabad"/>
    <x v="183"/>
    <x v="1"/>
    <x v="3"/>
  </r>
  <r>
    <n v="42605.575694444444"/>
    <n v="42605"/>
    <x v="7"/>
    <x v="2"/>
    <s v="01:49:00 PM"/>
    <n v="42605.586111111108"/>
    <n v="0.58611111110803904"/>
    <s v="15 min"/>
    <x v="0"/>
    <s v="Islamabad"/>
    <s v="Unknown Location"/>
    <x v="1"/>
    <x v="1"/>
    <x v="3"/>
  </r>
  <r>
    <n v="42605.629861111112"/>
    <n v="42605"/>
    <x v="7"/>
    <x v="2"/>
    <s v="03:07:00 PM"/>
    <n v="42605.633333333331"/>
    <n v="0.63333333333139308"/>
    <s v="5 min"/>
    <x v="0"/>
    <s v="Unknown Location"/>
    <s v="Unknown Location"/>
    <x v="16"/>
    <x v="1"/>
    <x v="2"/>
  </r>
  <r>
    <n v="42605.635416666664"/>
    <n v="42605"/>
    <x v="7"/>
    <x v="2"/>
    <s v="03:15:00 PM"/>
    <n v="42605.719444444447"/>
    <n v="0.71944444444670808"/>
    <s v="121 min"/>
    <x v="0"/>
    <s v="Unknown Location"/>
    <s v="Unknown Location"/>
    <x v="150"/>
    <x v="1"/>
    <x v="2"/>
  </r>
  <r>
    <n v="42605.737500000003"/>
    <n v="42605"/>
    <x v="7"/>
    <x v="2"/>
    <s v="05:42:00 PM"/>
    <n v="42605.771527777775"/>
    <n v="0.77152777777519077"/>
    <s v="49 min"/>
    <x v="0"/>
    <s v="Unknown Location"/>
    <s v="Unknown Location"/>
    <x v="209"/>
    <x v="1"/>
    <x v="2"/>
  </r>
  <r>
    <n v="42606.503472222219"/>
    <n v="42606"/>
    <x v="7"/>
    <x v="3"/>
    <s v="12:05:00 PM"/>
    <n v="42606.538888888892"/>
    <n v="0.53888888889196096"/>
    <s v="51 min"/>
    <x v="0"/>
    <s v="Unknown Location"/>
    <s v="Unknown Location"/>
    <x v="210"/>
    <x v="1"/>
    <x v="3"/>
  </r>
  <r>
    <n v="42606.542361111111"/>
    <n v="42606"/>
    <x v="7"/>
    <x v="3"/>
    <s v="01:01:00 PM"/>
    <n v="42606.642361111109"/>
    <n v="0.64236111110949423"/>
    <s v="144 min"/>
    <x v="0"/>
    <s v="Unknown Location"/>
    <s v="Unknown Location"/>
    <x v="211"/>
    <x v="1"/>
    <x v="3"/>
  </r>
  <r>
    <n v="42607.636805555558"/>
    <n v="42607"/>
    <x v="7"/>
    <x v="4"/>
    <s v="03:17:00 PM"/>
    <n v="42607.681944444441"/>
    <n v="0.68194444444088731"/>
    <s v="65 min"/>
    <x v="0"/>
    <s v="Unknown Location"/>
    <s v="Unknown Location"/>
    <x v="212"/>
    <x v="1"/>
    <x v="2"/>
  </r>
  <r>
    <n v="42607.691666666666"/>
    <n v="42607"/>
    <x v="7"/>
    <x v="4"/>
    <s v="04:36:00 PM"/>
    <n v="42607.705555555556"/>
    <n v="0.70555555555620231"/>
    <s v="20 min"/>
    <x v="0"/>
    <s v="Unknown Location"/>
    <s v="Unknown Location"/>
    <x v="47"/>
    <x v="1"/>
    <x v="2"/>
  </r>
  <r>
    <n v="42607.72152777778"/>
    <n v="42607"/>
    <x v="7"/>
    <x v="4"/>
    <s v="05:19:00 PM"/>
    <n v="42607.805555555555"/>
    <n v="0.80555555555474712"/>
    <s v="121 min"/>
    <x v="0"/>
    <s v="Unknown Location"/>
    <s v="Unknown Location"/>
    <x v="213"/>
    <x v="1"/>
    <x v="2"/>
  </r>
  <r>
    <n v="42607.809027777781"/>
    <n v="42607"/>
    <x v="7"/>
    <x v="4"/>
    <s v="07:25:00 PM"/>
    <n v="42607.831250000003"/>
    <n v="0.83125000000291038"/>
    <s v="32 min"/>
    <x v="0"/>
    <s v="Unknown Location"/>
    <s v="Lahore"/>
    <x v="123"/>
    <x v="1"/>
    <x v="0"/>
  </r>
  <r>
    <n v="42607.956944444442"/>
    <n v="42607"/>
    <x v="7"/>
    <x v="4"/>
    <s v="10:58:00 PM"/>
    <n v="42607.969444444447"/>
    <n v="0.96944444444670808"/>
    <s v="18 min"/>
    <x v="0"/>
    <s v="Lahore"/>
    <s v="Unknown Location"/>
    <x v="84"/>
    <x v="1"/>
    <x v="0"/>
  </r>
  <r>
    <n v="42608.379166666666"/>
    <n v="42608"/>
    <x v="7"/>
    <x v="0"/>
    <s v="09:06:00 AM"/>
    <n v="42608.388888888891"/>
    <n v="0.38888888889050577"/>
    <s v="14 min"/>
    <x v="0"/>
    <s v="Unknown Location"/>
    <s v="Unknown Location"/>
    <x v="1"/>
    <x v="1"/>
    <x v="1"/>
  </r>
  <r>
    <n v="42608.468055555553"/>
    <n v="42608"/>
    <x v="7"/>
    <x v="0"/>
    <s v="11:14:00 AM"/>
    <n v="42608.476388888892"/>
    <n v="0.47638888889196096"/>
    <s v="12 min"/>
    <x v="0"/>
    <s v="Unknown Location"/>
    <s v="Unknown Location"/>
    <x v="103"/>
    <x v="1"/>
    <x v="3"/>
  </r>
  <r>
    <n v="42608.506944444445"/>
    <n v="42608"/>
    <x v="7"/>
    <x v="0"/>
    <s v="12:10:00 PM"/>
    <n v="42608.513888888891"/>
    <n v="0.51388888889050577"/>
    <s v="10 min"/>
    <x v="0"/>
    <s v="Unknown Location"/>
    <s v="Lahore"/>
    <x v="25"/>
    <x v="1"/>
    <x v="3"/>
  </r>
  <r>
    <n v="42608.590277777781"/>
    <n v="42608"/>
    <x v="7"/>
    <x v="0"/>
    <s v="02:10:00 PM"/>
    <n v="42608.606249999997"/>
    <n v="0.60624999999708962"/>
    <s v="23 min"/>
    <x v="0"/>
    <s v="Lahore"/>
    <s v="Lahore"/>
    <x v="184"/>
    <x v="1"/>
    <x v="3"/>
  </r>
  <r>
    <n v="42608.640972222223"/>
    <n v="42608"/>
    <x v="7"/>
    <x v="0"/>
    <s v="03:23:00 PM"/>
    <n v="42608.649305555555"/>
    <n v="0.64930555555474712"/>
    <s v="12 min"/>
    <x v="0"/>
    <s v="Lahore"/>
    <s v="Lahore"/>
    <x v="62"/>
    <x v="1"/>
    <x v="2"/>
  </r>
  <r>
    <n v="42608.665972222225"/>
    <n v="42608"/>
    <x v="7"/>
    <x v="0"/>
    <s v="03:59:00 PM"/>
    <n v="42608.683333333334"/>
    <n v="0.68333333333430346"/>
    <s v="25 min"/>
    <x v="0"/>
    <s v="Lahore"/>
    <s v="Unknown Location"/>
    <x v="150"/>
    <x v="1"/>
    <x v="2"/>
  </r>
  <r>
    <n v="42608.704861111109"/>
    <n v="42608"/>
    <x v="7"/>
    <x v="0"/>
    <s v="04:55:00 PM"/>
    <n v="42608.716666666667"/>
    <n v="0.71666666666715173"/>
    <s v="17 min"/>
    <x v="0"/>
    <s v="Unknown Location"/>
    <s v="Lahore"/>
    <x v="163"/>
    <x v="1"/>
    <x v="2"/>
  </r>
  <r>
    <n v="42608.779166666667"/>
    <n v="42608"/>
    <x v="7"/>
    <x v="0"/>
    <s v="06:42:00 PM"/>
    <n v="42608.788888888892"/>
    <n v="0.78888888889196096"/>
    <s v="14 min"/>
    <x v="0"/>
    <s v="Lahore"/>
    <s v="Lahore"/>
    <x v="37"/>
    <x v="1"/>
    <x v="2"/>
  </r>
  <r>
    <n v="42608.813194444447"/>
    <n v="42608"/>
    <x v="7"/>
    <x v="0"/>
    <s v="07:31:00 PM"/>
    <n v="42608.82916666667"/>
    <n v="0.82916666667006211"/>
    <s v="23 min"/>
    <x v="0"/>
    <s v="Lahore"/>
    <s v="Lahore"/>
    <x v="103"/>
    <x v="1"/>
    <x v="0"/>
  </r>
  <r>
    <n v="42608.837500000001"/>
    <n v="42608"/>
    <x v="7"/>
    <x v="0"/>
    <s v="08:06:00 PM"/>
    <n v="42608.844444444447"/>
    <n v="0.84444444444670808"/>
    <s v="10 min"/>
    <x v="0"/>
    <s v="Lahore"/>
    <s v="Unknown Location"/>
    <x v="111"/>
    <x v="1"/>
    <x v="0"/>
  </r>
  <r>
    <n v="42609.398611111108"/>
    <n v="42609"/>
    <x v="7"/>
    <x v="1"/>
    <s v="09:34:00 AM"/>
    <n v="42609.424305555556"/>
    <n v="0.42430555555620231"/>
    <s v="37 min"/>
    <x v="0"/>
    <s v="Unknown Location"/>
    <s v="Lahore"/>
    <x v="128"/>
    <x v="1"/>
    <x v="1"/>
  </r>
  <r>
    <n v="42609.490972222222"/>
    <n v="42609"/>
    <x v="7"/>
    <x v="1"/>
    <s v="11:47:00 AM"/>
    <n v="42609.504166666666"/>
    <n v="0.50416666666569654"/>
    <s v="19 min"/>
    <x v="0"/>
    <s v="Lahore"/>
    <s v="Lahore"/>
    <x v="187"/>
    <x v="1"/>
    <x v="3"/>
  </r>
  <r>
    <n v="42609.508333333331"/>
    <n v="42609"/>
    <x v="7"/>
    <x v="1"/>
    <s v="12:12:00 PM"/>
    <n v="42609.511805555558"/>
    <n v="0.5118055555576575"/>
    <s v="5 min"/>
    <x v="0"/>
    <s v="Lahore"/>
    <s v="Lahore"/>
    <x v="129"/>
    <x v="1"/>
    <x v="3"/>
  </r>
  <r>
    <n v="42609.584027777775"/>
    <n v="42609"/>
    <x v="7"/>
    <x v="1"/>
    <s v="02:01:00 PM"/>
    <n v="42609.655555555553"/>
    <n v="0.65555555555329192"/>
    <s v="103 min"/>
    <x v="0"/>
    <s v="Lahore"/>
    <s v="Unknown Location"/>
    <x v="214"/>
    <x v="1"/>
    <x v="3"/>
  </r>
  <r>
    <n v="42609.677083333336"/>
    <n v="42609"/>
    <x v="7"/>
    <x v="1"/>
    <s v="04:15:00 PM"/>
    <n v="42609.800694444442"/>
    <n v="0.8006944444423425"/>
    <s v="178 min"/>
    <x v="0"/>
    <s v="Unknown Location"/>
    <s v="Unknown Location"/>
    <x v="215"/>
    <x v="1"/>
    <x v="2"/>
  </r>
  <r>
    <n v="42610.414583333331"/>
    <n v="42610"/>
    <x v="7"/>
    <x v="5"/>
    <s v="09:57:00 AM"/>
    <n v="42610.429166666669"/>
    <n v="0.42916666666860692"/>
    <s v="21 min"/>
    <x v="0"/>
    <s v="Unknown Location"/>
    <s v="Noorpur Shahan"/>
    <x v="45"/>
    <x v="1"/>
    <x v="1"/>
  </r>
  <r>
    <n v="42610.693749999999"/>
    <n v="42610"/>
    <x v="7"/>
    <x v="5"/>
    <s v="04:39:00 PM"/>
    <n v="42610.704861111109"/>
    <n v="0.70486111110949423"/>
    <s v="16 min"/>
    <x v="0"/>
    <s v="Noorpur Shahan"/>
    <s v="Islamabad"/>
    <x v="12"/>
    <x v="1"/>
    <x v="2"/>
  </r>
  <r>
    <n v="42610.734027777777"/>
    <n v="42610"/>
    <x v="7"/>
    <x v="5"/>
    <s v="05:37:00 PM"/>
    <n v="42610.746527777781"/>
    <n v="0.74652777778101154"/>
    <s v="18 min"/>
    <x v="0"/>
    <s v="Islamabad"/>
    <s v="Islamabad"/>
    <x v="60"/>
    <x v="1"/>
    <x v="2"/>
  </r>
  <r>
    <n v="42610.885416666664"/>
    <n v="42610"/>
    <x v="7"/>
    <x v="5"/>
    <s v="09:15:00 PM"/>
    <n v="42610.915972222225"/>
    <n v="0.91597222222480923"/>
    <s v="44 min"/>
    <x v="0"/>
    <s v="Islamabad"/>
    <s v="Unknown Location"/>
    <x v="207"/>
    <x v="1"/>
    <x v="0"/>
  </r>
  <r>
    <n v="42611.501388888886"/>
    <n v="42611"/>
    <x v="7"/>
    <x v="6"/>
    <s v="12:02:00 PM"/>
    <n v="42611.521527777775"/>
    <n v="0.52152777777519077"/>
    <s v="29 min"/>
    <x v="0"/>
    <s v="Unknown Location"/>
    <s v="Islamabad"/>
    <x v="10"/>
    <x v="1"/>
    <x v="3"/>
  </r>
  <r>
    <n v="42611.568055555559"/>
    <n v="42611"/>
    <x v="7"/>
    <x v="6"/>
    <s v="01:38:00 PM"/>
    <n v="42611.574999999997"/>
    <n v="0.57499999999708962"/>
    <s v="10 min"/>
    <x v="0"/>
    <s v="Islamabad"/>
    <s v="Islamabad"/>
    <x v="5"/>
    <x v="1"/>
    <x v="3"/>
  </r>
  <r>
    <n v="42611.604861111111"/>
    <n v="42611"/>
    <x v="7"/>
    <x v="6"/>
    <s v="02:31:00 PM"/>
    <n v="42611.611805555556"/>
    <n v="0.61180555555620231"/>
    <s v="10 min"/>
    <x v="0"/>
    <s v="Islamabad"/>
    <s v="Islamabad"/>
    <x v="88"/>
    <x v="1"/>
    <x v="3"/>
  </r>
  <r>
    <n v="42611.617361111108"/>
    <n v="42611"/>
    <x v="7"/>
    <x v="6"/>
    <s v="02:49:00 PM"/>
    <n v="42611.62777777778"/>
    <n v="0.62777777777955635"/>
    <s v="15 min"/>
    <x v="0"/>
    <s v="Islamabad"/>
    <s v="Unknown Location"/>
    <x v="48"/>
    <x v="5"/>
    <x v="3"/>
  </r>
  <r>
    <n v="42611.65902777778"/>
    <n v="42611"/>
    <x v="7"/>
    <x v="6"/>
    <s v="03:49:00 PM"/>
    <n v="42611.665972222225"/>
    <n v="0.66597222222480923"/>
    <s v="10 min"/>
    <x v="0"/>
    <s v="Unknown Location"/>
    <s v="Islamabad"/>
    <x v="109"/>
    <x v="1"/>
    <x v="2"/>
  </r>
  <r>
    <n v="42611.67083333333"/>
    <n v="42611"/>
    <x v="7"/>
    <x v="6"/>
    <s v="04:06:00 PM"/>
    <n v="42611.681250000001"/>
    <n v="0.68125000000145519"/>
    <s v="15 min"/>
    <x v="0"/>
    <s v="Islamabad"/>
    <s v="Unknown Location"/>
    <x v="17"/>
    <x v="1"/>
    <x v="2"/>
  </r>
  <r>
    <n v="42611.724999999999"/>
    <n v="42611"/>
    <x v="7"/>
    <x v="6"/>
    <s v="05:24:00 PM"/>
    <n v="42611.736805555556"/>
    <n v="0.73680555555620231"/>
    <s v="17 min"/>
    <x v="0"/>
    <s v="Unknown Location"/>
    <s v="Islamabad"/>
    <x v="47"/>
    <x v="1"/>
    <x v="2"/>
  </r>
  <r>
    <n v="42611.768750000003"/>
    <n v="42611"/>
    <x v="7"/>
    <x v="6"/>
    <s v="06:27:00 PM"/>
    <n v="42611.775000000001"/>
    <n v="0.77500000000145519"/>
    <s v="9 min"/>
    <x v="0"/>
    <s v="Islamabad"/>
    <s v="Islamabad"/>
    <x v="66"/>
    <x v="1"/>
    <x v="2"/>
  </r>
  <r>
    <n v="42612.495138888888"/>
    <n v="42612"/>
    <x v="7"/>
    <x v="2"/>
    <s v="11:53:00 AM"/>
    <n v="42612.503472222219"/>
    <n v="0.50347222221898846"/>
    <s v="12 min"/>
    <x v="0"/>
    <s v="Unknown Location"/>
    <s v="Unknown Location"/>
    <x v="102"/>
    <x v="1"/>
    <x v="3"/>
  </r>
  <r>
    <n v="42612.531944444447"/>
    <n v="42612"/>
    <x v="7"/>
    <x v="2"/>
    <s v="12:46:00 PM"/>
    <n v="42612.54791666667"/>
    <n v="0.54791666667006211"/>
    <s v="23 min"/>
    <x v="0"/>
    <s v="Unknown Location"/>
    <s v="Islamabad"/>
    <x v="93"/>
    <x v="1"/>
    <x v="3"/>
  </r>
  <r>
    <n v="42612.559027777781"/>
    <n v="42612"/>
    <x v="7"/>
    <x v="2"/>
    <s v="01:25:00 PM"/>
    <n v="42612.573611111111"/>
    <n v="0.57361111111094942"/>
    <s v="21 min"/>
    <x v="0"/>
    <s v="Islamabad"/>
    <s v="Islamabad"/>
    <x v="183"/>
    <x v="1"/>
    <x v="3"/>
  </r>
  <r>
    <n v="42612.583333333336"/>
    <n v="42612"/>
    <x v="7"/>
    <x v="2"/>
    <s v="02:00:00 PM"/>
    <n v="42612.597222222219"/>
    <n v="0.59722222221898846"/>
    <s v="20 min"/>
    <x v="0"/>
    <s v="Islamabad"/>
    <s v="Unknown Location"/>
    <x v="60"/>
    <x v="1"/>
    <x v="3"/>
  </r>
  <r>
    <n v="42612.727083333331"/>
    <n v="42612"/>
    <x v="7"/>
    <x v="2"/>
    <s v="05:27:00 PM"/>
    <n v="42612.756249999999"/>
    <n v="0.75624999999854481"/>
    <s v="42 min"/>
    <x v="0"/>
    <s v="Unknown Location"/>
    <s v="Unknown Location"/>
    <x v="73"/>
    <x v="1"/>
    <x v="2"/>
  </r>
  <r>
    <n v="42614.493750000001"/>
    <n v="42614"/>
    <x v="8"/>
    <x v="4"/>
    <s v="11:51:00 AM"/>
    <n v="42614.51666666667"/>
    <n v="0.51666666667006211"/>
    <s v="33 min"/>
    <x v="0"/>
    <s v="Unknown Location"/>
    <s v="Islamabad"/>
    <x v="73"/>
    <x v="1"/>
    <x v="3"/>
  </r>
  <r>
    <n v="42614.722916666666"/>
    <n v="42614"/>
    <x v="8"/>
    <x v="4"/>
    <s v="05:21:00 PM"/>
    <n v="42614.73333333333"/>
    <n v="0.73333333332993789"/>
    <s v="15 min"/>
    <x v="0"/>
    <s v="Islamabad"/>
    <s v="Unknown Location"/>
    <x v="99"/>
    <x v="1"/>
    <x v="2"/>
  </r>
  <r>
    <n v="42614.78402777778"/>
    <n v="42614"/>
    <x v="8"/>
    <x v="4"/>
    <s v="06:49:00 PM"/>
    <n v="42614.797222222223"/>
    <n v="0.79722222222335404"/>
    <s v="19 min"/>
    <x v="0"/>
    <s v="Unknown Location"/>
    <s v="Unknown Location"/>
    <x v="95"/>
    <x v="1"/>
    <x v="2"/>
  </r>
  <r>
    <n v="42615.484027777777"/>
    <n v="42615"/>
    <x v="8"/>
    <x v="0"/>
    <s v="11:37:00 AM"/>
    <n v="42615.51666666667"/>
    <n v="0.51666666667006211"/>
    <s v="47 min"/>
    <x v="0"/>
    <s v="Unknown Location"/>
    <s v="Islamabad"/>
    <x v="123"/>
    <x v="1"/>
    <x v="3"/>
  </r>
  <r>
    <n v="42615.788888888892"/>
    <n v="42615"/>
    <x v="8"/>
    <x v="0"/>
    <s v="06:56:00 PM"/>
    <n v="42615.817361111112"/>
    <n v="0.81736111111240461"/>
    <s v="41 min"/>
    <x v="0"/>
    <s v="Unknown Location"/>
    <s v="Unknown Location"/>
    <x v="39"/>
    <x v="1"/>
    <x v="2"/>
  </r>
  <r>
    <n v="42618.434027777781"/>
    <n v="42618"/>
    <x v="8"/>
    <x v="6"/>
    <s v="10:25:00 AM"/>
    <n v="42618.447222222225"/>
    <n v="0.44722222222480923"/>
    <s v="19 min"/>
    <x v="0"/>
    <s v="Unknown Location"/>
    <s v="R?walpindi"/>
    <x v="216"/>
    <x v="1"/>
    <x v="3"/>
  </r>
  <r>
    <n v="42619.742361111108"/>
    <n v="42619"/>
    <x v="8"/>
    <x v="2"/>
    <s v="05:49:00 PM"/>
    <n v="42619.742361111108"/>
    <n v="0.74236111110803904"/>
    <s v="0 min"/>
    <x v="0"/>
    <s v="Unknown Location"/>
    <s v="Unknown Location"/>
    <x v="217"/>
    <x v="1"/>
    <x v="2"/>
  </r>
  <r>
    <n v="42623.436111111114"/>
    <n v="42623"/>
    <x v="8"/>
    <x v="1"/>
    <s v="10:28:00 AM"/>
    <n v="42623.447916666664"/>
    <n v="0.44791666666424135"/>
    <s v="17 min"/>
    <x v="0"/>
    <s v="Unknown Location"/>
    <s v="Unknown Location"/>
    <x v="109"/>
    <x v="1"/>
    <x v="3"/>
  </r>
  <r>
    <n v="42624.410416666666"/>
    <n v="42624"/>
    <x v="8"/>
    <x v="5"/>
    <s v="09:51:00 AM"/>
    <n v="42624.413194444445"/>
    <n v="0.41319444444525288"/>
    <s v="4 min"/>
    <x v="0"/>
    <s v="Unknown Location"/>
    <s v="Unknown Location"/>
    <x v="180"/>
    <x v="1"/>
    <x v="1"/>
  </r>
  <r>
    <n v="42624.902777777781"/>
    <n v="42624"/>
    <x v="8"/>
    <x v="5"/>
    <s v="09:40:00 PM"/>
    <n v="42624.904166666667"/>
    <n v="0.90416666666715173"/>
    <s v="2 min"/>
    <x v="0"/>
    <s v="Unknown Location"/>
    <s v="Unknown Location"/>
    <x v="165"/>
    <x v="1"/>
    <x v="0"/>
  </r>
  <r>
    <n v="42625.338194444441"/>
    <n v="42625"/>
    <x v="8"/>
    <x v="6"/>
    <s v="08:07:00 AM"/>
    <n v="42625.341666666667"/>
    <n v="0.34166666666715173"/>
    <s v="5 min"/>
    <x v="0"/>
    <s v="Unknown Location"/>
    <s v="Unknown Location"/>
    <x v="78"/>
    <x v="1"/>
    <x v="1"/>
  </r>
  <r>
    <n v="42625.46875"/>
    <n v="42625"/>
    <x v="8"/>
    <x v="6"/>
    <s v="11:15:00 AM"/>
    <n v="42625.474999999999"/>
    <n v="0.47499999999854481"/>
    <s v="9 min"/>
    <x v="0"/>
    <s v="Unknown Location"/>
    <s v="Unknown Location"/>
    <x v="15"/>
    <x v="1"/>
    <x v="3"/>
  </r>
  <r>
    <n v="42625.544444444444"/>
    <n v="42625"/>
    <x v="8"/>
    <x v="6"/>
    <s v="01:04:00 PM"/>
    <n v="42625.572222222225"/>
    <n v="0.57222222222480923"/>
    <s v="40 min"/>
    <x v="0"/>
    <s v="Unknown Location"/>
    <s v="Unknown Location"/>
    <x v="70"/>
    <x v="1"/>
    <x v="3"/>
  </r>
  <r>
    <n v="42626.705555555556"/>
    <n v="42626"/>
    <x v="8"/>
    <x v="2"/>
    <s v="04:56:00 PM"/>
    <n v="42626.709722222222"/>
    <n v="0.70972222222189885"/>
    <s v="6 min"/>
    <x v="0"/>
    <s v="Unknown Location"/>
    <s v="Unknown Location"/>
    <x v="145"/>
    <x v="1"/>
    <x v="2"/>
  </r>
  <r>
    <n v="42627.496527777781"/>
    <n v="42627"/>
    <x v="8"/>
    <x v="3"/>
    <s v="11:55:00 AM"/>
    <n v="42627.499305555553"/>
    <n v="0.49930555555329192"/>
    <s v="4 min"/>
    <x v="0"/>
    <s v="Unknown Location"/>
    <s v="Unknown Location"/>
    <x v="145"/>
    <x v="1"/>
    <x v="3"/>
  </r>
  <r>
    <n v="42628.856249999997"/>
    <n v="42628"/>
    <x v="8"/>
    <x v="4"/>
    <s v="08:33:00 PM"/>
    <n v="42628.859722222223"/>
    <n v="0.85972222222335404"/>
    <s v="5 min"/>
    <x v="0"/>
    <s v="Unknown Location"/>
    <s v="Unknown Location"/>
    <x v="129"/>
    <x v="1"/>
    <x v="0"/>
  </r>
  <r>
    <n v="42629.297222222223"/>
    <n v="42629"/>
    <x v="8"/>
    <x v="0"/>
    <s v="07:08:00 AM"/>
    <n v="42629.297222222223"/>
    <n v="0.29722222222335404"/>
    <s v="0 min"/>
    <x v="0"/>
    <s v="Unknown Location"/>
    <s v="Unknown Location"/>
    <x v="14"/>
    <x v="1"/>
    <x v="1"/>
  </r>
  <r>
    <n v="42631.754861111112"/>
    <n v="42631"/>
    <x v="8"/>
    <x v="5"/>
    <s v="06:07:00 PM"/>
    <n v="42631.757638888892"/>
    <n v="0.75763888889196096"/>
    <s v="4 min"/>
    <x v="0"/>
    <s v="Unknown Location"/>
    <s v="Unknown Location"/>
    <x v="112"/>
    <x v="1"/>
    <x v="2"/>
  </r>
  <r>
    <n v="42632.262499999997"/>
    <n v="42632"/>
    <x v="8"/>
    <x v="6"/>
    <s v="06:18:00 AM"/>
    <n v="42632.28402777778"/>
    <n v="0.28402777777955635"/>
    <s v="31 min"/>
    <x v="0"/>
    <s v="R?walpindi"/>
    <s v="Unknown Location"/>
    <x v="162"/>
    <x v="1"/>
    <x v="1"/>
  </r>
  <r>
    <n v="42632.611111111109"/>
    <n v="42632"/>
    <x v="8"/>
    <x v="6"/>
    <s v="02:40:00 PM"/>
    <n v="42632.62222222222"/>
    <n v="0.62222222222044365"/>
    <s v="16 min"/>
    <x v="0"/>
    <s v="Unknown Location"/>
    <s v="Islamabad"/>
    <x v="116"/>
    <x v="1"/>
    <x v="3"/>
  </r>
  <r>
    <n v="42632.682638888888"/>
    <n v="42632"/>
    <x v="8"/>
    <x v="6"/>
    <s v="04:23:00 PM"/>
    <n v="42632.688194444447"/>
    <n v="0.68819444444670808"/>
    <s v="8 min"/>
    <x v="0"/>
    <s v="Islamabad"/>
    <s v="Unknown Location"/>
    <x v="48"/>
    <x v="1"/>
    <x v="2"/>
  </r>
  <r>
    <n v="42632.73333333333"/>
    <n v="42632"/>
    <x v="8"/>
    <x v="6"/>
    <s v="05:36:00 PM"/>
    <n v="42632.763888888891"/>
    <n v="0.76388888889050577"/>
    <s v="44 min"/>
    <x v="0"/>
    <s v="Unknown Location"/>
    <s v="Unknown Location"/>
    <x v="68"/>
    <x v="1"/>
    <x v="2"/>
  </r>
  <r>
    <n v="42632.798611111109"/>
    <n v="42632"/>
    <x v="8"/>
    <x v="6"/>
    <s v="07:10:00 PM"/>
    <n v="42632.825694444444"/>
    <n v="0.82569444444379769"/>
    <s v="39 min"/>
    <x v="0"/>
    <s v="Unknown Location"/>
    <s v="Islamabad"/>
    <x v="83"/>
    <x v="1"/>
    <x v="0"/>
  </r>
  <r>
    <n v="42633.478472222225"/>
    <n v="42633"/>
    <x v="8"/>
    <x v="2"/>
    <s v="11:29:00 AM"/>
    <n v="42633.491666666669"/>
    <n v="0.49166666666860692"/>
    <s v="19 min"/>
    <x v="0"/>
    <s v="Islamabad"/>
    <s v="Unknown Location"/>
    <x v="9"/>
    <x v="1"/>
    <x v="3"/>
  </r>
  <r>
    <n v="42633.865972222222"/>
    <n v="42633"/>
    <x v="8"/>
    <x v="2"/>
    <s v="08:47:00 PM"/>
    <n v="42633.949305555558"/>
    <n v="0.9493055555576575"/>
    <s v="120 min"/>
    <x v="0"/>
    <s v="Unknown Location"/>
    <s v="R?walpindi"/>
    <x v="128"/>
    <x v="1"/>
    <x v="0"/>
  </r>
  <r>
    <n v="42636.552083333336"/>
    <n v="42636"/>
    <x v="8"/>
    <x v="0"/>
    <s v="01:15:00 PM"/>
    <n v="42636.569444444445"/>
    <n v="0.56944444444525288"/>
    <s v="25 min"/>
    <x v="0"/>
    <s v="Karachi"/>
    <s v="Karachi"/>
    <x v="163"/>
    <x v="1"/>
    <x v="3"/>
  </r>
  <r>
    <n v="42637.606944444444"/>
    <n v="42637"/>
    <x v="8"/>
    <x v="1"/>
    <s v="02:34:00 PM"/>
    <n v="42637.635416666664"/>
    <n v="0.63541666666424135"/>
    <s v="41 min"/>
    <x v="0"/>
    <s v="Karachi"/>
    <s v="Unknown Location"/>
    <x v="158"/>
    <x v="1"/>
    <x v="3"/>
  </r>
  <r>
    <n v="42637.853472222225"/>
    <n v="42637"/>
    <x v="8"/>
    <x v="1"/>
    <s v="08:29:00 PM"/>
    <n v="42637.856249999997"/>
    <n v="0.85624999999708962"/>
    <s v="4 min"/>
    <x v="0"/>
    <s v="Unknown Location"/>
    <s v="Unknown Location"/>
    <x v="19"/>
    <x v="1"/>
    <x v="0"/>
  </r>
  <r>
    <n v="42640.356249999997"/>
    <n v="42640"/>
    <x v="8"/>
    <x v="2"/>
    <s v="08:33:00 AM"/>
    <n v="42640.357638888891"/>
    <n v="0.35763888889050577"/>
    <s v="2 min"/>
    <x v="0"/>
    <s v="Unknown Location"/>
    <s v="Unknown Location"/>
    <x v="46"/>
    <x v="1"/>
    <x v="1"/>
  </r>
  <r>
    <n v="42640.556250000001"/>
    <n v="42640"/>
    <x v="8"/>
    <x v="2"/>
    <s v="01:21:00 PM"/>
    <n v="42640.613194444442"/>
    <n v="0.6131944444423425"/>
    <s v="82 min"/>
    <x v="0"/>
    <s v="Lahore"/>
    <s v="Lahore"/>
    <x v="165"/>
    <x v="1"/>
    <x v="3"/>
  </r>
  <r>
    <n v="42640.801388888889"/>
    <n v="42640"/>
    <x v="8"/>
    <x v="2"/>
    <s v="07:14:00 PM"/>
    <n v="42640.856944444444"/>
    <n v="0.85694444444379769"/>
    <s v="80 min"/>
    <x v="0"/>
    <s v="Lahore"/>
    <s v="Unknown Location"/>
    <x v="84"/>
    <x v="1"/>
    <x v="0"/>
  </r>
  <r>
    <n v="42640.875694444447"/>
    <n v="42640"/>
    <x v="8"/>
    <x v="2"/>
    <s v="09:01:00 PM"/>
    <n v="42641.109027777777"/>
    <n v="0.10902777777664596"/>
    <s v="336 min"/>
    <x v="0"/>
    <s v="Unknown Location"/>
    <s v="Unknown Location"/>
    <x v="218"/>
    <x v="1"/>
    <x v="0"/>
  </r>
  <r>
    <n v="42641.722916666666"/>
    <n v="42641"/>
    <x v="8"/>
    <x v="3"/>
    <s v="05:21:00 PM"/>
    <n v="42641.816666666666"/>
    <n v="0.81666666666569654"/>
    <s v="135 min"/>
    <x v="0"/>
    <s v="Islamabad"/>
    <s v="Unknown Location"/>
    <x v="164"/>
    <x v="1"/>
    <x v="2"/>
  </r>
  <r>
    <n v="42642.675694444442"/>
    <n v="42642"/>
    <x v="8"/>
    <x v="4"/>
    <s v="04:13:00 PM"/>
    <n v="42642.782638888886"/>
    <n v="0.78263888888614019"/>
    <s v="154 min"/>
    <x v="0"/>
    <s v="Unknown Location"/>
    <s v="Islamabad"/>
    <x v="121"/>
    <x v="1"/>
    <x v="2"/>
  </r>
  <r>
    <n v="42643.73541666667"/>
    <n v="42643"/>
    <x v="8"/>
    <x v="0"/>
    <s v="05:39:00 PM"/>
    <n v="42643.847222222219"/>
    <n v="0.84722222221898846"/>
    <s v="161 min"/>
    <x v="0"/>
    <s v="Islamabad"/>
    <s v="Islamabad"/>
    <x v="219"/>
    <x v="1"/>
    <x v="2"/>
  </r>
  <r>
    <n v="42643.874305555553"/>
    <n v="42643"/>
    <x v="8"/>
    <x v="0"/>
    <s v="08:59:00 PM"/>
    <n v="42643.94027777778"/>
    <n v="0.94027777777955635"/>
    <s v="95 min"/>
    <x v="0"/>
    <s v="Islamabad"/>
    <s v="Unknown Location"/>
    <x v="220"/>
    <x v="1"/>
    <x v="0"/>
  </r>
  <r>
    <n v="42646.714583333334"/>
    <n v="42646"/>
    <x v="9"/>
    <x v="6"/>
    <s v="05:09:00 PM"/>
    <n v="42646.716666666667"/>
    <n v="0.71666666666715173"/>
    <s v="3 min"/>
    <x v="0"/>
    <s v="Unknown Location"/>
    <s v="Islamabad"/>
    <x v="116"/>
    <x v="1"/>
    <x v="2"/>
  </r>
  <r>
    <n v="42646.761805555558"/>
    <n v="42646"/>
    <x v="9"/>
    <x v="6"/>
    <s v="06:17:00 PM"/>
    <n v="42646.773611111108"/>
    <n v="0.77361111110803904"/>
    <s v="17 min"/>
    <x v="0"/>
    <s v="Islamabad"/>
    <s v="Islamabad"/>
    <x v="109"/>
    <x v="1"/>
    <x v="2"/>
  </r>
  <r>
    <n v="42646.785416666666"/>
    <n v="42646"/>
    <x v="9"/>
    <x v="6"/>
    <s v="06:51:00 PM"/>
    <n v="42646.792361111111"/>
    <n v="0.79236111111094942"/>
    <s v="10 min"/>
    <x v="0"/>
    <s v="Islamabad"/>
    <s v="Islamabad"/>
    <x v="14"/>
    <x v="1"/>
    <x v="2"/>
  </r>
  <r>
    <n v="42646.919444444444"/>
    <n v="42646"/>
    <x v="9"/>
    <x v="6"/>
    <s v="10:04:00 PM"/>
    <n v="42646.939583333333"/>
    <n v="0.93958333333284827"/>
    <s v="29 min"/>
    <x v="0"/>
    <s v="Islamabad"/>
    <s v="Unknown Location"/>
    <x v="81"/>
    <x v="1"/>
    <x v="0"/>
  </r>
  <r>
    <n v="42647.409722222219"/>
    <n v="42647"/>
    <x v="9"/>
    <x v="2"/>
    <s v="09:50:00 AM"/>
    <n v="42647.452777777777"/>
    <n v="0.45277777777664596"/>
    <s v="62 min"/>
    <x v="0"/>
    <s v="Unknown Location"/>
    <s v="Unknown Location"/>
    <x v="221"/>
    <x v="1"/>
    <x v="1"/>
  </r>
  <r>
    <n v="42647.511805555558"/>
    <n v="42647"/>
    <x v="9"/>
    <x v="2"/>
    <s v="12:17:00 PM"/>
    <n v="42647.512499999997"/>
    <n v="0.51249999999708962"/>
    <s v="1 min"/>
    <x v="0"/>
    <s v="Unknown Location"/>
    <s v="Unknown Location"/>
    <x v="21"/>
    <x v="1"/>
    <x v="3"/>
  </r>
  <r>
    <n v="42649.367361111108"/>
    <n v="42649"/>
    <x v="9"/>
    <x v="4"/>
    <s v="08:49:00 AM"/>
    <n v="42649.48333333333"/>
    <n v="0.48333333332993789"/>
    <s v="167 min"/>
    <x v="0"/>
    <s v="Unknown Location"/>
    <s v="R?walpindi"/>
    <x v="222"/>
    <x v="1"/>
    <x v="1"/>
  </r>
  <r>
    <n v="42649.724305555559"/>
    <n v="42649"/>
    <x v="9"/>
    <x v="4"/>
    <s v="05:23:00 PM"/>
    <n v="42649.736111111109"/>
    <n v="0.73611111110949423"/>
    <s v="17 min"/>
    <x v="0"/>
    <s v="R?walpindi"/>
    <s v="Unknown Location"/>
    <x v="223"/>
    <x v="1"/>
    <x v="2"/>
  </r>
  <r>
    <n v="42649.775694444441"/>
    <n v="42649"/>
    <x v="9"/>
    <x v="4"/>
    <s v="06:37:00 PM"/>
    <n v="42649.777083333334"/>
    <n v="0.77708333333430346"/>
    <s v="2 min"/>
    <x v="0"/>
    <s v="Unknown Location"/>
    <s v="Unknown Location"/>
    <x v="90"/>
    <x v="1"/>
    <x v="2"/>
  </r>
  <r>
    <n v="42649.823611111111"/>
    <n v="42649"/>
    <x v="9"/>
    <x v="4"/>
    <s v="07:46:00 PM"/>
    <n v="42649.851388888892"/>
    <n v="0.85138888889196096"/>
    <s v="40 min"/>
    <x v="0"/>
    <s v="Unknown Location"/>
    <s v="Unknown Location"/>
    <x v="139"/>
    <x v="1"/>
    <x v="0"/>
  </r>
  <r>
    <n v="42650.455555555556"/>
    <n v="42650"/>
    <x v="9"/>
    <x v="0"/>
    <s v="10:56:00 AM"/>
    <n v="42650.457638888889"/>
    <n v="0.45763888888905058"/>
    <s v="3 min"/>
    <x v="0"/>
    <s v="Unknown Location"/>
    <s v="Lahore"/>
    <x v="224"/>
    <x v="1"/>
    <x v="3"/>
  </r>
  <r>
    <n v="42650.477083333331"/>
    <n v="42650"/>
    <x v="9"/>
    <x v="0"/>
    <s v="11:27:00 AM"/>
    <n v="42650.493055555555"/>
    <n v="0.49305555555474712"/>
    <s v="23 min"/>
    <x v="0"/>
    <s v="Lahore"/>
    <s v="Lahore"/>
    <x v="66"/>
    <x v="1"/>
    <x v="3"/>
  </r>
  <r>
    <n v="42650.577777777777"/>
    <n v="42650"/>
    <x v="9"/>
    <x v="0"/>
    <s v="01:52:00 PM"/>
    <n v="42650.588888888888"/>
    <n v="0.58888888888759539"/>
    <s v="16 min"/>
    <x v="0"/>
    <s v="Lahore"/>
    <s v="Unknown Location"/>
    <x v="46"/>
    <x v="1"/>
    <x v="3"/>
  </r>
  <r>
    <n v="42650.603472222225"/>
    <n v="42650"/>
    <x v="9"/>
    <x v="0"/>
    <s v="02:29:00 PM"/>
    <n v="42650.632638888892"/>
    <n v="0.63263888889196096"/>
    <s v="42 min"/>
    <x v="0"/>
    <s v="Unknown Location"/>
    <s v="Lahore"/>
    <x v="8"/>
    <x v="1"/>
    <x v="3"/>
  </r>
  <r>
    <n v="42650.657638888886"/>
    <n v="42650"/>
    <x v="9"/>
    <x v="0"/>
    <s v="03:47:00 PM"/>
    <n v="42650.668055555558"/>
    <n v="0.6680555555576575"/>
    <s v="15 min"/>
    <x v="0"/>
    <s v="Lahore"/>
    <s v="Lahore"/>
    <x v="19"/>
    <x v="1"/>
    <x v="2"/>
  </r>
  <r>
    <n v="42650.755555555559"/>
    <n v="42650"/>
    <x v="9"/>
    <x v="0"/>
    <s v="06:08:00 PM"/>
    <n v="42650.768750000003"/>
    <n v="0.76875000000291038"/>
    <s v="19 min"/>
    <x v="0"/>
    <s v="Lahore"/>
    <s v="Lahore"/>
    <x v="97"/>
    <x v="1"/>
    <x v="2"/>
  </r>
  <r>
    <n v="42650.772916666669"/>
    <n v="42650"/>
    <x v="9"/>
    <x v="0"/>
    <s v="06:33:00 PM"/>
    <n v="42650.792361111111"/>
    <n v="0.79236111111094942"/>
    <s v="28 min"/>
    <x v="0"/>
    <s v="Lahore"/>
    <s v="Lahore"/>
    <x v="59"/>
    <x v="1"/>
    <x v="2"/>
  </r>
  <r>
    <n v="42651.627083333333"/>
    <n v="42651"/>
    <x v="9"/>
    <x v="1"/>
    <s v="03:03:00 PM"/>
    <n v="42651.627083333333"/>
    <n v="0.62708333333284827"/>
    <s v="0 min"/>
    <x v="0"/>
    <s v="Karachi"/>
    <s v="Karachi"/>
    <x v="78"/>
    <x v="1"/>
    <x v="2"/>
  </r>
  <r>
    <n v="42651.760416666664"/>
    <n v="42651"/>
    <x v="9"/>
    <x v="1"/>
    <s v="06:15:00 PM"/>
    <n v="42651.762499999997"/>
    <n v="0.76249999999708962"/>
    <s v="3 min"/>
    <x v="0"/>
    <s v="Karachi"/>
    <s v="Unknown Location"/>
    <x v="26"/>
    <x v="1"/>
    <x v="2"/>
  </r>
  <r>
    <n v="42652.586111111108"/>
    <n v="42652"/>
    <x v="9"/>
    <x v="5"/>
    <s v="02:04:00 PM"/>
    <n v="42652.599305555559"/>
    <n v="0.59930555555911269"/>
    <s v="19 min"/>
    <x v="0"/>
    <s v="Unknown Location"/>
    <s v="Unknown Location"/>
    <x v="55"/>
    <x v="5"/>
    <x v="3"/>
  </r>
  <r>
    <n v="42653.723611111112"/>
    <n v="42653"/>
    <x v="9"/>
    <x v="6"/>
    <s v="05:22:00 PM"/>
    <n v="42653.727777777778"/>
    <n v="0.72777777777810115"/>
    <s v="6 min"/>
    <x v="0"/>
    <s v="Islamabad"/>
    <s v="Islamabad"/>
    <x v="15"/>
    <x v="1"/>
    <x v="2"/>
  </r>
  <r>
    <n v="42653.731249999997"/>
    <n v="42653"/>
    <x v="9"/>
    <x v="6"/>
    <s v="05:33:00 PM"/>
    <n v="42653.759027777778"/>
    <n v="0.75902777777810115"/>
    <s v="40 min"/>
    <x v="0"/>
    <s v="Islamabad"/>
    <s v="Unknown Location"/>
    <x v="199"/>
    <x v="1"/>
    <x v="2"/>
  </r>
  <r>
    <n v="42654.060416666667"/>
    <n v="42654"/>
    <x v="9"/>
    <x v="2"/>
    <s v="01:27:00 AM"/>
    <n v="42654.088888888888"/>
    <n v="8.8888888887595385E-2"/>
    <s v="41 min"/>
    <x v="0"/>
    <s v="Unknown Location"/>
    <s v="R?walpindi"/>
    <x v="30"/>
    <x v="3"/>
    <x v="1"/>
  </r>
  <r>
    <n v="42655.804166666669"/>
    <n v="42655"/>
    <x v="9"/>
    <x v="3"/>
    <s v="07:18:00 PM"/>
    <n v="42655.806250000001"/>
    <n v="0.80625000000145519"/>
    <s v="3 min"/>
    <x v="0"/>
    <s v="R?walpindi"/>
    <s v="Unknown Location"/>
    <x v="90"/>
    <x v="1"/>
    <x v="0"/>
  </r>
  <r>
    <n v="42656.472222222219"/>
    <n v="42656"/>
    <x v="9"/>
    <x v="4"/>
    <s v="11:20:00 AM"/>
    <n v="42656.498611111114"/>
    <n v="0.49861111111385981"/>
    <s v="38 min"/>
    <x v="0"/>
    <s v="Unknown Location"/>
    <s v="Islamabad"/>
    <x v="165"/>
    <x v="1"/>
    <x v="3"/>
  </r>
  <r>
    <n v="42656.505555555559"/>
    <n v="42656"/>
    <x v="9"/>
    <x v="4"/>
    <s v="12:08:00 PM"/>
    <n v="42656.509722222225"/>
    <n v="0.50972222222480923"/>
    <s v="6 min"/>
    <x v="0"/>
    <s v="Islamabad"/>
    <s v="Islamabad"/>
    <x v="32"/>
    <x v="1"/>
    <x v="3"/>
  </r>
  <r>
    <n v="42656.543055555558"/>
    <n v="42656"/>
    <x v="9"/>
    <x v="4"/>
    <s v="01:02:00 PM"/>
    <n v="42656.543055555558"/>
    <n v="0.5430555555576575"/>
    <s v="0 min"/>
    <x v="0"/>
    <s v="Islamabad"/>
    <s v="Islamabad"/>
    <x v="145"/>
    <x v="1"/>
    <x v="3"/>
  </r>
  <r>
    <n v="42656.567361111112"/>
    <n v="42656"/>
    <x v="9"/>
    <x v="4"/>
    <s v="01:37:00 PM"/>
    <n v="42656.573611111111"/>
    <n v="0.57361111111094942"/>
    <s v="9 min"/>
    <x v="0"/>
    <s v="Islamabad"/>
    <s v="Islamabad"/>
    <x v="33"/>
    <x v="1"/>
    <x v="3"/>
  </r>
  <r>
    <n v="42656.672222222223"/>
    <n v="42656"/>
    <x v="9"/>
    <x v="4"/>
    <s v="04:08:00 PM"/>
    <n v="42656.703472222223"/>
    <n v="0.70347222222335404"/>
    <s v="45 min"/>
    <x v="0"/>
    <s v="Islamabad"/>
    <s v="Unknown Location"/>
    <x v="105"/>
    <x v="1"/>
    <x v="2"/>
  </r>
  <r>
    <n v="42657.368055555555"/>
    <n v="42657"/>
    <x v="9"/>
    <x v="0"/>
    <s v="08:50:00 AM"/>
    <n v="42657.405555555553"/>
    <n v="0.40555555555329192"/>
    <s v="54 min"/>
    <x v="0"/>
    <s v="Unknown Location"/>
    <s v="R?walpindi"/>
    <x v="81"/>
    <x v="1"/>
    <x v="1"/>
  </r>
  <r>
    <n v="42657.427777777775"/>
    <n v="42657"/>
    <x v="9"/>
    <x v="0"/>
    <s v="10:16:00 AM"/>
    <n v="42657.452777777777"/>
    <n v="0.45277777777664596"/>
    <s v="36 min"/>
    <x v="0"/>
    <s v="R?walpindi"/>
    <s v="Unknown Location"/>
    <x v="110"/>
    <x v="1"/>
    <x v="3"/>
  </r>
  <r>
    <n v="42657.663888888892"/>
    <n v="42657"/>
    <x v="9"/>
    <x v="0"/>
    <s v="03:56:00 PM"/>
    <n v="42657.680555555555"/>
    <n v="0.68055555555474712"/>
    <s v="24 min"/>
    <x v="0"/>
    <s v="Unknown Location"/>
    <s v="Unknown Location"/>
    <x v="103"/>
    <x v="1"/>
    <x v="2"/>
  </r>
  <r>
    <n v="42657.995833333334"/>
    <n v="42657"/>
    <x v="9"/>
    <x v="0"/>
    <s v="11:54:00 PM"/>
    <n v="42658.087500000001"/>
    <n v="8.7500000001455192E-2"/>
    <s v="132 min"/>
    <x v="0"/>
    <s v="Unknown Location"/>
    <s v="R?walpindi"/>
    <x v="67"/>
    <x v="3"/>
    <x v="0"/>
  </r>
  <r>
    <n v="42658.936111111114"/>
    <n v="42658"/>
    <x v="9"/>
    <x v="1"/>
    <s v="10:28:00 PM"/>
    <n v="42658.95"/>
    <n v="0.94999999999708962"/>
    <s v="20 min"/>
    <x v="0"/>
    <s v="Morrisville"/>
    <s v="Morrisville"/>
    <x v="12"/>
    <x v="1"/>
    <x v="0"/>
  </r>
  <r>
    <n v="42659.000694444447"/>
    <n v="42659"/>
    <x v="9"/>
    <x v="5"/>
    <s v="12:01:00 AM"/>
    <n v="42659.009722222225"/>
    <n v="9.7222222248092294E-3"/>
    <s v="13 min"/>
    <x v="0"/>
    <s v="Morrisville"/>
    <s v="Cary"/>
    <x v="97"/>
    <x v="1"/>
    <x v="1"/>
  </r>
  <r>
    <n v="42659.536111111112"/>
    <n v="42659"/>
    <x v="9"/>
    <x v="5"/>
    <s v="12:52:00 PM"/>
    <n v="42659.549305555556"/>
    <n v="0.54930555555620231"/>
    <s v="19 min"/>
    <x v="0"/>
    <s v="Cary"/>
    <s v="Durham"/>
    <x v="116"/>
    <x v="3"/>
    <x v="3"/>
  </r>
  <r>
    <n v="42659.611111111109"/>
    <n v="42659"/>
    <x v="9"/>
    <x v="5"/>
    <s v="02:40:00 PM"/>
    <n v="42659.625694444447"/>
    <n v="0.62569444444670808"/>
    <s v="21 min"/>
    <x v="0"/>
    <s v="Durham"/>
    <s v="Morrisville"/>
    <x v="72"/>
    <x v="1"/>
    <x v="3"/>
  </r>
  <r>
    <n v="42659.631944444445"/>
    <n v="42659"/>
    <x v="9"/>
    <x v="5"/>
    <s v="03:10:00 PM"/>
    <n v="42659.638194444444"/>
    <n v="0.63819444444379769"/>
    <s v="9 min"/>
    <x v="0"/>
    <s v="Morrisville"/>
    <s v="Cary"/>
    <x v="97"/>
    <x v="1"/>
    <x v="2"/>
  </r>
  <r>
    <n v="42659.810416666667"/>
    <n v="42659"/>
    <x v="9"/>
    <x v="5"/>
    <s v="07:27:00 PM"/>
    <n v="42659.814583333333"/>
    <n v="0.81458333333284827"/>
    <s v="6 min"/>
    <x v="0"/>
    <s v="Whitebridge"/>
    <s v="Parkway"/>
    <x v="102"/>
    <x v="3"/>
    <x v="0"/>
  </r>
  <r>
    <n v="42659.854166666664"/>
    <n v="42659"/>
    <x v="9"/>
    <x v="5"/>
    <s v="08:30:00 PM"/>
    <n v="42659.86041666667"/>
    <n v="0.86041666667006211"/>
    <s v="9 min"/>
    <x v="0"/>
    <s v="Cary"/>
    <s v="Morrisville"/>
    <x v="5"/>
    <x v="1"/>
    <x v="0"/>
  </r>
  <r>
    <n v="42659.898611111108"/>
    <n v="42659"/>
    <x v="9"/>
    <x v="5"/>
    <s v="09:34:00 PM"/>
    <n v="42659.90347222222"/>
    <n v="0.90347222222044365"/>
    <s v="7 min"/>
    <x v="0"/>
    <s v="Morrisville"/>
    <s v="Cary"/>
    <x v="88"/>
    <x v="0"/>
    <x v="0"/>
  </r>
  <r>
    <n v="42660.638194444444"/>
    <n v="42660"/>
    <x v="9"/>
    <x v="6"/>
    <s v="03:19:00 PM"/>
    <n v="42660.664583333331"/>
    <n v="0.66458333333139308"/>
    <s v="38 min"/>
    <x v="0"/>
    <s v="Cary"/>
    <s v="Raleigh"/>
    <x v="225"/>
    <x v="1"/>
    <x v="2"/>
  </r>
  <r>
    <n v="42660.686805555553"/>
    <n v="42660"/>
    <x v="9"/>
    <x v="6"/>
    <s v="04:29:00 PM"/>
    <n v="42660.71597222222"/>
    <n v="0.71597222222044365"/>
    <s v="42 min"/>
    <x v="0"/>
    <s v="Raleigh"/>
    <s v="Cary"/>
    <x v="166"/>
    <x v="1"/>
    <x v="2"/>
  </r>
  <r>
    <n v="42660.751388888886"/>
    <n v="42660"/>
    <x v="9"/>
    <x v="6"/>
    <s v="06:02:00 PM"/>
    <n v="42660.761111111111"/>
    <n v="0.76111111111094942"/>
    <s v="14 min"/>
    <x v="0"/>
    <s v="Cary"/>
    <s v="Apex"/>
    <x v="58"/>
    <x v="1"/>
    <x v="2"/>
  </r>
  <r>
    <n v="42660.771527777775"/>
    <n v="42660"/>
    <x v="9"/>
    <x v="6"/>
    <s v="06:31:00 PM"/>
    <n v="42660.78125"/>
    <n v="0.78125"/>
    <s v="14 min"/>
    <x v="0"/>
    <s v="Apex"/>
    <s v="Apex"/>
    <x v="171"/>
    <x v="1"/>
    <x v="2"/>
  </r>
  <r>
    <n v="42660.797222222223"/>
    <n v="42660"/>
    <x v="9"/>
    <x v="6"/>
    <s v="07:08:00 PM"/>
    <n v="42660.809027777781"/>
    <n v="0.80902777778101154"/>
    <s v="17 min"/>
    <x v="0"/>
    <s v="Apex"/>
    <s v="Cary"/>
    <x v="60"/>
    <x v="1"/>
    <x v="0"/>
  </r>
  <r>
    <n v="42661.341666666667"/>
    <n v="42661"/>
    <x v="9"/>
    <x v="2"/>
    <s v="08:12:00 AM"/>
    <n v="42661.348611111112"/>
    <n v="0.34861111111240461"/>
    <s v="10 min"/>
    <x v="0"/>
    <s v="Whitebridge"/>
    <s v="Edgehill Farms"/>
    <x v="171"/>
    <x v="1"/>
    <x v="1"/>
  </r>
  <r>
    <n v="42661.370138888888"/>
    <n v="42661"/>
    <x v="9"/>
    <x v="2"/>
    <s v="08:53:00 AM"/>
    <n v="42661.376388888886"/>
    <n v="0.37638888888614019"/>
    <s v="9 min"/>
    <x v="0"/>
    <s v="Edgehill Farms"/>
    <s v="Whitebridge"/>
    <x v="171"/>
    <x v="1"/>
    <x v="1"/>
  </r>
  <r>
    <n v="42661.445138888892"/>
    <n v="42661"/>
    <x v="9"/>
    <x v="2"/>
    <s v="10:41:00 AM"/>
    <n v="42661.464583333334"/>
    <n v="0.46458333333430346"/>
    <s v="28 min"/>
    <x v="0"/>
    <s v="Cary"/>
    <s v="Morrisville"/>
    <x v="150"/>
    <x v="5"/>
    <x v="3"/>
  </r>
  <r>
    <n v="42661.758333333331"/>
    <n v="42661"/>
    <x v="9"/>
    <x v="2"/>
    <s v="06:12:00 PM"/>
    <n v="42661.772916666669"/>
    <n v="0.77291666666860692"/>
    <s v="21 min"/>
    <x v="0"/>
    <s v="Oakland"/>
    <s v="Emeryville"/>
    <x v="73"/>
    <x v="1"/>
    <x v="2"/>
  </r>
  <r>
    <n v="42661.793749999997"/>
    <n v="42661"/>
    <x v="9"/>
    <x v="2"/>
    <s v="07:03:00 PM"/>
    <n v="42661.800694444442"/>
    <n v="0.8006944444423425"/>
    <s v="10 min"/>
    <x v="0"/>
    <s v="Emeryville"/>
    <s v="Berkeley"/>
    <x v="61"/>
    <x v="1"/>
    <x v="0"/>
  </r>
  <r>
    <n v="42661.854861111111"/>
    <n v="42661"/>
    <x v="9"/>
    <x v="2"/>
    <s v="08:31:00 PM"/>
    <n v="42661.859027777777"/>
    <n v="0.85902777777664596"/>
    <s v="6 min"/>
    <x v="0"/>
    <s v="Berkeley"/>
    <s v="Emeryville"/>
    <x v="61"/>
    <x v="1"/>
    <x v="0"/>
  </r>
  <r>
    <n v="42662.397916666669"/>
    <n v="42662"/>
    <x v="9"/>
    <x v="3"/>
    <s v="09:33:00 AM"/>
    <n v="42662.407638888886"/>
    <n v="0.40763888888614019"/>
    <s v="14 min"/>
    <x v="0"/>
    <s v="Emeryville"/>
    <s v="Oakland"/>
    <x v="103"/>
    <x v="1"/>
    <x v="1"/>
  </r>
  <r>
    <n v="42662.412499999999"/>
    <n v="42662"/>
    <x v="9"/>
    <x v="3"/>
    <s v="09:54:00 AM"/>
    <n v="42662.431250000001"/>
    <n v="0.43125000000145519"/>
    <s v="27 min"/>
    <x v="0"/>
    <s v="Oakland"/>
    <s v="San Francisco"/>
    <x v="199"/>
    <x v="1"/>
    <x v="1"/>
  </r>
  <r>
    <n v="42662.572916666664"/>
    <n v="42662"/>
    <x v="9"/>
    <x v="3"/>
    <s v="01:45:00 PM"/>
    <n v="42662.580555555556"/>
    <n v="0.58055555555620231"/>
    <s v="11 min"/>
    <x v="0"/>
    <s v="SOMISSPO"/>
    <s v="French Quarter"/>
    <x v="15"/>
    <x v="1"/>
    <x v="3"/>
  </r>
  <r>
    <n v="42662.584722222222"/>
    <n v="42662"/>
    <x v="9"/>
    <x v="3"/>
    <s v="02:02:00 PM"/>
    <n v="42662.604861111111"/>
    <n v="0.60486111111094942"/>
    <s v="29 min"/>
    <x v="0"/>
    <s v="San Francisco"/>
    <s v="Berkeley"/>
    <x v="10"/>
    <x v="1"/>
    <x v="3"/>
  </r>
  <r>
    <n v="42662.655555555553"/>
    <n v="42662"/>
    <x v="9"/>
    <x v="3"/>
    <s v="03:44:00 PM"/>
    <n v="42662.668055555558"/>
    <n v="0.6680555555576575"/>
    <s v="18 min"/>
    <x v="0"/>
    <s v="West Berkeley"/>
    <s v="North Berkeley Hills"/>
    <x v="197"/>
    <x v="1"/>
    <x v="2"/>
  </r>
  <r>
    <n v="42662.67083333333"/>
    <n v="42662"/>
    <x v="9"/>
    <x v="3"/>
    <s v="04:06:00 PM"/>
    <n v="42662.679861111108"/>
    <n v="0.67986111110803904"/>
    <s v="13 min"/>
    <x v="0"/>
    <s v="North Berkeley Hills"/>
    <s v="Southside"/>
    <x v="95"/>
    <x v="1"/>
    <x v="2"/>
  </r>
  <r>
    <n v="42662.689583333333"/>
    <n v="42662"/>
    <x v="9"/>
    <x v="3"/>
    <s v="04:33:00 PM"/>
    <n v="42662.709027777775"/>
    <n v="0.70902777777519077"/>
    <s v="28 min"/>
    <x v="0"/>
    <s v="Berkeley"/>
    <s v="Emeryville"/>
    <x v="43"/>
    <x v="1"/>
    <x v="2"/>
  </r>
  <r>
    <n v="42663.476388888892"/>
    <n v="42663"/>
    <x v="9"/>
    <x v="4"/>
    <s v="11:26:00 AM"/>
    <n v="42663.481944444444"/>
    <n v="0.48194444444379769"/>
    <s v="8 min"/>
    <x v="0"/>
    <s v="Emeryville"/>
    <s v="Berkeley"/>
    <x v="97"/>
    <x v="1"/>
    <x v="3"/>
  </r>
  <r>
    <n v="42663.513194444444"/>
    <n v="42663"/>
    <x v="9"/>
    <x v="4"/>
    <s v="12:19:00 PM"/>
    <n v="42663.553472222222"/>
    <n v="0.55347222222189885"/>
    <s v="58 min"/>
    <x v="0"/>
    <s v="Berkeley"/>
    <s v="San Jose"/>
    <x v="226"/>
    <x v="1"/>
    <x v="3"/>
  </r>
  <r>
    <n v="42663.863888888889"/>
    <n v="42663"/>
    <x v="9"/>
    <x v="4"/>
    <s v="08:44:00 PM"/>
    <n v="42663.900694444441"/>
    <n v="0.90069444444088731"/>
    <s v="53 min"/>
    <x v="0"/>
    <s v="San Jose"/>
    <s v="Emeryville"/>
    <x v="227"/>
    <x v="1"/>
    <x v="0"/>
  </r>
  <r>
    <n v="42664.42083333333"/>
    <n v="42664"/>
    <x v="9"/>
    <x v="0"/>
    <s v="10:06:00 AM"/>
    <n v="42664.431250000001"/>
    <n v="0.43125000000145519"/>
    <s v="15 min"/>
    <x v="0"/>
    <s v="Emeryville"/>
    <s v="Oakland"/>
    <x v="122"/>
    <x v="1"/>
    <x v="3"/>
  </r>
  <r>
    <n v="42665.037499999999"/>
    <n v="42665"/>
    <x v="9"/>
    <x v="1"/>
    <s v="12:54:00 AM"/>
    <n v="42665.04791666667"/>
    <n v="4.7916666670062114E-2"/>
    <s v="15 min"/>
    <x v="0"/>
    <s v="Morrisville"/>
    <s v="Cary"/>
    <x v="151"/>
    <x v="1"/>
    <x v="1"/>
  </r>
  <r>
    <n v="42665.55972222222"/>
    <n v="42665"/>
    <x v="9"/>
    <x v="1"/>
    <s v="01:26:00 PM"/>
    <n v="42665.585416666669"/>
    <n v="0.58541666666860692"/>
    <s v="37 min"/>
    <x v="0"/>
    <s v="Cary"/>
    <s v="Raleigh"/>
    <x v="216"/>
    <x v="1"/>
    <x v="3"/>
  </r>
  <r>
    <n v="42665.713888888888"/>
    <n v="42665"/>
    <x v="9"/>
    <x v="1"/>
    <s v="05:08:00 PM"/>
    <n v="42665.746527777781"/>
    <n v="0.74652777778101154"/>
    <s v="47 min"/>
    <x v="0"/>
    <s v="Raleigh"/>
    <s v="Cary"/>
    <x v="170"/>
    <x v="1"/>
    <x v="2"/>
  </r>
  <r>
    <n v="42666.39166666667"/>
    <n v="42666"/>
    <x v="9"/>
    <x v="5"/>
    <s v="09:24:00 AM"/>
    <n v="42666.420138888891"/>
    <n v="0.42013888889050577"/>
    <s v="41 min"/>
    <x v="0"/>
    <s v="Cary"/>
    <s v="Raleigh"/>
    <x v="193"/>
    <x v="1"/>
    <x v="1"/>
  </r>
  <r>
    <n v="42666.511805555558"/>
    <n v="42666"/>
    <x v="9"/>
    <x v="5"/>
    <s v="12:17:00 PM"/>
    <n v="42666.540972222225"/>
    <n v="0.54097222222480923"/>
    <s v="42 min"/>
    <x v="0"/>
    <s v="Raleigh"/>
    <s v="Cary"/>
    <x v="228"/>
    <x v="1"/>
    <x v="3"/>
  </r>
  <r>
    <n v="42666.794444444444"/>
    <n v="42666"/>
    <x v="9"/>
    <x v="5"/>
    <s v="07:04:00 PM"/>
    <n v="42666.801388888889"/>
    <n v="0.80138888888905058"/>
    <s v="10 min"/>
    <x v="0"/>
    <s v="Cary"/>
    <s v="Morrisville"/>
    <x v="97"/>
    <x v="1"/>
    <x v="0"/>
  </r>
  <r>
    <n v="42666.881944444445"/>
    <n v="42666"/>
    <x v="9"/>
    <x v="5"/>
    <s v="09:10:00 PM"/>
    <n v="42666.892361111109"/>
    <n v="0.89236111110949423"/>
    <s v="15 min"/>
    <x v="0"/>
    <s v="Morrisville"/>
    <s v="Cary"/>
    <x v="97"/>
    <x v="4"/>
    <x v="0"/>
  </r>
  <r>
    <n v="42667.622916666667"/>
    <n v="42667"/>
    <x v="9"/>
    <x v="6"/>
    <s v="02:57:00 PM"/>
    <n v="42667.643055555556"/>
    <n v="0.64305555555620231"/>
    <s v="29 min"/>
    <x v="0"/>
    <s v="Cary"/>
    <s v="Durham"/>
    <x v="142"/>
    <x v="1"/>
    <x v="3"/>
  </r>
  <r>
    <n v="42667.647916666669"/>
    <n v="42667"/>
    <x v="9"/>
    <x v="6"/>
    <s v="03:33:00 PM"/>
    <n v="42667.675694444442"/>
    <n v="0.6756944444423425"/>
    <s v="40 min"/>
    <x v="0"/>
    <s v="Durham"/>
    <s v="Morrisville"/>
    <x v="229"/>
    <x v="1"/>
    <x v="2"/>
  </r>
  <r>
    <n v="42667.69027777778"/>
    <n v="42667"/>
    <x v="9"/>
    <x v="6"/>
    <s v="04:34:00 PM"/>
    <n v="42667.695138888892"/>
    <n v="0.69513888889196096"/>
    <s v="7 min"/>
    <x v="0"/>
    <s v="Morrisville"/>
    <s v="Cary"/>
    <x v="95"/>
    <x v="1"/>
    <x v="2"/>
  </r>
  <r>
    <n v="42668.560416666667"/>
    <n v="42668"/>
    <x v="9"/>
    <x v="2"/>
    <s v="01:27:00 PM"/>
    <n v="42668.588888888888"/>
    <n v="0.58888888888759539"/>
    <s v="41 min"/>
    <x v="0"/>
    <s v="Cary"/>
    <s v="Apex"/>
    <x v="22"/>
    <x v="1"/>
    <x v="3"/>
  </r>
  <r>
    <n v="42668.62777777778"/>
    <n v="42668"/>
    <x v="9"/>
    <x v="2"/>
    <s v="03:04:00 PM"/>
    <n v="42668.632638888892"/>
    <n v="0.63263888889196096"/>
    <s v="7 min"/>
    <x v="0"/>
    <s v="Apex"/>
    <s v="Eagle Rock"/>
    <x v="95"/>
    <x v="1"/>
    <x v="2"/>
  </r>
  <r>
    <n v="42668.636111111111"/>
    <n v="42668"/>
    <x v="9"/>
    <x v="2"/>
    <s v="03:16:00 PM"/>
    <n v="42668.647916666669"/>
    <n v="0.64791666666860692"/>
    <s v="17 min"/>
    <x v="0"/>
    <s v="Eagle Rock"/>
    <s v="Cary"/>
    <x v="78"/>
    <x v="1"/>
    <x v="2"/>
  </r>
  <r>
    <n v="42668.833333333336"/>
    <n v="42668"/>
    <x v="9"/>
    <x v="2"/>
    <s v="08:00:00 PM"/>
    <n v="42668.84097222222"/>
    <n v="0.84097222222044365"/>
    <s v="11 min"/>
    <x v="0"/>
    <s v="Whitebridge"/>
    <s v="Savon Height"/>
    <x v="78"/>
    <x v="0"/>
    <x v="0"/>
  </r>
  <r>
    <n v="42668.870833333334"/>
    <n v="42668"/>
    <x v="9"/>
    <x v="2"/>
    <s v="08:54:00 PM"/>
    <n v="42668.877083333333"/>
    <n v="0.87708333333284827"/>
    <s v="9 min"/>
    <x v="0"/>
    <s v="Savon Height"/>
    <s v="Parkway"/>
    <x v="106"/>
    <x v="1"/>
    <x v="0"/>
  </r>
  <r>
    <n v="42668.933333333334"/>
    <n v="42668"/>
    <x v="9"/>
    <x v="2"/>
    <s v="10:24:00 PM"/>
    <n v="42668.947916666664"/>
    <n v="0.94791666666424135"/>
    <s v="21 min"/>
    <x v="0"/>
    <s v="Parkway"/>
    <s v="Whitebridge"/>
    <x v="151"/>
    <x v="2"/>
    <x v="0"/>
  </r>
  <r>
    <n v="42669.809027777781"/>
    <n v="42669"/>
    <x v="9"/>
    <x v="3"/>
    <s v="07:25:00 PM"/>
    <n v="42669.813194444447"/>
    <n v="0.81319444444670808"/>
    <s v="6 min"/>
    <x v="0"/>
    <s v="Whitebridge"/>
    <s v="Parkway"/>
    <x v="102"/>
    <x v="3"/>
    <x v="0"/>
  </r>
  <r>
    <n v="42669.870138888888"/>
    <n v="42669"/>
    <x v="9"/>
    <x v="3"/>
    <s v="08:53:00 PM"/>
    <n v="42669.877083333333"/>
    <n v="0.87708333333284827"/>
    <s v="10 min"/>
    <x v="0"/>
    <s v="Parkway"/>
    <s v="Whitebridge"/>
    <x v="102"/>
    <x v="1"/>
    <x v="0"/>
  </r>
  <r>
    <n v="42670.785416666666"/>
    <n v="42670"/>
    <x v="9"/>
    <x v="4"/>
    <s v="06:51:00 PM"/>
    <n v="42670.802777777775"/>
    <n v="0.80277777777519077"/>
    <s v="25 min"/>
    <x v="0"/>
    <s v="Cary"/>
    <s v="Morrisville"/>
    <x v="69"/>
    <x v="3"/>
    <x v="2"/>
  </r>
  <r>
    <n v="42670.805555555555"/>
    <n v="42670"/>
    <x v="9"/>
    <x v="4"/>
    <s v="07:20:00 PM"/>
    <n v="42670.815972222219"/>
    <n v="0.81597222221898846"/>
    <s v="15 min"/>
    <x v="0"/>
    <s v="Morrisville"/>
    <s v="Morrisville"/>
    <x v="111"/>
    <x v="1"/>
    <x v="0"/>
  </r>
  <r>
    <n v="42670.827777777777"/>
    <n v="42670"/>
    <x v="9"/>
    <x v="4"/>
    <s v="07:52:00 PM"/>
    <n v="42670.847916666666"/>
    <n v="0.84791666666569654"/>
    <s v="29 min"/>
    <x v="0"/>
    <s v="Huntington Woods"/>
    <s v="Huntington Woods"/>
    <x v="207"/>
    <x v="1"/>
    <x v="0"/>
  </r>
  <r>
    <n v="42670.865972222222"/>
    <n v="42670"/>
    <x v="9"/>
    <x v="4"/>
    <s v="08:47:00 PM"/>
    <n v="42670.870833333334"/>
    <n v="0.87083333333430346"/>
    <s v="7 min"/>
    <x v="0"/>
    <s v="Huntington Woods"/>
    <s v="Weston"/>
    <x v="25"/>
    <x v="1"/>
    <x v="0"/>
  </r>
  <r>
    <n v="42670.893055555556"/>
    <n v="42670"/>
    <x v="9"/>
    <x v="4"/>
    <s v="09:26:00 PM"/>
    <n v="42670.908333333333"/>
    <n v="0.90833333333284827"/>
    <s v="22 min"/>
    <x v="0"/>
    <s v="Morrisville"/>
    <s v="Cary"/>
    <x v="12"/>
    <x v="1"/>
    <x v="0"/>
  </r>
  <r>
    <n v="42671.481944444444"/>
    <n v="42671"/>
    <x v="9"/>
    <x v="0"/>
    <s v="11:34:00 AM"/>
    <n v="42671.494444444441"/>
    <n v="0.49444444444088731"/>
    <s v="18 min"/>
    <x v="0"/>
    <s v="Cary"/>
    <s v="Durham"/>
    <x v="27"/>
    <x v="3"/>
    <x v="3"/>
  </r>
  <r>
    <n v="42671.54583333333"/>
    <n v="42671"/>
    <x v="9"/>
    <x v="0"/>
    <s v="01:06:00 PM"/>
    <n v="42671.566666666666"/>
    <n v="0.56666666666569654"/>
    <s v="30 min"/>
    <x v="0"/>
    <s v="Durham"/>
    <s v="Cary"/>
    <x v="100"/>
    <x v="3"/>
    <x v="3"/>
  </r>
  <r>
    <n v="42671.661805555559"/>
    <n v="42671"/>
    <x v="9"/>
    <x v="0"/>
    <s v="03:53:00 PM"/>
    <n v="42671.749305555553"/>
    <n v="0.74930555555329192"/>
    <s v="126 min"/>
    <x v="0"/>
    <s v="Cary"/>
    <s v="Winston Salem"/>
    <x v="230"/>
    <x v="3"/>
    <x v="2"/>
  </r>
  <r>
    <n v="42671.759027777778"/>
    <n v="42671"/>
    <x v="9"/>
    <x v="0"/>
    <s v="06:13:00 PM"/>
    <n v="42671.838194444441"/>
    <n v="0.83819444444088731"/>
    <s v="114 min"/>
    <x v="0"/>
    <s v="Winston Salem"/>
    <s v="Asheville"/>
    <x v="231"/>
    <x v="3"/>
    <x v="2"/>
  </r>
  <r>
    <n v="42671.842361111114"/>
    <n v="42671"/>
    <x v="9"/>
    <x v="0"/>
    <s v="08:13:00 PM"/>
    <n v="42671.916666666664"/>
    <n v="0.91666666666424135"/>
    <s v="107 min"/>
    <x v="0"/>
    <s v="Asheville"/>
    <s v="Topton"/>
    <x v="232"/>
    <x v="3"/>
    <x v="0"/>
  </r>
  <r>
    <n v="42672.640277777777"/>
    <n v="42672"/>
    <x v="9"/>
    <x v="1"/>
    <s v="03:22:00 PM"/>
    <n v="42672.711805555555"/>
    <n v="0.71180555555474712"/>
    <s v="103 min"/>
    <x v="0"/>
    <s v="Topton"/>
    <s v="Hayesville"/>
    <x v="233"/>
    <x v="3"/>
    <x v="2"/>
  </r>
  <r>
    <n v="42672.717361111114"/>
    <n v="42672"/>
    <x v="9"/>
    <x v="1"/>
    <s v="05:13:00 PM"/>
    <n v="42672.804861111108"/>
    <n v="0.80486111110803904"/>
    <s v="126 min"/>
    <x v="0"/>
    <s v="Hayesville"/>
    <s v="Topton"/>
    <x v="234"/>
    <x v="1"/>
    <x v="2"/>
  </r>
  <r>
    <n v="42673.325694444444"/>
    <n v="42673"/>
    <x v="9"/>
    <x v="5"/>
    <s v="07:49:00 AM"/>
    <n v="42673.354166666664"/>
    <n v="0.35416666666424135"/>
    <s v="41 min"/>
    <x v="0"/>
    <s v="Topton"/>
    <s v="Bryson City"/>
    <x v="235"/>
    <x v="1"/>
    <x v="1"/>
  </r>
  <r>
    <n v="42673.379861111112"/>
    <n v="42673"/>
    <x v="9"/>
    <x v="5"/>
    <s v="09:07:00 AM"/>
    <n v="42673.42291666667"/>
    <n v="0.42291666667006211"/>
    <s v="62 min"/>
    <x v="0"/>
    <s v="Bryson City"/>
    <s v="Bryson City"/>
    <x v="173"/>
    <x v="1"/>
    <x v="1"/>
  </r>
  <r>
    <n v="42673.424305555556"/>
    <n v="42673"/>
    <x v="9"/>
    <x v="5"/>
    <s v="10:11:00 AM"/>
    <n v="42673.443055555559"/>
    <n v="0.44305555555911269"/>
    <s v="27 min"/>
    <x v="0"/>
    <s v="Bryson City"/>
    <s v="Bryson City"/>
    <x v="107"/>
    <x v="1"/>
    <x v="3"/>
  </r>
  <r>
    <n v="42673.45208333333"/>
    <n v="42673"/>
    <x v="9"/>
    <x v="5"/>
    <s v="10:51:00 AM"/>
    <n v="42673.472916666666"/>
    <n v="0.47291666666569654"/>
    <s v="30 min"/>
    <x v="0"/>
    <s v="Bryson City"/>
    <s v="Bryson City"/>
    <x v="98"/>
    <x v="1"/>
    <x v="3"/>
  </r>
  <r>
    <n v="42673.51666666667"/>
    <n v="42673"/>
    <x v="9"/>
    <x v="5"/>
    <s v="12:24:00 PM"/>
    <n v="42673.524305555555"/>
    <n v="0.52430555555474712"/>
    <s v="11 min"/>
    <x v="0"/>
    <s v="Bryson City"/>
    <s v="Almond"/>
    <x v="104"/>
    <x v="1"/>
    <x v="3"/>
  </r>
  <r>
    <n v="42673.540277777778"/>
    <n v="42673"/>
    <x v="9"/>
    <x v="5"/>
    <s v="12:58:00 PM"/>
    <n v="42673.554166666669"/>
    <n v="0.55416666666860692"/>
    <s v="20 min"/>
    <x v="0"/>
    <s v="Almond"/>
    <s v="Bryson City"/>
    <x v="157"/>
    <x v="1"/>
    <x v="3"/>
  </r>
  <r>
    <n v="42673.558333333334"/>
    <n v="42673"/>
    <x v="9"/>
    <x v="5"/>
    <s v="01:24:00 PM"/>
    <n v="42673.609027777777"/>
    <n v="0.60902777777664596"/>
    <s v="73 min"/>
    <x v="0"/>
    <s v="Bryson City"/>
    <s v="Asheville"/>
    <x v="236"/>
    <x v="1"/>
    <x v="3"/>
  </r>
  <r>
    <n v="42673.640277777777"/>
    <n v="42673"/>
    <x v="9"/>
    <x v="5"/>
    <s v="03:22:00 PM"/>
    <n v="42673.765972222223"/>
    <n v="0.76597222222335404"/>
    <s v="181 min"/>
    <x v="0"/>
    <s v="Asheville"/>
    <s v="Mebane"/>
    <x v="237"/>
    <x v="1"/>
    <x v="2"/>
  </r>
  <r>
    <n v="42673.768055555556"/>
    <n v="42673"/>
    <x v="9"/>
    <x v="5"/>
    <s v="06:26:00 PM"/>
    <n v="42673.818749999999"/>
    <n v="0.81874999999854481"/>
    <s v="73 min"/>
    <x v="0"/>
    <s v="Mebane"/>
    <s v="Cary"/>
    <x v="238"/>
    <x v="1"/>
    <x v="2"/>
  </r>
  <r>
    <n v="42674.757638888892"/>
    <n v="42674"/>
    <x v="9"/>
    <x v="6"/>
    <s v="06:11:00 PM"/>
    <n v="42674.763888888891"/>
    <n v="0.76388888889050577"/>
    <s v="9 min"/>
    <x v="0"/>
    <s v="Cary"/>
    <s v="Morrisville"/>
    <x v="57"/>
    <x v="1"/>
    <x v="2"/>
  </r>
  <r>
    <n v="42674.782638888886"/>
    <n v="42674"/>
    <x v="9"/>
    <x v="6"/>
    <s v="06:47:00 PM"/>
    <n v="42674.802777777775"/>
    <n v="0.80277777777519077"/>
    <s v="29 min"/>
    <x v="0"/>
    <s v="Morrisville"/>
    <s v="Raleigh"/>
    <x v="239"/>
    <x v="1"/>
    <x v="2"/>
  </r>
  <r>
    <n v="42674.845833333333"/>
    <n v="42674"/>
    <x v="9"/>
    <x v="6"/>
    <s v="08:18:00 PM"/>
    <n v="42674.863888888889"/>
    <n v="0.86388888888905058"/>
    <s v="26 min"/>
    <x v="0"/>
    <s v="Raleigh"/>
    <s v="Cary"/>
    <x v="240"/>
    <x v="1"/>
    <x v="0"/>
  </r>
  <r>
    <n v="42674.90625"/>
    <n v="42674"/>
    <x v="9"/>
    <x v="6"/>
    <s v="09:45:00 PM"/>
    <n v="42674.923611111109"/>
    <n v="0.92361111110949423"/>
    <s v="25 min"/>
    <x v="0"/>
    <s v="Savon Height"/>
    <s v="Whitebridge"/>
    <x v="128"/>
    <x v="2"/>
    <x v="0"/>
  </r>
  <r>
    <n v="42675.493055555555"/>
    <n v="42675"/>
    <x v="10"/>
    <x v="2"/>
    <s v="11:50:00 AM"/>
    <n v="42675.518750000003"/>
    <n v="0.51875000000291038"/>
    <s v="37 min"/>
    <x v="0"/>
    <s v="Cary"/>
    <s v="Durham"/>
    <x v="9"/>
    <x v="1"/>
    <x v="3"/>
  </r>
  <r>
    <n v="42675.686805555553"/>
    <n v="42675"/>
    <x v="10"/>
    <x v="2"/>
    <s v="04:29:00 PM"/>
    <n v="42675.709722222222"/>
    <n v="0.70972222222189885"/>
    <s v="33 min"/>
    <x v="0"/>
    <s v="Durham"/>
    <s v="Cary"/>
    <x v="114"/>
    <x v="1"/>
    <x v="2"/>
  </r>
  <r>
    <n v="42675.732638888891"/>
    <n v="42675"/>
    <x v="10"/>
    <x v="2"/>
    <s v="05:35:00 PM"/>
    <n v="42675.737500000003"/>
    <n v="0.73750000000291038"/>
    <s v="7 min"/>
    <x v="0"/>
    <s v="Whitebridge"/>
    <s v="Whitebridge"/>
    <x v="115"/>
    <x v="1"/>
    <x v="2"/>
  </r>
  <r>
    <n v="42675.801388888889"/>
    <n v="42675"/>
    <x v="10"/>
    <x v="2"/>
    <s v="07:14:00 PM"/>
    <n v="42675.805555555555"/>
    <n v="0.80555555555474712"/>
    <s v="6 min"/>
    <x v="0"/>
    <s v="Whitebridge"/>
    <s v="Whitebridge"/>
    <x v="32"/>
    <x v="1"/>
    <x v="0"/>
  </r>
  <r>
    <n v="42675.832638888889"/>
    <n v="42675"/>
    <x v="10"/>
    <x v="2"/>
    <s v="07:59:00 PM"/>
    <n v="42675.841666666667"/>
    <n v="0.84166666666715173"/>
    <s v="13 min"/>
    <x v="0"/>
    <s v="Whitebridge"/>
    <s v="Whitebridge"/>
    <x v="197"/>
    <x v="1"/>
    <x v="0"/>
  </r>
  <r>
    <n v="42675.861805555556"/>
    <n v="42675"/>
    <x v="10"/>
    <x v="2"/>
    <s v="08:41:00 PM"/>
    <n v="42675.871527777781"/>
    <n v="0.87152777778101154"/>
    <s v="14 min"/>
    <x v="0"/>
    <s v="Whitebridge"/>
    <s v="Whitebridge"/>
    <x v="86"/>
    <x v="0"/>
    <x v="0"/>
  </r>
  <r>
    <n v="42676.631944444445"/>
    <n v="42676"/>
    <x v="10"/>
    <x v="3"/>
    <s v="03:10:00 PM"/>
    <n v="42676.637499999997"/>
    <n v="0.63749999999708962"/>
    <s v="8 min"/>
    <x v="0"/>
    <s v="Whitebridge"/>
    <s v="Westpark Place"/>
    <x v="34"/>
    <x v="1"/>
    <x v="2"/>
  </r>
  <r>
    <n v="42676.65625"/>
    <n v="42676"/>
    <x v="10"/>
    <x v="3"/>
    <s v="03:45:00 PM"/>
    <n v="42676.661111111112"/>
    <n v="0.66111111111240461"/>
    <s v="7 min"/>
    <x v="0"/>
    <s v="Westpark Place"/>
    <s v="Whitebridge"/>
    <x v="18"/>
    <x v="1"/>
    <x v="2"/>
  </r>
  <r>
    <n v="42676.698611111111"/>
    <n v="42676"/>
    <x v="10"/>
    <x v="3"/>
    <s v="04:46:00 PM"/>
    <n v="42676.71597222222"/>
    <n v="0.71597222222044365"/>
    <s v="25 min"/>
    <x v="0"/>
    <s v="Cary"/>
    <s v="Morrisville"/>
    <x v="65"/>
    <x v="3"/>
    <x v="2"/>
  </r>
  <r>
    <n v="42676.731944444444"/>
    <n v="42676"/>
    <x v="10"/>
    <x v="3"/>
    <s v="05:34:00 PM"/>
    <n v="42676.742361111108"/>
    <n v="0.74236111110803904"/>
    <s v="15 min"/>
    <x v="0"/>
    <s v="Morrisville"/>
    <s v="Morrisville"/>
    <x v="1"/>
    <x v="1"/>
    <x v="2"/>
  </r>
  <r>
    <n v="42676.745138888888"/>
    <n v="42676"/>
    <x v="10"/>
    <x v="3"/>
    <s v="05:53:00 PM"/>
    <n v="42676.75"/>
    <n v="0.75"/>
    <s v="7 min"/>
    <x v="0"/>
    <s v="Morrisville"/>
    <s v="Cary"/>
    <x v="103"/>
    <x v="1"/>
    <x v="2"/>
  </r>
  <r>
    <n v="42677.477777777778"/>
    <n v="42677"/>
    <x v="10"/>
    <x v="4"/>
    <s v="11:28:00 AM"/>
    <n v="42677.481944444444"/>
    <n v="0.48194444444379769"/>
    <s v="6 min"/>
    <x v="0"/>
    <s v="Whitebridge"/>
    <s v="Hazelwood"/>
    <x v="88"/>
    <x v="1"/>
    <x v="3"/>
  </r>
  <r>
    <n v="42677.529861111114"/>
    <n v="42677"/>
    <x v="10"/>
    <x v="4"/>
    <s v="12:43:00 PM"/>
    <n v="42677.53402777778"/>
    <n v="0.53402777777955635"/>
    <s v="6 min"/>
    <x v="0"/>
    <s v="Hazelwood"/>
    <s v="Whitebridge"/>
    <x v="19"/>
    <x v="1"/>
    <x v="3"/>
  </r>
  <r>
    <n v="42677.570833333331"/>
    <n v="42677"/>
    <x v="10"/>
    <x v="4"/>
    <s v="01:42:00 PM"/>
    <n v="42677.574305555558"/>
    <n v="0.5743055555576575"/>
    <s v="5 min"/>
    <x v="0"/>
    <s v="Whitebridge"/>
    <s v="Westpark Place"/>
    <x v="34"/>
    <x v="1"/>
    <x v="3"/>
  </r>
  <r>
    <n v="42677.592361111114"/>
    <n v="42677"/>
    <x v="10"/>
    <x v="4"/>
    <s v="02:13:00 PM"/>
    <n v="42677.601388888892"/>
    <n v="0.60138888889196096"/>
    <s v="13 min"/>
    <x v="0"/>
    <s v="Westpark Place"/>
    <s v="Whitebridge"/>
    <x v="18"/>
    <x v="1"/>
    <x v="3"/>
  </r>
  <r>
    <n v="42677.785416666666"/>
    <n v="42677"/>
    <x v="10"/>
    <x v="4"/>
    <s v="06:51:00 PM"/>
    <n v="42677.797222222223"/>
    <n v="0.79722222222335404"/>
    <s v="17 min"/>
    <x v="0"/>
    <s v="Cary"/>
    <s v="Morrisville"/>
    <x v="97"/>
    <x v="0"/>
    <x v="2"/>
  </r>
  <r>
    <n v="42677.948611111111"/>
    <n v="42677"/>
    <x v="10"/>
    <x v="4"/>
    <s v="10:46:00 PM"/>
    <n v="42677.956944444442"/>
    <n v="0.9569444444423425"/>
    <s v="12 min"/>
    <x v="0"/>
    <s v="Morrisville"/>
    <s v="Cary"/>
    <x v="97"/>
    <x v="4"/>
    <x v="0"/>
  </r>
  <r>
    <n v="42678.418055555558"/>
    <n v="42678"/>
    <x v="10"/>
    <x v="0"/>
    <s v="10:02:00 AM"/>
    <n v="42678.429166666669"/>
    <n v="0.42916666666860692"/>
    <s v="16 min"/>
    <x v="0"/>
    <s v="Cary"/>
    <s v="Morrisville"/>
    <x v="150"/>
    <x v="5"/>
    <x v="3"/>
  </r>
  <r>
    <n v="42678.759722222225"/>
    <n v="42678"/>
    <x v="10"/>
    <x v="0"/>
    <s v="06:14:00 PM"/>
    <n v="42678.76458333333"/>
    <n v="0.76458333332993789"/>
    <s v="7 min"/>
    <x v="0"/>
    <s v="San Jose"/>
    <s v="Santa Clara"/>
    <x v="103"/>
    <x v="1"/>
    <x v="2"/>
  </r>
  <r>
    <n v="42678.87777777778"/>
    <n v="42678"/>
    <x v="10"/>
    <x v="0"/>
    <s v="09:04:00 PM"/>
    <n v="42678.888888888891"/>
    <n v="0.88888888889050577"/>
    <s v="16 min"/>
    <x v="0"/>
    <s v="Agnew"/>
    <s v="Cory"/>
    <x v="5"/>
    <x v="1"/>
    <x v="0"/>
  </r>
  <r>
    <n v="42678.925000000003"/>
    <n v="42678"/>
    <x v="10"/>
    <x v="0"/>
    <s v="10:12:00 PM"/>
    <n v="42678.934027777781"/>
    <n v="0.93402777778101154"/>
    <s v="13 min"/>
    <x v="0"/>
    <s v="Cory"/>
    <s v="Agnew"/>
    <x v="25"/>
    <x v="1"/>
    <x v="0"/>
  </r>
  <r>
    <n v="42679.356944444444"/>
    <n v="42679"/>
    <x v="10"/>
    <x v="1"/>
    <s v="08:34:00 AM"/>
    <n v="42679.363194444442"/>
    <n v="0.3631944444423425"/>
    <s v="9 min"/>
    <x v="0"/>
    <s v="Agnew"/>
    <s v="Renaissance"/>
    <x v="95"/>
    <x v="1"/>
    <x v="1"/>
  </r>
  <r>
    <n v="42679.728472222225"/>
    <n v="42679"/>
    <x v="10"/>
    <x v="1"/>
    <s v="05:29:00 PM"/>
    <n v="42679.736111111109"/>
    <n v="0.73611111110949423"/>
    <s v="11 min"/>
    <x v="0"/>
    <s v="Renaissance"/>
    <s v="Agnew"/>
    <x v="109"/>
    <x v="1"/>
    <x v="2"/>
  </r>
  <r>
    <n v="42679.805555555555"/>
    <n v="42679"/>
    <x v="10"/>
    <x v="1"/>
    <s v="07:20:00 PM"/>
    <n v="42679.811111111114"/>
    <n v="0.81111111111385981"/>
    <s v="8 min"/>
    <x v="0"/>
    <s v="Agnew"/>
    <s v="Agnew"/>
    <x v="95"/>
    <x v="1"/>
    <x v="0"/>
  </r>
  <r>
    <n v="42680.451388888891"/>
    <n v="42680"/>
    <x v="10"/>
    <x v="5"/>
    <s v="10:50:00 AM"/>
    <n v="42680.461111111108"/>
    <n v="0.46111111110803904"/>
    <s v="14 min"/>
    <x v="0"/>
    <s v="Agnew"/>
    <s v="Renaissance"/>
    <x v="19"/>
    <x v="1"/>
    <x v="3"/>
  </r>
  <r>
    <n v="42680.670138888891"/>
    <n v="42680"/>
    <x v="10"/>
    <x v="5"/>
    <s v="04:05:00 PM"/>
    <n v="42680.681944444441"/>
    <n v="0.68194444444088731"/>
    <s v="17 min"/>
    <x v="0"/>
    <s v="Renaissance"/>
    <s v="Agnew"/>
    <x v="109"/>
    <x v="3"/>
    <x v="2"/>
  </r>
  <r>
    <n v="42680.685416666667"/>
    <n v="42680"/>
    <x v="10"/>
    <x v="5"/>
    <s v="04:27:00 PM"/>
    <n v="42680.727777777778"/>
    <n v="0.72777777777810115"/>
    <s v="61 min"/>
    <x v="0"/>
    <s v="Santa Clara"/>
    <s v="Berkeley"/>
    <x v="241"/>
    <x v="4"/>
    <x v="2"/>
  </r>
  <r>
    <n v="42680.794444444444"/>
    <n v="42680"/>
    <x v="10"/>
    <x v="5"/>
    <s v="07:04:00 PM"/>
    <n v="42680.800000000003"/>
    <n v="0.80000000000291038"/>
    <s v="8 min"/>
    <x v="0"/>
    <s v="Downtown"/>
    <s v="West Berkeley"/>
    <x v="18"/>
    <x v="1"/>
    <x v="0"/>
  </r>
  <r>
    <n v="42680.837500000001"/>
    <n v="42680"/>
    <x v="10"/>
    <x v="5"/>
    <s v="08:06:00 PM"/>
    <n v="42680.847916666666"/>
    <n v="0.84791666666569654"/>
    <s v="15 min"/>
    <x v="0"/>
    <s v="West Berkeley"/>
    <s v="Central"/>
    <x v="171"/>
    <x v="1"/>
    <x v="0"/>
  </r>
  <r>
    <n v="42681.519444444442"/>
    <n v="42681"/>
    <x v="10"/>
    <x v="6"/>
    <s v="12:28:00 PM"/>
    <n v="42681.539583333331"/>
    <n v="0.53958333333139308"/>
    <s v="29 min"/>
    <x v="0"/>
    <s v="Berkeley"/>
    <s v="San Francisco"/>
    <x v="23"/>
    <x v="6"/>
    <x v="3"/>
  </r>
  <r>
    <n v="42681.803472222222"/>
    <n v="42681"/>
    <x v="10"/>
    <x v="6"/>
    <s v="07:17:00 PM"/>
    <n v="42681.831250000003"/>
    <n v="0.83125000000291038"/>
    <s v="40 min"/>
    <x v="0"/>
    <s v="San Francisco"/>
    <s v="Berkeley"/>
    <x v="122"/>
    <x v="6"/>
    <x v="0"/>
  </r>
  <r>
    <n v="42682.436805555553"/>
    <n v="42682"/>
    <x v="10"/>
    <x v="2"/>
    <s v="10:29:00 AM"/>
    <n v="42682.456250000003"/>
    <n v="0.45625000000291038"/>
    <s v="28 min"/>
    <x v="0"/>
    <s v="Berkeley"/>
    <s v="San Francisco"/>
    <x v="177"/>
    <x v="6"/>
    <x v="3"/>
  </r>
  <r>
    <n v="42682.511111111111"/>
    <n v="42682"/>
    <x v="10"/>
    <x v="2"/>
    <s v="12:16:00 PM"/>
    <n v="42682.53402777778"/>
    <n v="0.53402777777955635"/>
    <s v="33 min"/>
    <x v="0"/>
    <s v="San Francisco"/>
    <s v="Berkeley"/>
    <x v="168"/>
    <x v="3"/>
    <x v="3"/>
  </r>
  <r>
    <n v="42682.570138888892"/>
    <n v="42682"/>
    <x v="10"/>
    <x v="2"/>
    <s v="01:41:00 PM"/>
    <n v="42682.584027777775"/>
    <n v="0.58402777777519077"/>
    <s v="20 min"/>
    <x v="0"/>
    <s v="Berkeley"/>
    <s v="Emeryville"/>
    <x v="78"/>
    <x v="1"/>
    <x v="3"/>
  </r>
  <r>
    <n v="42682.681250000001"/>
    <n v="42682"/>
    <x v="10"/>
    <x v="2"/>
    <s v="04:21:00 PM"/>
    <n v="42682.69027777778"/>
    <n v="0.69027777777955635"/>
    <s v="13 min"/>
    <x v="0"/>
    <s v="Emeryville"/>
    <s v="Berkeley"/>
    <x v="61"/>
    <x v="1"/>
    <x v="2"/>
  </r>
  <r>
    <n v="42683.547222222223"/>
    <n v="42683"/>
    <x v="10"/>
    <x v="3"/>
    <s v="01:08:00 PM"/>
    <n v="42683.570138888892"/>
    <n v="0.57013888889196096"/>
    <s v="33 min"/>
    <x v="0"/>
    <s v="Berkeley"/>
    <s v="San Francisco"/>
    <x v="56"/>
    <x v="1"/>
    <x v="3"/>
  </r>
  <r>
    <n v="42683.665277777778"/>
    <n v="42683"/>
    <x v="10"/>
    <x v="3"/>
    <s v="03:58:00 PM"/>
    <n v="42683.669444444444"/>
    <n v="0.66944444444379769"/>
    <s v="6 min"/>
    <x v="0"/>
    <s v="NOMA"/>
    <s v="Downtown"/>
    <x v="129"/>
    <x v="1"/>
    <x v="2"/>
  </r>
  <r>
    <n v="42683.729861111111"/>
    <n v="42683"/>
    <x v="10"/>
    <x v="3"/>
    <s v="05:31:00 PM"/>
    <n v="42683.752083333333"/>
    <n v="0.75208333333284827"/>
    <s v="32 min"/>
    <x v="0"/>
    <s v="Downtown"/>
    <s v="Sunnyside"/>
    <x v="12"/>
    <x v="1"/>
    <x v="2"/>
  </r>
  <r>
    <n v="42683.756249999999"/>
    <n v="42683"/>
    <x v="10"/>
    <x v="3"/>
    <s v="06:09:00 PM"/>
    <n v="42683.759722222225"/>
    <n v="0.75972222222480923"/>
    <s v="5 min"/>
    <x v="0"/>
    <s v="Sunnyside"/>
    <s v="Ingleside"/>
    <x v="145"/>
    <x v="1"/>
    <x v="2"/>
  </r>
  <r>
    <n v="42683.76458333333"/>
    <n v="42683"/>
    <x v="10"/>
    <x v="3"/>
    <s v="06:21:00 PM"/>
    <n v="42683.774305555555"/>
    <n v="0.77430555555474712"/>
    <s v="14 min"/>
    <x v="0"/>
    <s v="Ingleside"/>
    <s v="Potrero Flats"/>
    <x v="47"/>
    <x v="3"/>
    <x v="2"/>
  </r>
  <r>
    <n v="42683.777777777781"/>
    <n v="42683"/>
    <x v="10"/>
    <x v="3"/>
    <s v="06:40:00 PM"/>
    <n v="42683.803472222222"/>
    <n v="0.80347222222189885"/>
    <s v="37 min"/>
    <x v="0"/>
    <s v="San Francisco"/>
    <s v="Oakland"/>
    <x v="81"/>
    <x v="4"/>
    <x v="2"/>
  </r>
  <r>
    <n v="42683.869444444441"/>
    <n v="42683"/>
    <x v="10"/>
    <x v="3"/>
    <s v="08:52:00 PM"/>
    <n v="42683.876388888886"/>
    <n v="0.87638888888614019"/>
    <s v="10 min"/>
    <x v="0"/>
    <s v="Oakland"/>
    <s v="Berkeley"/>
    <x v="66"/>
    <x v="1"/>
    <x v="0"/>
  </r>
  <r>
    <n v="42683.913888888892"/>
    <n v="42683"/>
    <x v="10"/>
    <x v="3"/>
    <s v="09:56:00 PM"/>
    <n v="42683.918055555558"/>
    <n v="0.9180555555576575"/>
    <s v="6 min"/>
    <x v="0"/>
    <s v="Central"/>
    <s v="Central"/>
    <x v="53"/>
    <x v="1"/>
    <x v="0"/>
  </r>
  <r>
    <n v="42684.406944444447"/>
    <n v="42684"/>
    <x v="10"/>
    <x v="4"/>
    <s v="09:46:00 AM"/>
    <n v="42684.427083333336"/>
    <n v="0.42708333333575865"/>
    <s v="29 min"/>
    <x v="0"/>
    <s v="Berkeley"/>
    <s v="San Francisco"/>
    <x v="121"/>
    <x v="5"/>
    <x v="1"/>
  </r>
  <r>
    <n v="42684.430555555555"/>
    <n v="42684"/>
    <x v="10"/>
    <x v="4"/>
    <s v="10:20:00 AM"/>
    <n v="42684.438194444447"/>
    <n v="0.43819444444670808"/>
    <s v="11 min"/>
    <x v="0"/>
    <s v="Tenderloin"/>
    <s v="SOMISSPO"/>
    <x v="115"/>
    <x v="1"/>
    <x v="3"/>
  </r>
  <r>
    <n v="42684.622916666667"/>
    <n v="42684"/>
    <x v="10"/>
    <x v="4"/>
    <s v="02:57:00 PM"/>
    <n v="42684.629861111112"/>
    <n v="0.62986111111240461"/>
    <s v="10 min"/>
    <x v="0"/>
    <s v="SOMISSPO"/>
    <s v="Tenderloin"/>
    <x v="53"/>
    <x v="1"/>
    <x v="3"/>
  </r>
  <r>
    <n v="42684.636805555558"/>
    <n v="42684"/>
    <x v="10"/>
    <x v="4"/>
    <s v="03:17:00 PM"/>
    <n v="42684.640277777777"/>
    <n v="0.64027777777664596"/>
    <s v="5 min"/>
    <x v="0"/>
    <s v="San Francisco"/>
    <s v="Oakland"/>
    <x v="100"/>
    <x v="5"/>
    <x v="2"/>
  </r>
  <r>
    <n v="42684.645833333336"/>
    <n v="42684"/>
    <x v="10"/>
    <x v="4"/>
    <s v="03:30:00 PM"/>
    <n v="42684.661805555559"/>
    <n v="0.66180555555911269"/>
    <s v="23 min"/>
    <x v="0"/>
    <s v="Oakland"/>
    <s v="Berkeley"/>
    <x v="51"/>
    <x v="3"/>
    <x v="2"/>
  </r>
  <r>
    <n v="42684.804166666669"/>
    <n v="42684"/>
    <x v="10"/>
    <x v="4"/>
    <s v="07:18:00 PM"/>
    <n v="42684.806250000001"/>
    <n v="0.80625000000145519"/>
    <s v="3 min"/>
    <x v="0"/>
    <s v="West Berkeley"/>
    <s v="Central"/>
    <x v="7"/>
    <x v="1"/>
    <x v="0"/>
  </r>
  <r>
    <n v="42685.399305555555"/>
    <n v="42685"/>
    <x v="10"/>
    <x v="0"/>
    <s v="09:35:00 AM"/>
    <n v="42685.432638888888"/>
    <n v="0.43263888888759539"/>
    <s v="48 min"/>
    <x v="0"/>
    <s v="Berkeley"/>
    <s v="Menlo Park"/>
    <x v="242"/>
    <x v="4"/>
    <x v="1"/>
  </r>
  <r>
    <n v="42685.540277777778"/>
    <n v="42685"/>
    <x v="10"/>
    <x v="0"/>
    <s v="12:58:00 PM"/>
    <n v="42685.550694444442"/>
    <n v="0.5506944444423425"/>
    <s v="15 min"/>
    <x v="0"/>
    <s v="Menlo Park"/>
    <s v="Palo Alto"/>
    <x v="17"/>
    <x v="1"/>
    <x v="3"/>
  </r>
  <r>
    <n v="42685.597222222219"/>
    <n v="42685"/>
    <x v="10"/>
    <x v="0"/>
    <s v="02:20:00 PM"/>
    <n v="42685.605555555558"/>
    <n v="0.6055555555576575"/>
    <s v="12 min"/>
    <x v="0"/>
    <s v="Palo Alto"/>
    <s v="Menlo Park"/>
    <x v="88"/>
    <x v="1"/>
    <x v="3"/>
  </r>
  <r>
    <n v="42685.61041666667"/>
    <n v="42685"/>
    <x v="10"/>
    <x v="0"/>
    <s v="02:39:00 PM"/>
    <n v="42685.656944444447"/>
    <n v="0.65694444444670808"/>
    <s v="67 min"/>
    <x v="0"/>
    <s v="Menlo Park"/>
    <s v="Berkeley"/>
    <x v="243"/>
    <x v="4"/>
    <x v="3"/>
  </r>
  <r>
    <n v="42685.770833333336"/>
    <n v="42685"/>
    <x v="10"/>
    <x v="0"/>
    <s v="06:30:00 PM"/>
    <n v="42685.779861111114"/>
    <n v="0.77986111111385981"/>
    <s v="13 min"/>
    <x v="0"/>
    <s v="Central"/>
    <s v="College Avenue"/>
    <x v="163"/>
    <x v="1"/>
    <x v="2"/>
  </r>
  <r>
    <n v="42685.880555555559"/>
    <n v="42685"/>
    <x v="10"/>
    <x v="0"/>
    <s v="09:08:00 PM"/>
    <n v="42685.887499999997"/>
    <n v="0.88749999999708962"/>
    <s v="10 min"/>
    <x v="0"/>
    <s v="College Avenue"/>
    <s v="Central"/>
    <x v="66"/>
    <x v="1"/>
    <x v="0"/>
  </r>
  <r>
    <n v="42686.438888888886"/>
    <n v="42686"/>
    <x v="10"/>
    <x v="1"/>
    <s v="10:32:00 AM"/>
    <n v="42686.452777777777"/>
    <n v="0.45277777777664596"/>
    <s v="20 min"/>
    <x v="0"/>
    <s v="Central"/>
    <s v="South"/>
    <x v="33"/>
    <x v="1"/>
    <x v="3"/>
  </r>
  <r>
    <n v="42686.454861111109"/>
    <n v="42686"/>
    <x v="10"/>
    <x v="1"/>
    <s v="10:55:00 AM"/>
    <n v="42686.475694444445"/>
    <n v="0.47569444444525288"/>
    <s v="30 min"/>
    <x v="0"/>
    <s v="South"/>
    <s v="Downtown"/>
    <x v="13"/>
    <x v="1"/>
    <x v="3"/>
  </r>
  <r>
    <n v="42686.546527777777"/>
    <n v="42686"/>
    <x v="10"/>
    <x v="1"/>
    <s v="01:07:00 PM"/>
    <n v="42686.552083333336"/>
    <n v="0.55208333333575865"/>
    <s v="8 min"/>
    <x v="0"/>
    <s v="Downtown"/>
    <s v="Central"/>
    <x v="34"/>
    <x v="1"/>
    <x v="3"/>
  </r>
  <r>
    <n v="42686.573611111111"/>
    <n v="42686"/>
    <x v="10"/>
    <x v="1"/>
    <s v="01:46:00 PM"/>
    <n v="42686.576388888891"/>
    <n v="0.57638888889050577"/>
    <s v="4 min"/>
    <x v="0"/>
    <s v="Central"/>
    <s v="West Berkeley"/>
    <x v="186"/>
    <x v="1"/>
    <x v="3"/>
  </r>
  <r>
    <n v="42686.598611111112"/>
    <n v="42686"/>
    <x v="10"/>
    <x v="1"/>
    <s v="02:22:00 PM"/>
    <n v="42686.620138888888"/>
    <n v="0.62013888888759539"/>
    <s v="31 min"/>
    <x v="0"/>
    <s v="West Berkeley"/>
    <s v="South"/>
    <x v="111"/>
    <x v="1"/>
    <x v="3"/>
  </r>
  <r>
    <n v="42686.634722222225"/>
    <n v="42686"/>
    <x v="10"/>
    <x v="1"/>
    <s v="03:14:00 PM"/>
    <n v="42686.63958333333"/>
    <n v="0.63958333332993789"/>
    <s v="7 min"/>
    <x v="0"/>
    <s v="South"/>
    <s v="Southwest Berkeley"/>
    <x v="7"/>
    <x v="1"/>
    <x v="2"/>
  </r>
  <r>
    <n v="42686.642361111109"/>
    <n v="42686"/>
    <x v="10"/>
    <x v="1"/>
    <s v="03:25:00 PM"/>
    <n v="42686.65"/>
    <n v="0.65000000000145519"/>
    <s v="11 min"/>
    <x v="0"/>
    <s v="Berkeley"/>
    <s v="Emeryville"/>
    <x v="188"/>
    <x v="1"/>
    <x v="2"/>
  </r>
  <r>
    <n v="42686.652777777781"/>
    <n v="42686"/>
    <x v="10"/>
    <x v="1"/>
    <s v="03:40:00 PM"/>
    <n v="42686.665972222225"/>
    <n v="0.66597222222480923"/>
    <s v="19 min"/>
    <x v="0"/>
    <s v="Emeryville"/>
    <s v="Berkeley"/>
    <x v="174"/>
    <x v="2"/>
    <x v="2"/>
  </r>
  <r>
    <n v="42687.370833333334"/>
    <n v="42687"/>
    <x v="10"/>
    <x v="5"/>
    <s v="08:54:00 AM"/>
    <n v="42687.376388888886"/>
    <n v="0.37638888888614019"/>
    <s v="8 min"/>
    <x v="0"/>
    <s v="Central"/>
    <s v="Central"/>
    <x v="33"/>
    <x v="1"/>
    <x v="1"/>
  </r>
  <r>
    <n v="42687.393750000003"/>
    <n v="42687"/>
    <x v="10"/>
    <x v="5"/>
    <s v="09:27:00 AM"/>
    <n v="42687.411805555559"/>
    <n v="0.41180555555911269"/>
    <s v="26 min"/>
    <x v="0"/>
    <s v="Central"/>
    <s v="Central"/>
    <x v="66"/>
    <x v="1"/>
    <x v="1"/>
  </r>
  <r>
    <n v="42687.438194444447"/>
    <n v="42687"/>
    <x v="10"/>
    <x v="5"/>
    <s v="10:31:00 AM"/>
    <n v="42687.442361111112"/>
    <n v="0.44236111111240461"/>
    <s v="6 min"/>
    <x v="0"/>
    <s v="Central"/>
    <s v="Southside"/>
    <x v="16"/>
    <x v="1"/>
    <x v="3"/>
  </r>
  <r>
    <n v="42687.461111111108"/>
    <n v="42687"/>
    <x v="10"/>
    <x v="5"/>
    <s v="11:04:00 AM"/>
    <n v="42687.469444444447"/>
    <n v="0.46944444444670808"/>
    <s v="12 min"/>
    <x v="0"/>
    <s v="Southside"/>
    <s v="West Berkeley"/>
    <x v="102"/>
    <x v="1"/>
    <x v="3"/>
  </r>
  <r>
    <n v="42687.515277777777"/>
    <n v="42687"/>
    <x v="10"/>
    <x v="5"/>
    <s v="12:22:00 PM"/>
    <n v="42687.535416666666"/>
    <n v="0.53541666666569654"/>
    <s v="29 min"/>
    <x v="0"/>
    <s v="West Berkeley"/>
    <s v="Southside"/>
    <x v="17"/>
    <x v="3"/>
    <x v="3"/>
  </r>
  <r>
    <n v="42687.545138888891"/>
    <n v="42687"/>
    <x v="10"/>
    <x v="5"/>
    <s v="01:05:00 PM"/>
    <n v="42687.549305555556"/>
    <n v="0.54930555555620231"/>
    <s v="6 min"/>
    <x v="0"/>
    <s v="Southside"/>
    <s v="South Berkeley"/>
    <x v="129"/>
    <x v="1"/>
    <x v="3"/>
  </r>
  <r>
    <n v="42687.551388888889"/>
    <n v="42687"/>
    <x v="10"/>
    <x v="5"/>
    <s v="01:14:00 PM"/>
    <n v="42687.554166666669"/>
    <n v="0.55416666666860692"/>
    <s v="4 min"/>
    <x v="0"/>
    <s v="South Berkeley"/>
    <s v="Southside"/>
    <x v="129"/>
    <x v="1"/>
    <x v="3"/>
  </r>
  <r>
    <n v="42687.607638888891"/>
    <n v="42687"/>
    <x v="10"/>
    <x v="5"/>
    <s v="02:35:00 PM"/>
    <n v="42687.615277777775"/>
    <n v="0.61527777777519077"/>
    <s v="11 min"/>
    <x v="0"/>
    <s v="Southside"/>
    <s v="Central"/>
    <x v="19"/>
    <x v="1"/>
    <x v="3"/>
  </r>
  <r>
    <n v="42687.634722222225"/>
    <n v="42687"/>
    <x v="10"/>
    <x v="5"/>
    <s v="03:14:00 PM"/>
    <n v="42687.64166666667"/>
    <n v="0.64166666667006211"/>
    <s v="10 min"/>
    <x v="0"/>
    <s v="Central"/>
    <s v="Southside"/>
    <x v="16"/>
    <x v="1"/>
    <x v="2"/>
  </r>
  <r>
    <n v="42687.657638888886"/>
    <n v="42687"/>
    <x v="10"/>
    <x v="5"/>
    <s v="03:47:00 PM"/>
    <n v="42687.665972222225"/>
    <n v="0.66597222222480923"/>
    <s v="12 min"/>
    <x v="0"/>
    <s v="Southside"/>
    <s v="Central"/>
    <x v="16"/>
    <x v="1"/>
    <x v="2"/>
  </r>
  <r>
    <n v="42688.474999999999"/>
    <n v="42688"/>
    <x v="10"/>
    <x v="6"/>
    <s v="11:24:00 AM"/>
    <n v="42688.509027777778"/>
    <n v="0.50902777777810115"/>
    <s v="49 min"/>
    <x v="0"/>
    <s v="Berkeley"/>
    <s v="Mountain View"/>
    <x v="227"/>
    <x v="4"/>
    <x v="3"/>
  </r>
  <r>
    <n v="42688.569444444445"/>
    <n v="42688"/>
    <x v="10"/>
    <x v="6"/>
    <s v="01:40:00 PM"/>
    <n v="42688.606249999997"/>
    <n v="0.60624999999708962"/>
    <s v="53 min"/>
    <x v="0"/>
    <s v="Mountain View"/>
    <s v="Berkeley"/>
    <x v="244"/>
    <x v="4"/>
    <x v="3"/>
  </r>
  <r>
    <n v="42688.643750000003"/>
    <n v="42688"/>
    <x v="10"/>
    <x v="6"/>
    <s v="03:27:00 PM"/>
    <n v="42688.65"/>
    <n v="0.65000000000145519"/>
    <s v="9 min"/>
    <x v="0"/>
    <s v="Berkeley"/>
    <s v="Emeryville"/>
    <x v="88"/>
    <x v="1"/>
    <x v="2"/>
  </r>
  <r>
    <n v="42688.84652777778"/>
    <n v="42688"/>
    <x v="10"/>
    <x v="6"/>
    <s v="08:19:00 PM"/>
    <n v="42688.854166666664"/>
    <n v="0.85416666666424135"/>
    <s v="11 min"/>
    <x v="0"/>
    <s v="Emeryville"/>
    <s v="Berkeley"/>
    <x v="174"/>
    <x v="2"/>
    <x v="0"/>
  </r>
  <r>
    <n v="42689.582638888889"/>
    <n v="42689"/>
    <x v="10"/>
    <x v="2"/>
    <s v="01:59:00 PM"/>
    <n v="42689.587500000001"/>
    <n v="0.58750000000145519"/>
    <s v="7 min"/>
    <x v="0"/>
    <s v="Berkeley"/>
    <s v="Oakland"/>
    <x v="0"/>
    <x v="1"/>
    <x v="3"/>
  </r>
  <r>
    <n v="42689.589583333334"/>
    <n v="42689"/>
    <x v="10"/>
    <x v="2"/>
    <s v="02:09:00 PM"/>
    <n v="42689.601388888892"/>
    <n v="0.60138888889196096"/>
    <s v="17 min"/>
    <x v="0"/>
    <s v="Oakland"/>
    <s v="San Francisco"/>
    <x v="52"/>
    <x v="5"/>
    <x v="3"/>
  </r>
  <r>
    <n v="42689.863888888889"/>
    <n v="42689"/>
    <x v="10"/>
    <x v="2"/>
    <s v="08:44:00 PM"/>
    <n v="42689.875"/>
    <n v="0.875"/>
    <s v="16 min"/>
    <x v="0"/>
    <s v="San Francisco"/>
    <s v="Berkeley"/>
    <x v="23"/>
    <x v="5"/>
    <x v="0"/>
  </r>
  <r>
    <n v="42690.847916666666"/>
    <n v="42690"/>
    <x v="10"/>
    <x v="3"/>
    <s v="08:21:00 PM"/>
    <n v="42690.852083333331"/>
    <n v="0.85208333333139308"/>
    <s v="6 min"/>
    <x v="0"/>
    <s v="Berkeley"/>
    <s v="El Cerrito"/>
    <x v="33"/>
    <x v="5"/>
    <x v="0"/>
  </r>
  <r>
    <n v="42690.952777777777"/>
    <n v="42690"/>
    <x v="10"/>
    <x v="3"/>
    <s v="10:52:00 PM"/>
    <n v="42690.959722222222"/>
    <n v="0.95972222222189885"/>
    <s v="10 min"/>
    <x v="0"/>
    <s v="El Cerrito"/>
    <s v="Berkeley"/>
    <x v="97"/>
    <x v="0"/>
    <x v="0"/>
  </r>
  <r>
    <n v="42691.425694444442"/>
    <n v="42691"/>
    <x v="10"/>
    <x v="4"/>
    <s v="10:13:00 AM"/>
    <n v="42691.447222222225"/>
    <n v="0.44722222222480923"/>
    <s v="31 min"/>
    <x v="0"/>
    <s v="Berkeley"/>
    <s v="Oakland"/>
    <x v="173"/>
    <x v="4"/>
    <x v="3"/>
  </r>
  <r>
    <n v="42692.839583333334"/>
    <n v="42692"/>
    <x v="10"/>
    <x v="0"/>
    <s v="08:09:00 PM"/>
    <n v="42692.84652777778"/>
    <n v="0.84652777777955635"/>
    <s v="10 min"/>
    <x v="0"/>
    <s v="Cary"/>
    <s v="Morrisville"/>
    <x v="97"/>
    <x v="0"/>
    <x v="0"/>
  </r>
  <r>
    <n v="42692.890972222223"/>
    <n v="42692"/>
    <x v="10"/>
    <x v="0"/>
    <s v="09:23:00 PM"/>
    <n v="42692.898611111108"/>
    <n v="0.89861111110803904"/>
    <s v="11 min"/>
    <x v="0"/>
    <s v="Morrisville"/>
    <s v="Cary"/>
    <x v="44"/>
    <x v="0"/>
    <x v="0"/>
  </r>
  <r>
    <n v="42692.913888888892"/>
    <n v="42692"/>
    <x v="10"/>
    <x v="0"/>
    <s v="09:56:00 PM"/>
    <n v="42692.931250000001"/>
    <n v="0.93125000000145519"/>
    <s v="25 min"/>
    <x v="0"/>
    <s v="Krendle Woods"/>
    <s v="Whitebridge"/>
    <x v="59"/>
    <x v="3"/>
    <x v="0"/>
  </r>
  <r>
    <n v="42693.57708333333"/>
    <n v="42693"/>
    <x v="10"/>
    <x v="1"/>
    <s v="01:51:00 PM"/>
    <n v="42693.590277777781"/>
    <n v="0.59027777778101154"/>
    <s v="19 min"/>
    <x v="0"/>
    <s v="Cary"/>
    <s v="Durham"/>
    <x v="239"/>
    <x v="3"/>
    <x v="3"/>
  </r>
  <r>
    <n v="42693.604166666664"/>
    <n v="42693"/>
    <x v="10"/>
    <x v="1"/>
    <s v="02:30:00 PM"/>
    <n v="42693.618750000001"/>
    <n v="0.61875000000145519"/>
    <s v="21 min"/>
    <x v="0"/>
    <s v="Durham"/>
    <s v="Cary"/>
    <x v="116"/>
    <x v="3"/>
    <x v="3"/>
  </r>
  <r>
    <n v="42693.667361111111"/>
    <n v="42693"/>
    <x v="10"/>
    <x v="1"/>
    <s v="04:01:00 PM"/>
    <n v="42693.67083333333"/>
    <n v="0.67083333332993789"/>
    <s v="5 min"/>
    <x v="0"/>
    <s v="Cary"/>
    <s v="Cary"/>
    <x v="62"/>
    <x v="1"/>
    <x v="2"/>
  </r>
  <r>
    <n v="42693.685416666667"/>
    <n v="42693"/>
    <x v="10"/>
    <x v="1"/>
    <s v="04:27:00 PM"/>
    <n v="42693.695138888892"/>
    <n v="0.69513888889196096"/>
    <s v="14 min"/>
    <x v="0"/>
    <s v="Cary"/>
    <s v="Cary"/>
    <x v="18"/>
    <x v="1"/>
    <x v="2"/>
  </r>
  <r>
    <n v="42693.736805555556"/>
    <n v="42693"/>
    <x v="10"/>
    <x v="1"/>
    <s v="05:41:00 PM"/>
    <n v="42693.745833333334"/>
    <n v="0.74583333333430346"/>
    <s v="13 min"/>
    <x v="0"/>
    <s v="Cary"/>
    <s v="Apex"/>
    <x v="245"/>
    <x v="2"/>
    <x v="2"/>
  </r>
  <r>
    <n v="42693.884722222225"/>
    <n v="42693"/>
    <x v="10"/>
    <x v="1"/>
    <s v="09:14:00 PM"/>
    <n v="42693.899305555555"/>
    <n v="0.89930555555474712"/>
    <s v="21 min"/>
    <x v="0"/>
    <s v="Apex"/>
    <s v="Cary"/>
    <x v="245"/>
    <x v="4"/>
    <x v="0"/>
  </r>
  <r>
    <n v="42694.435416666667"/>
    <n v="42694"/>
    <x v="10"/>
    <x v="5"/>
    <s v="10:27:00 AM"/>
    <n v="42694.480555555558"/>
    <n v="0.4805555555576575"/>
    <s v="65 min"/>
    <x v="0"/>
    <s v="Cary"/>
    <s v="Cary"/>
    <x v="246"/>
    <x v="6"/>
    <x v="3"/>
  </r>
  <r>
    <n v="42694.498611111114"/>
    <n v="42694"/>
    <x v="10"/>
    <x v="5"/>
    <s v="11:58:00 AM"/>
    <n v="42694.519444444442"/>
    <n v="0.5194444444423425"/>
    <s v="30 min"/>
    <x v="0"/>
    <s v="Cary"/>
    <s v="Cary"/>
    <x v="13"/>
    <x v="4"/>
    <x v="3"/>
  </r>
  <r>
    <n v="42694.623611111114"/>
    <n v="42694"/>
    <x v="10"/>
    <x v="5"/>
    <s v="02:58:00 PM"/>
    <n v="42694.629861111112"/>
    <n v="0.62986111111240461"/>
    <s v="9 min"/>
    <x v="0"/>
    <s v="Cary"/>
    <s v="Cary"/>
    <x v="38"/>
    <x v="3"/>
    <x v="3"/>
  </r>
  <r>
    <n v="42694.739583333336"/>
    <n v="42694"/>
    <x v="10"/>
    <x v="5"/>
    <s v="05:45:00 PM"/>
    <n v="42694.775694444441"/>
    <n v="0.77569444444088731"/>
    <s v="52 min"/>
    <x v="0"/>
    <s v="Cary"/>
    <s v="Cary"/>
    <x v="247"/>
    <x v="2"/>
    <x v="2"/>
  </r>
  <r>
    <n v="42695.567361111112"/>
    <n v="42695"/>
    <x v="10"/>
    <x v="6"/>
    <s v="01:37:00 PM"/>
    <n v="42695.575694444444"/>
    <n v="0.57569444444379769"/>
    <s v="12 min"/>
    <x v="0"/>
    <s v="Cary"/>
    <s v="Cary"/>
    <x v="88"/>
    <x v="0"/>
    <x v="3"/>
  </r>
  <r>
    <n v="42695.606944444444"/>
    <n v="42695"/>
    <x v="10"/>
    <x v="6"/>
    <s v="02:34:00 PM"/>
    <n v="42695.613888888889"/>
    <n v="0.61388888888905058"/>
    <s v="10 min"/>
    <x v="0"/>
    <s v="Cary"/>
    <s v="Cary"/>
    <x v="102"/>
    <x v="0"/>
    <x v="3"/>
  </r>
  <r>
    <n v="42695.743055555555"/>
    <n v="42695"/>
    <x v="10"/>
    <x v="6"/>
    <s v="05:50:00 PM"/>
    <n v="42695.75277777778"/>
    <n v="0.75277777777955635"/>
    <s v="14 min"/>
    <x v="0"/>
    <s v="Cary"/>
    <s v="Unknown Location"/>
    <x v="135"/>
    <x v="2"/>
    <x v="2"/>
  </r>
  <r>
    <n v="42695.762499999997"/>
    <n v="42695"/>
    <x v="10"/>
    <x v="6"/>
    <s v="06:18:00 PM"/>
    <n v="42695.768750000003"/>
    <n v="0.76875000000291038"/>
    <s v="9 min"/>
    <x v="0"/>
    <s v="Unknown Location"/>
    <s v="Morrisville"/>
    <x v="85"/>
    <x v="0"/>
    <x v="2"/>
  </r>
  <r>
    <n v="42695.779861111114"/>
    <n v="42695"/>
    <x v="10"/>
    <x v="6"/>
    <s v="06:43:00 PM"/>
    <n v="42695.785416666666"/>
    <n v="0.78541666666569654"/>
    <s v="8 min"/>
    <x v="0"/>
    <s v="Morrisville"/>
    <s v="Cary"/>
    <x v="37"/>
    <x v="2"/>
    <x v="2"/>
  </r>
  <r>
    <n v="42696.633333333331"/>
    <n v="42696"/>
    <x v="10"/>
    <x v="2"/>
    <s v="03:12:00 PM"/>
    <n v="42696.643750000003"/>
    <n v="0.64375000000291038"/>
    <s v="15 min"/>
    <x v="0"/>
    <s v="Cary"/>
    <s v="Cary"/>
    <x v="47"/>
    <x v="3"/>
    <x v="2"/>
  </r>
  <r>
    <n v="42696.646527777775"/>
    <n v="42696"/>
    <x v="10"/>
    <x v="2"/>
    <s v="03:31:00 PM"/>
    <n v="42696.655555555553"/>
    <n v="0.65555555555329192"/>
    <s v="13 min"/>
    <x v="0"/>
    <s v="Cary"/>
    <s v="Cary"/>
    <x v="197"/>
    <x v="3"/>
    <x v="2"/>
  </r>
  <r>
    <n v="42696.660416666666"/>
    <n v="42696"/>
    <x v="10"/>
    <x v="2"/>
    <s v="03:51:00 PM"/>
    <n v="42696.696527777778"/>
    <n v="0.69652777777810115"/>
    <s v="52 min"/>
    <x v="0"/>
    <s v="Cary"/>
    <s v="Cary"/>
    <x v="81"/>
    <x v="4"/>
    <x v="2"/>
  </r>
  <r>
    <n v="42696.762499999997"/>
    <n v="42696"/>
    <x v="10"/>
    <x v="2"/>
    <s v="06:18:00 PM"/>
    <n v="42696.769444444442"/>
    <n v="0.7694444444423425"/>
    <s v="10 min"/>
    <x v="0"/>
    <s v="Cary"/>
    <s v="Morrisville"/>
    <x v="61"/>
    <x v="0"/>
    <x v="2"/>
  </r>
  <r>
    <n v="42696.876388888886"/>
    <n v="42696"/>
    <x v="10"/>
    <x v="2"/>
    <s v="09:02:00 PM"/>
    <n v="42696.884722222225"/>
    <n v="0.88472222222480923"/>
    <s v="12 min"/>
    <x v="0"/>
    <s v="Morrisville"/>
    <s v="Cary"/>
    <x v="85"/>
    <x v="4"/>
    <x v="0"/>
  </r>
  <r>
    <n v="42697.648611111108"/>
    <n v="42697"/>
    <x v="10"/>
    <x v="3"/>
    <s v="03:34:00 PM"/>
    <n v="42697.659722222219"/>
    <n v="0.65972222221898846"/>
    <s v="16 min"/>
    <x v="0"/>
    <s v="Cary"/>
    <s v="Cary"/>
    <x v="111"/>
    <x v="0"/>
    <x v="2"/>
  </r>
  <r>
    <n v="42697.679166666669"/>
    <n v="42697"/>
    <x v="10"/>
    <x v="3"/>
    <s v="04:18:00 PM"/>
    <n v="42697.686805555553"/>
    <n v="0.68680555555329192"/>
    <s v="11 min"/>
    <x v="0"/>
    <s v="Cary"/>
    <s v="Cary"/>
    <x v="16"/>
    <x v="1"/>
    <x v="2"/>
  </r>
  <r>
    <n v="42697.700694444444"/>
    <n v="42697"/>
    <x v="10"/>
    <x v="3"/>
    <s v="04:49:00 PM"/>
    <n v="42697.708333333336"/>
    <n v="0.70833333333575865"/>
    <s v="11 min"/>
    <x v="0"/>
    <s v="Cary"/>
    <s v="Cary"/>
    <x v="171"/>
    <x v="1"/>
    <x v="2"/>
  </r>
  <r>
    <n v="42697.775694444441"/>
    <n v="42697"/>
    <x v="10"/>
    <x v="3"/>
    <s v="06:37:00 PM"/>
    <n v="42697.782638888886"/>
    <n v="0.78263888888614019"/>
    <s v="10 min"/>
    <x v="0"/>
    <s v="Cary"/>
    <s v="Cary"/>
    <x v="188"/>
    <x v="1"/>
    <x v="2"/>
  </r>
  <r>
    <n v="42699.490972222222"/>
    <n v="42699"/>
    <x v="10"/>
    <x v="0"/>
    <s v="11:47:00 AM"/>
    <n v="42699.50277777778"/>
    <n v="0.50277777777955635"/>
    <s v="17 min"/>
    <x v="0"/>
    <s v="Cary"/>
    <s v="Durham"/>
    <x v="239"/>
    <x v="1"/>
    <x v="3"/>
  </r>
  <r>
    <n v="42699.550694444442"/>
    <n v="42699"/>
    <x v="10"/>
    <x v="0"/>
    <s v="01:13:00 PM"/>
    <n v="42699.563194444447"/>
    <n v="0.56319444444670808"/>
    <s v="18 min"/>
    <x v="0"/>
    <s v="Durham"/>
    <s v="Cary"/>
    <x v="248"/>
    <x v="3"/>
    <x v="3"/>
  </r>
  <r>
    <n v="42700.662499999999"/>
    <n v="42700"/>
    <x v="10"/>
    <x v="1"/>
    <s v="03:54:00 PM"/>
    <n v="42700.665972222225"/>
    <n v="0.66597222222480923"/>
    <s v="5 min"/>
    <x v="0"/>
    <s v="Cary"/>
    <s v="Cary"/>
    <x v="34"/>
    <x v="1"/>
    <x v="2"/>
  </r>
  <r>
    <n v="42700.708333333336"/>
    <n v="42700"/>
    <x v="10"/>
    <x v="1"/>
    <s v="05:00:00 PM"/>
    <n v="42700.716666666667"/>
    <n v="0.71666666666715173"/>
    <s v="12 min"/>
    <x v="0"/>
    <s v="Cary"/>
    <s v="Apex"/>
    <x v="0"/>
    <x v="3"/>
    <x v="2"/>
  </r>
  <r>
    <n v="42700.73333333333"/>
    <n v="42700"/>
    <x v="10"/>
    <x v="1"/>
    <s v="05:36:00 PM"/>
    <n v="42700.74722222222"/>
    <n v="0.74722222222044365"/>
    <s v="20 min"/>
    <x v="0"/>
    <s v="Apex"/>
    <s v="Holly Springs"/>
    <x v="54"/>
    <x v="3"/>
    <x v="2"/>
  </r>
  <r>
    <n v="42700.770138888889"/>
    <n v="42700"/>
    <x v="10"/>
    <x v="1"/>
    <s v="06:29:00 PM"/>
    <n v="42700.794444444444"/>
    <n v="0.79444444444379769"/>
    <s v="35 min"/>
    <x v="0"/>
    <s v="Holly Springs"/>
    <s v="Cary"/>
    <x v="185"/>
    <x v="6"/>
    <x v="2"/>
  </r>
  <r>
    <n v="42700.824305555558"/>
    <n v="42700"/>
    <x v="10"/>
    <x v="1"/>
    <s v="07:47:00 PM"/>
    <n v="42700.82916666667"/>
    <n v="0.82916666667006211"/>
    <s v="7 min"/>
    <x v="0"/>
    <s v="Cary"/>
    <s v="Cary"/>
    <x v="88"/>
    <x v="2"/>
    <x v="0"/>
  </r>
  <r>
    <n v="42701.665972222225"/>
    <n v="42701"/>
    <x v="10"/>
    <x v="5"/>
    <s v="03:59:00 PM"/>
    <n v="42701.67083333333"/>
    <n v="0.67083333332993789"/>
    <s v="7 min"/>
    <x v="0"/>
    <s v="Cary"/>
    <s v="Morrisville"/>
    <x v="171"/>
    <x v="0"/>
    <x v="2"/>
  </r>
  <r>
    <n v="42701.788194444445"/>
    <n v="42701"/>
    <x v="10"/>
    <x v="5"/>
    <s v="06:55:00 PM"/>
    <n v="42701.79791666667"/>
    <n v="0.79791666667006211"/>
    <s v="14 min"/>
    <x v="0"/>
    <s v="Morrisville"/>
    <s v="Cary"/>
    <x v="163"/>
    <x v="1"/>
    <x v="2"/>
  </r>
  <r>
    <n v="42704.460416666669"/>
    <n v="42704"/>
    <x v="10"/>
    <x v="3"/>
    <s v="11:03:00 AM"/>
    <n v="42704.481944444444"/>
    <n v="0.48194444444379769"/>
    <s v="31 min"/>
    <x v="0"/>
    <s v="Cary"/>
    <s v="Raleigh"/>
    <x v="65"/>
    <x v="4"/>
    <x v="3"/>
  </r>
  <r>
    <n v="42704.495138888888"/>
    <n v="42704"/>
    <x v="10"/>
    <x v="3"/>
    <s v="11:53:00 AM"/>
    <n v="42704.524305555555"/>
    <n v="0.52430555555474712"/>
    <s v="42 min"/>
    <x v="0"/>
    <s v="Raleigh"/>
    <s v="Morrisville"/>
    <x v="135"/>
    <x v="5"/>
    <x v="3"/>
  </r>
  <r>
    <n v="42704.529861111114"/>
    <n v="42704"/>
    <x v="10"/>
    <x v="3"/>
    <s v="12:43:00 PM"/>
    <n v="42704.536805555559"/>
    <n v="0.53680555555911269"/>
    <s v="10 min"/>
    <x v="0"/>
    <s v="Morrisville"/>
    <s v="Cary"/>
    <x v="97"/>
    <x v="1"/>
    <x v="3"/>
  </r>
  <r>
    <n v="42705.322222222225"/>
    <n v="42705"/>
    <x v="11"/>
    <x v="4"/>
    <s v="07:44:00 AM"/>
    <n v="42705.332638888889"/>
    <n v="0.33263888888905058"/>
    <s v="15 min"/>
    <x v="0"/>
    <s v="Cary"/>
    <s v="Cary"/>
    <x v="47"/>
    <x v="3"/>
    <x v="1"/>
  </r>
  <r>
    <n v="42705.359027777777"/>
    <n v="42705"/>
    <x v="11"/>
    <x v="4"/>
    <s v="08:37:00 AM"/>
    <n v="42705.370138888888"/>
    <n v="0.37013888888759539"/>
    <s v="16 min"/>
    <x v="0"/>
    <s v="Cary"/>
    <s v="Cary"/>
    <x v="47"/>
    <x v="2"/>
    <x v="1"/>
  </r>
  <r>
    <n v="42705.75"/>
    <n v="42705"/>
    <x v="11"/>
    <x v="4"/>
    <s v="06:00:00 PM"/>
    <n v="42705.758333333331"/>
    <n v="0.75833333333139308"/>
    <s v="12 min"/>
    <x v="0"/>
    <s v="Cary"/>
    <s v="Morrisville"/>
    <x v="163"/>
    <x v="0"/>
    <x v="2"/>
  </r>
  <r>
    <n v="42705.85833333333"/>
    <n v="42705"/>
    <x v="11"/>
    <x v="4"/>
    <s v="08:36:00 PM"/>
    <n v="42705.865277777775"/>
    <n v="0.86527777777519077"/>
    <s v="10 min"/>
    <x v="0"/>
    <s v="Morrisville"/>
    <s v="Cary"/>
    <x v="163"/>
    <x v="4"/>
    <x v="0"/>
  </r>
  <r>
    <n v="42706.508333333331"/>
    <n v="42706"/>
    <x v="11"/>
    <x v="0"/>
    <s v="12:12:00 PM"/>
    <n v="42706.515972222223"/>
    <n v="0.51597222222335404"/>
    <s v="11 min"/>
    <x v="0"/>
    <s v="Cary"/>
    <s v="Apex"/>
    <x v="0"/>
    <x v="0"/>
    <x v="3"/>
  </r>
  <r>
    <n v="42706.546527777777"/>
    <n v="42706"/>
    <x v="11"/>
    <x v="0"/>
    <s v="01:07:00 PM"/>
    <n v="42706.556944444441"/>
    <n v="0.55694444444088731"/>
    <s v="15 min"/>
    <x v="0"/>
    <s v="Apex"/>
    <s v="Cary"/>
    <x v="60"/>
    <x v="4"/>
    <x v="3"/>
  </r>
  <r>
    <n v="42706.861805555556"/>
    <n v="42706"/>
    <x v="11"/>
    <x v="0"/>
    <s v="08:41:00 PM"/>
    <n v="42706.866666666669"/>
    <n v="0.86666666666860692"/>
    <s v="7 min"/>
    <x v="0"/>
    <s v="Cary"/>
    <s v="Morrisville"/>
    <x v="171"/>
    <x v="0"/>
    <x v="0"/>
  </r>
  <r>
    <n v="42706.957638888889"/>
    <n v="42706"/>
    <x v="11"/>
    <x v="0"/>
    <s v="10:59:00 PM"/>
    <n v="42706.963194444441"/>
    <n v="0.96319444444088731"/>
    <s v="8 min"/>
    <x v="0"/>
    <s v="Morrisville"/>
    <s v="Cary"/>
    <x v="61"/>
    <x v="4"/>
    <x v="0"/>
  </r>
  <r>
    <n v="42707.774305555555"/>
    <n v="42707"/>
    <x v="11"/>
    <x v="1"/>
    <s v="06:35:00 PM"/>
    <n v="42707.788888888892"/>
    <n v="0.78888888889196096"/>
    <s v="21 min"/>
    <x v="0"/>
    <s v="Cary"/>
    <s v="Wake Co."/>
    <x v="104"/>
    <x v="2"/>
    <x v="2"/>
  </r>
  <r>
    <n v="42707.797222222223"/>
    <n v="42707"/>
    <x v="11"/>
    <x v="1"/>
    <s v="07:08:00 PM"/>
    <n v="42707.802083333336"/>
    <n v="0.80208333333575865"/>
    <s v="7 min"/>
    <x v="0"/>
    <s v="Wake Co."/>
    <s v="Morrisville"/>
    <x v="18"/>
    <x v="1"/>
    <x v="0"/>
  </r>
  <r>
    <n v="42707.854861111111"/>
    <n v="42707"/>
    <x v="11"/>
    <x v="1"/>
    <s v="08:31:00 PM"/>
    <n v="42707.861805555556"/>
    <n v="0.86180555555620231"/>
    <s v="10 min"/>
    <x v="0"/>
    <s v="Morrisville"/>
    <s v="Cary"/>
    <x v="61"/>
    <x v="4"/>
    <x v="0"/>
  </r>
  <r>
    <n v="42708.788888888892"/>
    <n v="42708"/>
    <x v="11"/>
    <x v="5"/>
    <s v="06:56:00 PM"/>
    <n v="42708.793749999997"/>
    <n v="0.79374999999708962"/>
    <s v="7 min"/>
    <x v="0"/>
    <s v="Cary"/>
    <s v="Morrisville"/>
    <x v="163"/>
    <x v="0"/>
    <x v="2"/>
  </r>
  <r>
    <n v="42708.849305555559"/>
    <n v="42708"/>
    <x v="11"/>
    <x v="5"/>
    <s v="08:23:00 PM"/>
    <n v="42708.856944444444"/>
    <n v="0.85694444444379769"/>
    <s v="11 min"/>
    <x v="0"/>
    <s v="Morrisville"/>
    <s v="Cary"/>
    <x v="37"/>
    <x v="4"/>
    <x v="0"/>
  </r>
  <r>
    <n v="42709.75277777778"/>
    <n v="42709"/>
    <x v="11"/>
    <x v="6"/>
    <s v="06:04:00 PM"/>
    <n v="42709.761805555558"/>
    <n v="0.7618055555576575"/>
    <s v="13 min"/>
    <x v="0"/>
    <s v="Cary"/>
    <s v="Cary"/>
    <x v="197"/>
    <x v="1"/>
    <x v="2"/>
  </r>
  <r>
    <n v="42709.806944444441"/>
    <n v="42709"/>
    <x v="11"/>
    <x v="6"/>
    <s v="07:22:00 PM"/>
    <n v="42709.817361111112"/>
    <n v="0.81736111111240461"/>
    <s v="15 min"/>
    <x v="0"/>
    <s v="Cary"/>
    <s v="Cary"/>
    <x v="103"/>
    <x v="0"/>
    <x v="0"/>
  </r>
  <r>
    <n v="42711.502083333333"/>
    <n v="42711"/>
    <x v="11"/>
    <x v="3"/>
    <s v="12:03:00 PM"/>
    <n v="42711.522222222222"/>
    <n v="0.52222222222189885"/>
    <s v="29 min"/>
    <x v="0"/>
    <s v="Cary"/>
    <s v="Cary"/>
    <x v="104"/>
    <x v="3"/>
    <x v="3"/>
  </r>
  <r>
    <n v="42711.524305555555"/>
    <n v="42711"/>
    <x v="11"/>
    <x v="3"/>
    <s v="12:35:00 PM"/>
    <n v="42711.531944444447"/>
    <n v="0.53194444444670808"/>
    <s v="11 min"/>
    <x v="0"/>
    <s v="Cary"/>
    <s v="Cary"/>
    <x v="17"/>
    <x v="3"/>
    <x v="3"/>
  </r>
  <r>
    <n v="42711.828472222223"/>
    <n v="42711"/>
    <x v="11"/>
    <x v="3"/>
    <s v="07:53:00 PM"/>
    <n v="42711.842361111114"/>
    <n v="0.84236111111385981"/>
    <s v="20 min"/>
    <x v="0"/>
    <s v="Cary"/>
    <s v="Cary"/>
    <x v="187"/>
    <x v="4"/>
    <x v="0"/>
  </r>
  <r>
    <n v="42711.884027777778"/>
    <n v="42711"/>
    <x v="11"/>
    <x v="3"/>
    <s v="09:13:00 PM"/>
    <n v="42711.909722222219"/>
    <n v="0.90972222221898846"/>
    <s v="37 min"/>
    <x v="0"/>
    <s v="Cary"/>
    <s v="Cary"/>
    <x v="136"/>
    <x v="0"/>
    <x v="0"/>
  </r>
  <r>
    <n v="42712.59652777778"/>
    <n v="42712"/>
    <x v="11"/>
    <x v="4"/>
    <s v="02:19:00 PM"/>
    <n v="42712.605555555558"/>
    <n v="0.6055555555576575"/>
    <s v="13 min"/>
    <x v="0"/>
    <s v="Cary"/>
    <s v="Cary"/>
    <x v="37"/>
    <x v="2"/>
    <x v="3"/>
  </r>
  <r>
    <n v="42712.620138888888"/>
    <n v="42712"/>
    <x v="11"/>
    <x v="4"/>
    <s v="02:53:00 PM"/>
    <n v="42712.626388888886"/>
    <n v="0.62638888888614019"/>
    <s v="9 min"/>
    <x v="0"/>
    <s v="Cary"/>
    <s v="Cary"/>
    <x v="37"/>
    <x v="2"/>
    <x v="3"/>
  </r>
  <r>
    <n v="42712.806944444441"/>
    <n v="42712"/>
    <x v="11"/>
    <x v="4"/>
    <s v="07:22:00 PM"/>
    <n v="42712.810416666667"/>
    <n v="0.81041666666715173"/>
    <s v="5 min"/>
    <x v="0"/>
    <s v="Cary"/>
    <s v="Cary"/>
    <x v="20"/>
    <x v="3"/>
    <x v="0"/>
  </r>
  <r>
    <n v="42712.893055555556"/>
    <n v="42712"/>
    <x v="11"/>
    <x v="4"/>
    <s v="09:26:00 PM"/>
    <n v="42712.896527777775"/>
    <n v="0.89652777777519077"/>
    <s v="5 min"/>
    <x v="0"/>
    <s v="Cary"/>
    <s v="Cary"/>
    <x v="20"/>
    <x v="2"/>
    <x v="0"/>
  </r>
  <r>
    <n v="42713.506249999999"/>
    <n v="42713"/>
    <x v="11"/>
    <x v="0"/>
    <s v="12:09:00 PM"/>
    <n v="42713.51666666667"/>
    <n v="0.51666666667006211"/>
    <s v="15 min"/>
    <x v="0"/>
    <s v="Cary"/>
    <s v="Apex"/>
    <x v="0"/>
    <x v="2"/>
    <x v="3"/>
  </r>
  <r>
    <n v="42713.552083333336"/>
    <n v="42713"/>
    <x v="11"/>
    <x v="0"/>
    <s v="01:15:00 PM"/>
    <n v="42713.571527777778"/>
    <n v="0.57152777777810115"/>
    <s v="28 min"/>
    <x v="0"/>
    <s v="Apex"/>
    <s v="Cary"/>
    <x v="93"/>
    <x v="5"/>
    <x v="3"/>
  </r>
  <r>
    <n v="42713.84097222222"/>
    <n v="42713"/>
    <x v="11"/>
    <x v="0"/>
    <s v="08:11:00 PM"/>
    <n v="42713.856944444444"/>
    <n v="0.85694444444379769"/>
    <s v="23 min"/>
    <x v="0"/>
    <s v="Cary"/>
    <s v="Cary"/>
    <x v="58"/>
    <x v="3"/>
    <x v="0"/>
  </r>
  <r>
    <n v="42713.918749999997"/>
    <n v="42713"/>
    <x v="11"/>
    <x v="0"/>
    <s v="10:03:00 PM"/>
    <n v="42713.956250000003"/>
    <n v="0.95625000000291038"/>
    <s v="54 min"/>
    <x v="0"/>
    <s v="Cary"/>
    <s v="Cary"/>
    <x v="249"/>
    <x v="4"/>
    <x v="0"/>
  </r>
  <r>
    <n v="42714.529861111114"/>
    <n v="42714"/>
    <x v="11"/>
    <x v="1"/>
    <s v="12:43:00 PM"/>
    <n v="42714.552777777775"/>
    <n v="0.55277777777519077"/>
    <s v="33 min"/>
    <x v="0"/>
    <s v="Cary"/>
    <s v="Fuquay-Varina"/>
    <x v="204"/>
    <x v="3"/>
    <x v="3"/>
  </r>
  <r>
    <n v="42714.612500000003"/>
    <n v="42714"/>
    <x v="11"/>
    <x v="1"/>
    <s v="02:42:00 PM"/>
    <n v="42714.637499999997"/>
    <n v="0.63749999999708962"/>
    <s v="36 min"/>
    <x v="0"/>
    <s v="Fuquay-Varina"/>
    <s v="Cary"/>
    <x v="204"/>
    <x v="2"/>
    <x v="3"/>
  </r>
  <r>
    <n v="42714.761805555558"/>
    <n v="42714"/>
    <x v="11"/>
    <x v="1"/>
    <s v="06:17:00 PM"/>
    <n v="42714.768750000003"/>
    <n v="0.76875000000291038"/>
    <s v="10 min"/>
    <x v="0"/>
    <s v="Cary"/>
    <s v="Morrisville"/>
    <x v="61"/>
    <x v="0"/>
    <x v="2"/>
  </r>
  <r>
    <n v="42714.92291666667"/>
    <n v="42714"/>
    <x v="11"/>
    <x v="1"/>
    <s v="10:09:00 PM"/>
    <n v="42714.931250000001"/>
    <n v="0.93125000000145519"/>
    <s v="12 min"/>
    <x v="0"/>
    <s v="Morrisville"/>
    <s v="Cary"/>
    <x v="97"/>
    <x v="4"/>
    <x v="0"/>
  </r>
  <r>
    <n v="42715.67083333333"/>
    <n v="42715"/>
    <x v="11"/>
    <x v="5"/>
    <s v="04:06:00 PM"/>
    <n v="42715.677777777775"/>
    <n v="0.67777777777519077"/>
    <s v="10 min"/>
    <x v="0"/>
    <s v="Cary"/>
    <s v="Morrisville"/>
    <x v="61"/>
    <x v="0"/>
    <x v="2"/>
  </r>
  <r>
    <n v="42715.795138888891"/>
    <n v="42715"/>
    <x v="11"/>
    <x v="5"/>
    <s v="07:05:00 PM"/>
    <n v="42715.802083333336"/>
    <n v="0.80208333333575865"/>
    <s v="10 min"/>
    <x v="0"/>
    <s v="Morrisville"/>
    <s v="Cary"/>
    <x v="2"/>
    <x v="2"/>
    <x v="0"/>
  </r>
  <r>
    <n v="42715.908333333333"/>
    <n v="42715"/>
    <x v="11"/>
    <x v="5"/>
    <s v="09:48:00 PM"/>
    <n v="42715.913888888892"/>
    <n v="0.91388888889196096"/>
    <s v="8 min"/>
    <x v="0"/>
    <s v="Cary"/>
    <s v="Cary"/>
    <x v="102"/>
    <x v="2"/>
    <x v="0"/>
  </r>
  <r>
    <n v="42716.556944444441"/>
    <n v="42716"/>
    <x v="11"/>
    <x v="6"/>
    <s v="01:22:00 PM"/>
    <n v="42716.563888888886"/>
    <n v="0.56388888888614019"/>
    <s v="10 min"/>
    <x v="0"/>
    <s v="Cary"/>
    <s v="Cary"/>
    <x v="97"/>
    <x v="2"/>
    <x v="3"/>
  </r>
  <r>
    <n v="42716.566666666666"/>
    <n v="42716"/>
    <x v="11"/>
    <x v="6"/>
    <s v="01:36:00 PM"/>
    <n v="42716.57708333333"/>
    <n v="0.57708333332993789"/>
    <s v="15 min"/>
    <x v="0"/>
    <s v="Cary"/>
    <s v="Apex"/>
    <x v="183"/>
    <x v="0"/>
    <x v="3"/>
  </r>
  <r>
    <n v="42716.601388888892"/>
    <n v="42716"/>
    <x v="11"/>
    <x v="6"/>
    <s v="02:26:00 PM"/>
    <n v="42716.61041666667"/>
    <n v="0.61041666667006211"/>
    <s v="13 min"/>
    <x v="0"/>
    <s v="Apex"/>
    <s v="Cary"/>
    <x v="3"/>
    <x v="4"/>
    <x v="3"/>
  </r>
  <r>
    <n v="42716.743750000001"/>
    <n v="42716"/>
    <x v="11"/>
    <x v="6"/>
    <s v="05:51:00 PM"/>
    <n v="42716.750694444447"/>
    <n v="0.75069444444670808"/>
    <s v="10 min"/>
    <x v="0"/>
    <s v="Cary"/>
    <s v="Morrisville"/>
    <x v="61"/>
    <x v="0"/>
    <x v="2"/>
  </r>
  <r>
    <n v="42716.866666666669"/>
    <n v="42716"/>
    <x v="11"/>
    <x v="6"/>
    <s v="08:48:00 PM"/>
    <n v="42716.872916666667"/>
    <n v="0.87291666666715173"/>
    <s v="9 min"/>
    <x v="0"/>
    <s v="Morrisville"/>
    <s v="Cary"/>
    <x v="61"/>
    <x v="4"/>
    <x v="0"/>
  </r>
  <r>
    <n v="42717.763194444444"/>
    <n v="42717"/>
    <x v="11"/>
    <x v="2"/>
    <s v="06:19:00 PM"/>
    <n v="42717.770138888889"/>
    <n v="0.77013888888905058"/>
    <s v="10 min"/>
    <x v="0"/>
    <s v="Cary"/>
    <s v="Cary"/>
    <x v="86"/>
    <x v="2"/>
    <x v="2"/>
  </r>
  <r>
    <n v="42717.847222222219"/>
    <n v="42717"/>
    <x v="11"/>
    <x v="2"/>
    <s v="08:20:00 PM"/>
    <n v="42717.853472222225"/>
    <n v="0.85347222222480923"/>
    <s v="9 min"/>
    <x v="0"/>
    <s v="Cary"/>
    <s v="Cary"/>
    <x v="197"/>
    <x v="0"/>
    <x v="0"/>
  </r>
  <r>
    <n v="42718.702777777777"/>
    <n v="42718"/>
    <x v="11"/>
    <x v="3"/>
    <s v="04:52:00 PM"/>
    <n v="42718.715277777781"/>
    <n v="0.71527777778101154"/>
    <s v="18 min"/>
    <x v="0"/>
    <s v="Cary"/>
    <s v="Cary"/>
    <x v="37"/>
    <x v="1"/>
    <x v="2"/>
  </r>
  <r>
    <n v="42718.723611111112"/>
    <n v="42718"/>
    <x v="11"/>
    <x v="3"/>
    <s v="05:22:00 PM"/>
    <n v="42718.731944444444"/>
    <n v="0.73194444444379769"/>
    <s v="12 min"/>
    <x v="0"/>
    <s v="Cary"/>
    <s v="Cary"/>
    <x v="171"/>
    <x v="1"/>
    <x v="2"/>
  </r>
  <r>
    <n v="42718.743055555555"/>
    <n v="42718"/>
    <x v="11"/>
    <x v="3"/>
    <s v="05:50:00 PM"/>
    <n v="42718.75"/>
    <n v="0.75"/>
    <s v="10 min"/>
    <x v="0"/>
    <s v="Cary"/>
    <s v="Morrisville"/>
    <x v="61"/>
    <x v="0"/>
    <x v="2"/>
  </r>
  <r>
    <n v="42718.85"/>
    <n v="42718"/>
    <x v="11"/>
    <x v="3"/>
    <s v="08:24:00 PM"/>
    <n v="42718.861111111109"/>
    <n v="0.86111111110949423"/>
    <s v="16 min"/>
    <x v="0"/>
    <s v="Morrisville"/>
    <s v="Cary"/>
    <x v="97"/>
    <x v="4"/>
    <x v="0"/>
  </r>
  <r>
    <n v="42719.597222222219"/>
    <n v="42719"/>
    <x v="11"/>
    <x v="4"/>
    <s v="02:20:00 PM"/>
    <n v="42719.620833333334"/>
    <n v="0.62083333333430346"/>
    <s v="34 min"/>
    <x v="0"/>
    <s v="Cary"/>
    <s v="Morrisville"/>
    <x v="99"/>
    <x v="3"/>
    <x v="3"/>
  </r>
  <r>
    <n v="42721.651388888888"/>
    <n v="42721"/>
    <x v="11"/>
    <x v="1"/>
    <s v="03:38:00 PM"/>
    <n v="42721.675000000003"/>
    <n v="0.67500000000291038"/>
    <s v="34 min"/>
    <x v="0"/>
    <s v="Unknown Location"/>
    <s v="Unknown Location"/>
    <x v="2"/>
    <x v="10"/>
    <x v="2"/>
  </r>
  <r>
    <n v="42721.72152777778"/>
    <n v="42721"/>
    <x v="11"/>
    <x v="1"/>
    <s v="05:19:00 PM"/>
    <n v="42721.749305555553"/>
    <n v="0.74930555555329192"/>
    <s v="40 min"/>
    <x v="0"/>
    <s v="Unknown Location"/>
    <s v="Unknown Location"/>
    <x v="60"/>
    <x v="5"/>
    <x v="2"/>
  </r>
  <r>
    <n v="42722.543749999997"/>
    <n v="42722"/>
    <x v="11"/>
    <x v="5"/>
    <s v="01:03:00 PM"/>
    <n v="42722.570138888892"/>
    <n v="0.57013888889196096"/>
    <s v="38 min"/>
    <x v="0"/>
    <s v="Unknown Location"/>
    <s v="Unknown Location"/>
    <x v="106"/>
    <x v="2"/>
    <x v="3"/>
  </r>
  <r>
    <n v="42722.693055555559"/>
    <n v="42722"/>
    <x v="11"/>
    <x v="5"/>
    <s v="04:38:00 PM"/>
    <n v="42722.725694444445"/>
    <n v="0.72569444444525288"/>
    <s v="47 min"/>
    <x v="0"/>
    <s v="Unknown Location"/>
    <s v="Unknown Location"/>
    <x v="250"/>
    <x v="2"/>
    <x v="2"/>
  </r>
  <r>
    <n v="42722.857638888891"/>
    <n v="42722"/>
    <x v="11"/>
    <x v="5"/>
    <s v="08:35:00 PM"/>
    <n v="42722.87777777778"/>
    <n v="0.87777777777955635"/>
    <s v="29 min"/>
    <x v="0"/>
    <s v="Unknown Location"/>
    <s v="Unknown Location"/>
    <x v="123"/>
    <x v="1"/>
    <x v="0"/>
  </r>
  <r>
    <n v="42723.380555555559"/>
    <n v="42723"/>
    <x v="11"/>
    <x v="6"/>
    <s v="09:08:00 AM"/>
    <n v="42723.4"/>
    <n v="0.40000000000145519"/>
    <s v="28 min"/>
    <x v="0"/>
    <s v="Unknown Location"/>
    <s v="Islamabad"/>
    <x v="55"/>
    <x v="2"/>
    <x v="1"/>
  </r>
  <r>
    <n v="42723.427083333336"/>
    <n v="42723"/>
    <x v="11"/>
    <x v="6"/>
    <s v="10:15:00 AM"/>
    <n v="42723.44027777778"/>
    <n v="0.44027777777955635"/>
    <s v="19 min"/>
    <x v="0"/>
    <s v="Islamabad"/>
    <s v="Rawalpindi"/>
    <x v="111"/>
    <x v="5"/>
    <x v="3"/>
  </r>
  <r>
    <n v="42723.544444444444"/>
    <n v="42723"/>
    <x v="11"/>
    <x v="6"/>
    <s v="01:04:00 PM"/>
    <n v="42723.547222222223"/>
    <n v="0.54722222222335404"/>
    <s v="4 min"/>
    <x v="0"/>
    <s v="Rawalpindi"/>
    <s v="Unknown Location"/>
    <x v="145"/>
    <x v="2"/>
    <x v="3"/>
  </r>
  <r>
    <n v="42723.558333333334"/>
    <n v="42723"/>
    <x v="11"/>
    <x v="6"/>
    <s v="01:24:00 PM"/>
    <n v="42723.565972222219"/>
    <n v="0.56597222221898846"/>
    <s v="11 min"/>
    <x v="0"/>
    <s v="Unknown Location"/>
    <s v="Unknown Location"/>
    <x v="188"/>
    <x v="1"/>
    <x v="3"/>
  </r>
  <r>
    <n v="42723.588194444441"/>
    <n v="42723"/>
    <x v="11"/>
    <x v="6"/>
    <s v="02:07:00 PM"/>
    <n v="42723.59375"/>
    <n v="0.59375"/>
    <s v="8 min"/>
    <x v="0"/>
    <s v="Unknown Location"/>
    <s v="Unknown Location"/>
    <x v="88"/>
    <x v="1"/>
    <x v="3"/>
  </r>
  <r>
    <n v="42723.595833333333"/>
    <n v="42723"/>
    <x v="11"/>
    <x v="6"/>
    <s v="02:18:00 PM"/>
    <n v="42723.605555555558"/>
    <n v="0.6055555555576575"/>
    <s v="14 min"/>
    <x v="0"/>
    <s v="Unknown Location"/>
    <s v="Unknown Location"/>
    <x v="60"/>
    <x v="1"/>
    <x v="3"/>
  </r>
  <r>
    <n v="42723.609027777777"/>
    <n v="42723"/>
    <x v="11"/>
    <x v="6"/>
    <s v="02:37:00 PM"/>
    <n v="42723.618055555555"/>
    <n v="0.61805555555474712"/>
    <s v="13 min"/>
    <x v="0"/>
    <s v="Unknown Location"/>
    <s v="Unknown Location"/>
    <x v="245"/>
    <x v="1"/>
    <x v="3"/>
  </r>
  <r>
    <n v="42723.631249999999"/>
    <n v="42723"/>
    <x v="11"/>
    <x v="6"/>
    <s v="03:09:00 PM"/>
    <n v="42723.651388888888"/>
    <n v="0.65138888888759539"/>
    <s v="29 min"/>
    <x v="0"/>
    <s v="Unknown Location"/>
    <s v="Rawalpindi"/>
    <x v="250"/>
    <x v="4"/>
    <x v="2"/>
  </r>
  <r>
    <n v="42723.701388888891"/>
    <n v="42723"/>
    <x v="11"/>
    <x v="6"/>
    <s v="04:50:00 PM"/>
    <n v="42723.714583333334"/>
    <n v="0.71458333333430346"/>
    <s v="19 min"/>
    <x v="0"/>
    <s v="Rawalpindi"/>
    <s v="Islamabad"/>
    <x v="28"/>
    <x v="4"/>
    <x v="2"/>
  </r>
  <r>
    <n v="42723.795138888891"/>
    <n v="42723"/>
    <x v="11"/>
    <x v="6"/>
    <s v="07:05:00 PM"/>
    <n v="42723.803472222222"/>
    <n v="0.80347222222189885"/>
    <s v="12 min"/>
    <x v="0"/>
    <s v="Islamabad"/>
    <s v="Unknown Location"/>
    <x v="95"/>
    <x v="1"/>
    <x v="0"/>
  </r>
  <r>
    <n v="42723.829861111109"/>
    <n v="42723"/>
    <x v="11"/>
    <x v="6"/>
    <s v="07:55:00 PM"/>
    <n v="42723.854166666664"/>
    <n v="0.85416666666424135"/>
    <s v="35 min"/>
    <x v="0"/>
    <s v="Unknown Location"/>
    <s v="Unknown Location"/>
    <x v="143"/>
    <x v="3"/>
    <x v="0"/>
  </r>
  <r>
    <n v="42724.367361111108"/>
    <n v="42724"/>
    <x v="11"/>
    <x v="2"/>
    <s v="08:49:00 AM"/>
    <n v="42724.39166666667"/>
    <n v="0.39166666667006211"/>
    <s v="35 min"/>
    <x v="0"/>
    <s v="Unknown Location"/>
    <s v="Rawalpindi"/>
    <x v="124"/>
    <x v="1"/>
    <x v="1"/>
  </r>
  <r>
    <n v="42724.4375"/>
    <n v="42724"/>
    <x v="11"/>
    <x v="2"/>
    <s v="10:30:00 AM"/>
    <n v="42724.45"/>
    <n v="0.44999999999708962"/>
    <s v="18 min"/>
    <x v="0"/>
    <s v="Rawalpindi"/>
    <s v="Rawalpindi"/>
    <x v="171"/>
    <x v="2"/>
    <x v="3"/>
  </r>
  <r>
    <n v="42724.479166666664"/>
    <n v="42724"/>
    <x v="11"/>
    <x v="2"/>
    <s v="11:30:00 AM"/>
    <n v="42724.511805555558"/>
    <n v="0.5118055555576575"/>
    <s v="47 min"/>
    <x v="0"/>
    <s v="Rawalpindi"/>
    <s v="Unknown Location"/>
    <x v="49"/>
    <x v="3"/>
    <x v="3"/>
  </r>
  <r>
    <n v="42724.551388888889"/>
    <n v="42724"/>
    <x v="11"/>
    <x v="2"/>
    <s v="01:14:00 PM"/>
    <n v="42724.555555555555"/>
    <n v="0.55555555555474712"/>
    <s v="6 min"/>
    <x v="0"/>
    <s v="Unknown Location"/>
    <s v="Unknown Location"/>
    <x v="15"/>
    <x v="2"/>
    <x v="3"/>
  </r>
  <r>
    <n v="42724.57916666667"/>
    <n v="42724"/>
    <x v="11"/>
    <x v="2"/>
    <s v="01:54:00 PM"/>
    <n v="42724.595138888886"/>
    <n v="0.59513888888614019"/>
    <s v="23 min"/>
    <x v="0"/>
    <s v="Unknown Location"/>
    <s v="Islamabad"/>
    <x v="48"/>
    <x v="5"/>
    <x v="3"/>
  </r>
  <r>
    <n v="42724.676388888889"/>
    <n v="42724"/>
    <x v="11"/>
    <x v="2"/>
    <s v="04:14:00 PM"/>
    <n v="42724.683333333334"/>
    <n v="0.68333333333430346"/>
    <s v="10 min"/>
    <x v="0"/>
    <s v="Islamabad"/>
    <s v="Islamabad"/>
    <x v="18"/>
    <x v="2"/>
    <x v="2"/>
  </r>
  <r>
    <n v="42724.705555555556"/>
    <n v="42724"/>
    <x v="11"/>
    <x v="2"/>
    <s v="04:56:00 PM"/>
    <n v="42724.713194444441"/>
    <n v="0.71319444444088731"/>
    <s v="11 min"/>
    <x v="0"/>
    <s v="Islamabad"/>
    <s v="Islamabad"/>
    <x v="34"/>
    <x v="2"/>
    <x v="2"/>
  </r>
  <r>
    <n v="42724.782638888886"/>
    <n v="42724"/>
    <x v="11"/>
    <x v="2"/>
    <s v="06:47:00 PM"/>
    <n v="42724.806250000001"/>
    <n v="0.80625000000145519"/>
    <s v="34 min"/>
    <x v="0"/>
    <s v="Islamabad"/>
    <s v="Unknown Location"/>
    <x v="239"/>
    <x v="4"/>
    <x v="2"/>
  </r>
  <r>
    <n v="42725.320833333331"/>
    <n v="42725"/>
    <x v="11"/>
    <x v="3"/>
    <s v="07:42:00 AM"/>
    <n v="42725.340277777781"/>
    <n v="0.34027777778101154"/>
    <s v="28 min"/>
    <x v="0"/>
    <s v="Unknown Location"/>
    <s v="Unknown Location"/>
    <x v="70"/>
    <x v="3"/>
    <x v="1"/>
  </r>
  <r>
    <n v="42725.426388888889"/>
    <n v="42725"/>
    <x v="11"/>
    <x v="3"/>
    <s v="10:14:00 AM"/>
    <n v="42725.4375"/>
    <n v="0.4375"/>
    <s v="16 min"/>
    <x v="0"/>
    <s v="Unknown Location"/>
    <s v="Islamabad"/>
    <x v="106"/>
    <x v="2"/>
    <x v="3"/>
  </r>
  <r>
    <n v="42725.482638888891"/>
    <n v="42725"/>
    <x v="11"/>
    <x v="3"/>
    <s v="11:35:00 AM"/>
    <n v="42725.492361111108"/>
    <n v="0.49236111110803904"/>
    <s v="14 min"/>
    <x v="0"/>
    <s v="Islamabad"/>
    <s v="Unknown Location"/>
    <x v="85"/>
    <x v="0"/>
    <x v="3"/>
  </r>
  <r>
    <n v="42725.535416666666"/>
    <n v="42725"/>
    <x v="11"/>
    <x v="3"/>
    <s v="12:51:00 PM"/>
    <n v="42725.564583333333"/>
    <n v="0.56458333333284827"/>
    <s v="42 min"/>
    <x v="0"/>
    <s v="Unknown Location"/>
    <s v="Unknown Location"/>
    <x v="206"/>
    <x v="3"/>
    <x v="3"/>
  </r>
  <r>
    <n v="42725.651388888888"/>
    <n v="42725"/>
    <x v="11"/>
    <x v="3"/>
    <s v="03:38:00 PM"/>
    <n v="42725.65902777778"/>
    <n v="0.65902777777955635"/>
    <s v="11 min"/>
    <x v="0"/>
    <s v="Unknown Location"/>
    <s v="Unknown Location"/>
    <x v="20"/>
    <x v="2"/>
    <x v="2"/>
  </r>
  <r>
    <n v="42725.663194444445"/>
    <n v="42725"/>
    <x v="11"/>
    <x v="3"/>
    <s v="03:55:00 PM"/>
    <n v="42725.670138888891"/>
    <n v="0.67013888889050577"/>
    <s v="10 min"/>
    <x v="0"/>
    <s v="Unknown Location"/>
    <s v="Islamabad"/>
    <x v="102"/>
    <x v="2"/>
    <x v="2"/>
  </r>
  <r>
    <n v="42725.739583333336"/>
    <n v="42725"/>
    <x v="11"/>
    <x v="3"/>
    <s v="05:45:00 PM"/>
    <n v="42725.745833333334"/>
    <n v="0.74583333333430346"/>
    <s v="9 min"/>
    <x v="0"/>
    <s v="Islamabad"/>
    <s v="Islamabad"/>
    <x v="102"/>
    <x v="3"/>
    <x v="2"/>
  </r>
  <r>
    <n v="42725.749305555553"/>
    <n v="42725"/>
    <x v="11"/>
    <x v="3"/>
    <s v="05:59:00 PM"/>
    <n v="42725.771527777775"/>
    <n v="0.77152777777519077"/>
    <s v="32 min"/>
    <x v="0"/>
    <s v="Islamabad"/>
    <s v="Unknown Location"/>
    <x v="28"/>
    <x v="4"/>
    <x v="2"/>
  </r>
  <r>
    <n v="42725.825694444444"/>
    <n v="42725"/>
    <x v="11"/>
    <x v="3"/>
    <s v="07:49:00 PM"/>
    <n v="42725.857638888891"/>
    <n v="0.85763888889050577"/>
    <s v="46 min"/>
    <x v="0"/>
    <s v="Unknown Location"/>
    <s v="Rawalpindi"/>
    <x v="124"/>
    <x v="3"/>
    <x v="0"/>
  </r>
  <r>
    <n v="42725.87222222222"/>
    <n v="42725"/>
    <x v="11"/>
    <x v="3"/>
    <s v="08:56:00 PM"/>
    <n v="42725.987500000003"/>
    <n v="0.98750000000291038"/>
    <s v="166 min"/>
    <x v="0"/>
    <s v="Rawalpindi"/>
    <s v="Unknown Location"/>
    <x v="251"/>
    <x v="3"/>
    <x v="0"/>
  </r>
  <r>
    <n v="42726.652777777781"/>
    <n v="42726"/>
    <x v="11"/>
    <x v="4"/>
    <s v="03:40:00 PM"/>
    <n v="42726.693055555559"/>
    <n v="0.69305555555911269"/>
    <s v="58 min"/>
    <x v="0"/>
    <s v="Unknown Location"/>
    <s v="Unknown Location"/>
    <x v="252"/>
    <x v="3"/>
    <x v="2"/>
  </r>
  <r>
    <n v="42726.711111111108"/>
    <n v="42726"/>
    <x v="11"/>
    <x v="4"/>
    <s v="05:04:00 PM"/>
    <n v="42726.722222222219"/>
    <n v="0.72222222221898846"/>
    <s v="16 min"/>
    <x v="0"/>
    <s v="Unknown Location"/>
    <s v="Unknown Location"/>
    <x v="60"/>
    <x v="4"/>
    <x v="2"/>
  </r>
  <r>
    <n v="42726.727083333331"/>
    <n v="42726"/>
    <x v="11"/>
    <x v="4"/>
    <s v="05:27:00 PM"/>
    <n v="42726.745138888888"/>
    <n v="0.74513888888759539"/>
    <s v="26 min"/>
    <x v="0"/>
    <s v="Unknown Location"/>
    <s v="Unknown Location"/>
    <x v="175"/>
    <x v="3"/>
    <x v="2"/>
  </r>
  <r>
    <n v="42726.74722222222"/>
    <n v="42726"/>
    <x v="11"/>
    <x v="4"/>
    <s v="05:56:00 PM"/>
    <n v="42726.770138888889"/>
    <n v="0.77013888888905058"/>
    <s v="33 min"/>
    <x v="0"/>
    <s v="Unknown Location"/>
    <s v="Unknown Location"/>
    <x v="253"/>
    <x v="3"/>
    <x v="2"/>
  </r>
  <r>
    <n v="42726.771527777775"/>
    <n v="42726"/>
    <x v="11"/>
    <x v="4"/>
    <s v="06:31:00 PM"/>
    <n v="42726.775694444441"/>
    <n v="0.77569444444088731"/>
    <s v="6 min"/>
    <x v="0"/>
    <s v="Unknown Location"/>
    <s v="Unknown Location"/>
    <x v="57"/>
    <x v="2"/>
    <x v="2"/>
  </r>
  <r>
    <n v="42726.776388888888"/>
    <n v="42726"/>
    <x v="11"/>
    <x v="4"/>
    <s v="06:38:00 PM"/>
    <n v="42726.782638888886"/>
    <n v="0.78263888888614019"/>
    <s v="9 min"/>
    <x v="0"/>
    <s v="Unknown Location"/>
    <s v="Unknown Location"/>
    <x v="190"/>
    <x v="5"/>
    <x v="2"/>
  </r>
  <r>
    <n v="42726.794444444444"/>
    <n v="42726"/>
    <x v="11"/>
    <x v="4"/>
    <s v="07:04:00 PM"/>
    <n v="42726.826388888891"/>
    <n v="0.82638888889050577"/>
    <s v="46 min"/>
    <x v="0"/>
    <s v="Unknown Location"/>
    <s v="Lahore"/>
    <x v="170"/>
    <x v="3"/>
    <x v="0"/>
  </r>
  <r>
    <n v="42726.90347222222"/>
    <n v="42726"/>
    <x v="11"/>
    <x v="4"/>
    <s v="09:41:00 PM"/>
    <n v="42726.911805555559"/>
    <n v="0.91180555555911269"/>
    <s v="12 min"/>
    <x v="0"/>
    <s v="Lahore"/>
    <s v="Lahore"/>
    <x v="102"/>
    <x v="0"/>
    <x v="0"/>
  </r>
  <r>
    <n v="42726.977083333331"/>
    <n v="42726"/>
    <x v="11"/>
    <x v="4"/>
    <s v="11:27:00 PM"/>
    <n v="42726.980555555558"/>
    <n v="0.9805555555576575"/>
    <s v="5 min"/>
    <x v="0"/>
    <s v="Lahore"/>
    <s v="Lahore"/>
    <x v="102"/>
    <x v="4"/>
    <x v="0"/>
  </r>
  <r>
    <n v="42727.38958333333"/>
    <n v="42727"/>
    <x v="11"/>
    <x v="0"/>
    <s v="09:21:00 AM"/>
    <n v="42727.40347222222"/>
    <n v="0.40347222222044365"/>
    <s v="20 min"/>
    <x v="0"/>
    <s v="Lahore"/>
    <s v="Lahore"/>
    <x v="61"/>
    <x v="3"/>
    <x v="1"/>
  </r>
  <r>
    <n v="42727.481249999997"/>
    <n v="42727"/>
    <x v="11"/>
    <x v="0"/>
    <s v="11:33:00 AM"/>
    <n v="42727.498611111114"/>
    <n v="0.49861111111385981"/>
    <s v="25 min"/>
    <x v="0"/>
    <s v="Lahore"/>
    <s v="Unknown Location"/>
    <x v="12"/>
    <x v="3"/>
    <x v="3"/>
  </r>
  <r>
    <n v="42727.59375"/>
    <n v="42727"/>
    <x v="11"/>
    <x v="0"/>
    <s v="02:15:00 PM"/>
    <n v="42727.642361111109"/>
    <n v="0.64236111110949423"/>
    <s v="70 min"/>
    <x v="0"/>
    <s v="Unknown Location"/>
    <s v="Unknown Location"/>
    <x v="128"/>
    <x v="3"/>
    <x v="3"/>
  </r>
  <r>
    <n v="42727.682638888888"/>
    <n v="42727"/>
    <x v="11"/>
    <x v="0"/>
    <s v="04:23:00 PM"/>
    <n v="42727.69027777778"/>
    <n v="0.69027777777955635"/>
    <s v="11 min"/>
    <x v="0"/>
    <s v="Unknown Location"/>
    <s v="Unknown Location"/>
    <x v="188"/>
    <x v="2"/>
    <x v="2"/>
  </r>
  <r>
    <n v="42727.731944444444"/>
    <n v="42727"/>
    <x v="11"/>
    <x v="0"/>
    <s v="05:34:00 PM"/>
    <n v="42727.768750000003"/>
    <n v="0.76875000000291038"/>
    <s v="53 min"/>
    <x v="0"/>
    <s v="Unknown Location"/>
    <s v="Lahore"/>
    <x v="6"/>
    <x v="0"/>
    <x v="2"/>
  </r>
  <r>
    <n v="42728.321527777778"/>
    <n v="42728"/>
    <x v="11"/>
    <x v="1"/>
    <s v="07:43:00 AM"/>
    <n v="42728.336111111108"/>
    <n v="0.33611111110803904"/>
    <s v="21 min"/>
    <x v="0"/>
    <s v="Lahore"/>
    <s v="Unknown Location"/>
    <x v="98"/>
    <x v="0"/>
    <x v="1"/>
  </r>
  <r>
    <n v="42728.388194444444"/>
    <n v="42728"/>
    <x v="11"/>
    <x v="1"/>
    <s v="09:19:00 AM"/>
    <n v="42728.413194444445"/>
    <n v="0.41319444444525288"/>
    <s v="36 min"/>
    <x v="0"/>
    <s v="Unknown Location"/>
    <s v="Lahore"/>
    <x v="254"/>
    <x v="0"/>
    <x v="1"/>
  </r>
  <r>
    <n v="42728.44027777778"/>
    <n v="42728"/>
    <x v="11"/>
    <x v="1"/>
    <s v="10:34:00 AM"/>
    <n v="42728.453472222223"/>
    <n v="0.45347222222335404"/>
    <s v="19 min"/>
    <x v="0"/>
    <s v="Lahore"/>
    <s v="Lahore"/>
    <x v="60"/>
    <x v="0"/>
    <x v="3"/>
  </r>
  <r>
    <n v="42728.535416666666"/>
    <n v="42728"/>
    <x v="11"/>
    <x v="1"/>
    <s v="12:51:00 PM"/>
    <n v="42728.536805555559"/>
    <n v="0.53680555555911269"/>
    <s v="2 min"/>
    <x v="0"/>
    <s v="Lahore"/>
    <s v="Lahore"/>
    <x v="14"/>
    <x v="2"/>
    <x v="3"/>
  </r>
  <r>
    <n v="42728.547222222223"/>
    <n v="42728"/>
    <x v="11"/>
    <x v="1"/>
    <s v="01:08:00 PM"/>
    <n v="42728.561805555553"/>
    <n v="0.56180555555329192"/>
    <s v="21 min"/>
    <x v="0"/>
    <s v="Lahore"/>
    <s v="Lahore"/>
    <x v="78"/>
    <x v="2"/>
    <x v="3"/>
  </r>
  <r>
    <n v="42728.716666666667"/>
    <n v="42728"/>
    <x v="11"/>
    <x v="1"/>
    <s v="05:12:00 PM"/>
    <n v="42728.727083333331"/>
    <n v="0.72708333333139308"/>
    <s v="15 min"/>
    <x v="0"/>
    <s v="Lahore"/>
    <s v="Lahore"/>
    <x v="15"/>
    <x v="2"/>
    <x v="2"/>
  </r>
  <r>
    <n v="42728.800000000003"/>
    <n v="42728"/>
    <x v="11"/>
    <x v="1"/>
    <s v="07:12:00 PM"/>
    <n v="42728.810416666667"/>
    <n v="0.81041666666715173"/>
    <s v="15 min"/>
    <x v="0"/>
    <s v="Lahore"/>
    <s v="Lahore"/>
    <x v="163"/>
    <x v="0"/>
    <x v="0"/>
  </r>
  <r>
    <n v="42728.919444444444"/>
    <n v="42728"/>
    <x v="11"/>
    <x v="1"/>
    <s v="10:04:00 PM"/>
    <n v="42728.92291666667"/>
    <n v="0.92291666667006211"/>
    <s v="5 min"/>
    <x v="0"/>
    <s v="Lahore"/>
    <s v="Lahore"/>
    <x v="186"/>
    <x v="2"/>
    <x v="0"/>
  </r>
  <r>
    <n v="42729.006944444445"/>
    <n v="42729"/>
    <x v="11"/>
    <x v="5"/>
    <s v="12:10:00 AM"/>
    <n v="42729.009722222225"/>
    <n v="9.7222222248092294E-3"/>
    <s v="4 min"/>
    <x v="0"/>
    <s v="Lahore"/>
    <s v="Lahore"/>
    <x v="186"/>
    <x v="2"/>
    <x v="1"/>
  </r>
  <r>
    <n v="42729.802083333336"/>
    <n v="42729"/>
    <x v="11"/>
    <x v="5"/>
    <s v="07:15:00 PM"/>
    <n v="42729.80972222222"/>
    <n v="0.80972222222044365"/>
    <s v="11 min"/>
    <x v="0"/>
    <s v="Lahore"/>
    <s v="Lahore"/>
    <x v="33"/>
    <x v="0"/>
    <x v="0"/>
  </r>
  <r>
    <n v="42729.915277777778"/>
    <n v="42729"/>
    <x v="11"/>
    <x v="5"/>
    <s v="09:58:00 PM"/>
    <n v="42729.919444444444"/>
    <n v="0.91944444444379769"/>
    <s v="6 min"/>
    <x v="0"/>
    <s v="Lahore"/>
    <s v="Lahore"/>
    <x v="33"/>
    <x v="0"/>
    <x v="0"/>
  </r>
  <r>
    <n v="42730.354166666664"/>
    <n v="42730"/>
    <x v="11"/>
    <x v="6"/>
    <s v="08:30:00 AM"/>
    <n v="42730.361805555556"/>
    <n v="0.36180555555620231"/>
    <s v="11 min"/>
    <x v="0"/>
    <s v="Lahore"/>
    <s v="Lahore"/>
    <x v="57"/>
    <x v="0"/>
    <x v="1"/>
  </r>
  <r>
    <n v="42730.378472222219"/>
    <n v="42730"/>
    <x v="11"/>
    <x v="6"/>
    <s v="09:05:00 AM"/>
    <n v="42730.388194444444"/>
    <n v="0.38819444444379769"/>
    <s v="14 min"/>
    <x v="0"/>
    <s v="Lahore"/>
    <s v="Lahore"/>
    <x v="12"/>
    <x v="4"/>
    <x v="1"/>
  </r>
  <r>
    <n v="42730.427083333336"/>
    <n v="42730"/>
    <x v="11"/>
    <x v="6"/>
    <s v="10:15:00 AM"/>
    <n v="42730.441666666666"/>
    <n v="0.44166666666569654"/>
    <s v="21 min"/>
    <x v="0"/>
    <s v="Lahore"/>
    <s v="Lahore"/>
    <x v="55"/>
    <x v="4"/>
    <x v="3"/>
  </r>
  <r>
    <n v="42730.478472222225"/>
    <n v="42730"/>
    <x v="11"/>
    <x v="6"/>
    <s v="11:29:00 AM"/>
    <n v="42730.487500000003"/>
    <n v="0.48750000000291038"/>
    <s v="13 min"/>
    <x v="0"/>
    <s v="Lahore"/>
    <s v="Lahore"/>
    <x v="103"/>
    <x v="4"/>
    <x v="3"/>
  </r>
  <r>
    <n v="42730.54791666667"/>
    <n v="42730"/>
    <x v="11"/>
    <x v="6"/>
    <s v="01:09:00 PM"/>
    <n v="42730.571527777778"/>
    <n v="0.57152777777810115"/>
    <s v="34 min"/>
    <x v="0"/>
    <s v="Lahore"/>
    <s v="Unknown Location"/>
    <x v="150"/>
    <x v="3"/>
    <x v="3"/>
  </r>
  <r>
    <n v="42731.293055555558"/>
    <n v="42731"/>
    <x v="11"/>
    <x v="2"/>
    <s v="07:02:00 AM"/>
    <n v="42731.301388888889"/>
    <n v="0.30138888888905058"/>
    <s v="12 min"/>
    <x v="0"/>
    <s v="Kar?chi"/>
    <s v="Kar?chi"/>
    <x v="106"/>
    <x v="5"/>
    <x v="1"/>
  </r>
  <r>
    <n v="42731.359027777777"/>
    <n v="42731"/>
    <x v="11"/>
    <x v="2"/>
    <s v="08:37:00 AM"/>
    <n v="42731.374305555553"/>
    <n v="0.37430555555329192"/>
    <s v="22 min"/>
    <x v="0"/>
    <s v="Kar?chi"/>
    <s v="Kar?chi"/>
    <x v="1"/>
    <x v="0"/>
    <x v="1"/>
  </r>
  <r>
    <n v="42731.536805555559"/>
    <n v="42731"/>
    <x v="11"/>
    <x v="2"/>
    <s v="12:53:00 PM"/>
    <n v="42731.539583333331"/>
    <n v="0.53958333333139308"/>
    <s v="4 min"/>
    <x v="0"/>
    <s v="Kar?chi"/>
    <s v="Kar?chi"/>
    <x v="186"/>
    <x v="0"/>
    <x v="3"/>
  </r>
  <r>
    <n v="42731.617361111108"/>
    <n v="42731"/>
    <x v="11"/>
    <x v="2"/>
    <s v="02:49:00 PM"/>
    <n v="42731.627083333333"/>
    <n v="0.62708333333284827"/>
    <s v="14 min"/>
    <x v="0"/>
    <s v="Kar?chi"/>
    <s v="Unknown Location"/>
    <x v="97"/>
    <x v="4"/>
    <x v="3"/>
  </r>
  <r>
    <n v="42731.69027777778"/>
    <n v="42731"/>
    <x v="11"/>
    <x v="2"/>
    <s v="04:34:00 PM"/>
    <n v="42731.706944444442"/>
    <n v="0.7069444444423425"/>
    <s v="24 min"/>
    <x v="0"/>
    <s v="Unknown Location"/>
    <s v="Kar?chi"/>
    <x v="150"/>
    <x v="3"/>
    <x v="2"/>
  </r>
  <r>
    <n v="42731.804861111108"/>
    <n v="42731"/>
    <x v="11"/>
    <x v="2"/>
    <s v="07:19:00 PM"/>
    <n v="42731.826388888891"/>
    <n v="0.82638888889050577"/>
    <s v="31 min"/>
    <x v="0"/>
    <s v="Kar?chi"/>
    <s v="Kar?chi"/>
    <x v="47"/>
    <x v="4"/>
    <x v="0"/>
  </r>
  <r>
    <n v="42732.356944444444"/>
    <n v="42732"/>
    <x v="11"/>
    <x v="3"/>
    <s v="08:34:00 AM"/>
    <n v="42732.379166666666"/>
    <n v="0.37916666666569654"/>
    <s v="32 min"/>
    <x v="0"/>
    <s v="Kar?chi"/>
    <s v="Unknown Location"/>
    <x v="239"/>
    <x v="0"/>
    <x v="1"/>
  </r>
  <r>
    <n v="42732.487500000003"/>
    <n v="42732"/>
    <x v="11"/>
    <x v="3"/>
    <s v="11:42:00 AM"/>
    <n v="42732.508333333331"/>
    <n v="0.50833333333139308"/>
    <s v="30 min"/>
    <x v="0"/>
    <s v="Unknown Location"/>
    <s v="Kar?chi"/>
    <x v="27"/>
    <x v="2"/>
    <x v="3"/>
  </r>
  <r>
    <n v="42732.578472222223"/>
    <n v="42732"/>
    <x v="11"/>
    <x v="3"/>
    <s v="01:53:00 PM"/>
    <n v="42732.584027777775"/>
    <n v="0.58402777777519077"/>
    <s v="8 min"/>
    <x v="0"/>
    <s v="Kar?chi"/>
    <s v="Kar?chi"/>
    <x v="20"/>
    <x v="2"/>
    <x v="3"/>
  </r>
  <r>
    <n v="42732.62777777778"/>
    <n v="42732"/>
    <x v="11"/>
    <x v="3"/>
    <s v="03:04:00 PM"/>
    <n v="42732.652083333334"/>
    <n v="0.65208333333430346"/>
    <s v="35 min"/>
    <x v="0"/>
    <s v="Kar?chi"/>
    <s v="Unknown Location"/>
    <x v="65"/>
    <x v="0"/>
    <x v="2"/>
  </r>
  <r>
    <n v="42732.709722222222"/>
    <n v="42732"/>
    <x v="11"/>
    <x v="3"/>
    <s v="05:02:00 PM"/>
    <n v="42732.719444444447"/>
    <n v="0.71944444444670808"/>
    <s v="14 min"/>
    <x v="0"/>
    <s v="Unknown Location"/>
    <s v="Kar?chi"/>
    <x v="183"/>
    <x v="2"/>
    <x v="2"/>
  </r>
  <r>
    <n v="42732.772916666669"/>
    <n v="42732"/>
    <x v="11"/>
    <x v="3"/>
    <s v="06:33:00 PM"/>
    <n v="42732.788888888892"/>
    <n v="0.78888888889196096"/>
    <s v="23 min"/>
    <x v="0"/>
    <s v="Kar?chi"/>
    <s v="Kar?chi"/>
    <x v="103"/>
    <x v="2"/>
    <x v="2"/>
  </r>
  <r>
    <n v="42732.947222222225"/>
    <n v="42732"/>
    <x v="11"/>
    <x v="3"/>
    <s v="10:44:00 PM"/>
    <n v="42732.970833333333"/>
    <n v="0.97083333333284827"/>
    <s v="34 min"/>
    <x v="0"/>
    <s v="Kar?chi"/>
    <s v="Kar?chi"/>
    <x v="0"/>
    <x v="2"/>
    <x v="0"/>
  </r>
  <r>
    <n v="42733.03402777778"/>
    <n v="42733"/>
    <x v="11"/>
    <x v="4"/>
    <s v="12:49:00 AM"/>
    <n v="42733.04583333333"/>
    <n v="4.5833333329937886E-2"/>
    <s v="17 min"/>
    <x v="0"/>
    <s v="Kar?chi"/>
    <s v="Kar?chi"/>
    <x v="103"/>
    <x v="2"/>
    <x v="1"/>
  </r>
  <r>
    <n v="42733.405555555553"/>
    <n v="42733"/>
    <x v="11"/>
    <x v="4"/>
    <s v="09:44:00 AM"/>
    <n v="42733.421527777777"/>
    <n v="0.42152777777664596"/>
    <s v="23 min"/>
    <x v="0"/>
    <s v="Kar?chi"/>
    <s v="Unknown Location"/>
    <x v="175"/>
    <x v="0"/>
    <x v="1"/>
  </r>
  <r>
    <n v="42733.477777777778"/>
    <n v="42733"/>
    <x v="11"/>
    <x v="4"/>
    <s v="11:28:00 AM"/>
    <n v="42733.5"/>
    <n v="0.5"/>
    <s v="32 min"/>
    <x v="0"/>
    <s v="Unknown Location"/>
    <s v="Kar?chi"/>
    <x v="113"/>
    <x v="0"/>
    <x v="3"/>
  </r>
  <r>
    <n v="42733.517361111109"/>
    <n v="42733"/>
    <x v="11"/>
    <x v="4"/>
    <s v="12:25:00 PM"/>
    <n v="42733.522916666669"/>
    <n v="0.52291666666860692"/>
    <s v="8 min"/>
    <x v="0"/>
    <s v="Kar?chi"/>
    <s v="Kar?chi"/>
    <x v="34"/>
    <x v="2"/>
    <x v="3"/>
  </r>
  <r>
    <n v="42733.553472222222"/>
    <n v="42733"/>
    <x v="11"/>
    <x v="4"/>
    <s v="01:17:00 PM"/>
    <n v="42733.558333333334"/>
    <n v="0.55833333333430346"/>
    <s v="7 min"/>
    <x v="0"/>
    <s v="Kar?chi"/>
    <s v="Kar?chi"/>
    <x v="53"/>
    <x v="2"/>
    <x v="3"/>
  </r>
  <r>
    <n v="42733.580555555556"/>
    <n v="42733"/>
    <x v="11"/>
    <x v="4"/>
    <s v="01:56:00 PM"/>
    <n v="42733.59097222222"/>
    <n v="0.59097222222044365"/>
    <s v="15 min"/>
    <x v="0"/>
    <s v="Kar?chi"/>
    <s v="Kar?chi"/>
    <x v="197"/>
    <x v="10"/>
    <x v="3"/>
  </r>
  <r>
    <n v="42733.612500000003"/>
    <n v="42733"/>
    <x v="11"/>
    <x v="4"/>
    <s v="02:42:00 PM"/>
    <n v="42733.623611111114"/>
    <n v="0.62361111111385981"/>
    <s v="16 min"/>
    <x v="0"/>
    <s v="Kar?chi"/>
    <s v="Kar?chi"/>
    <x v="59"/>
    <x v="6"/>
    <x v="3"/>
  </r>
  <r>
    <n v="42733.628472222219"/>
    <n v="42733"/>
    <x v="11"/>
    <x v="4"/>
    <s v="03:05:00 PM"/>
    <n v="42733.636111111111"/>
    <n v="0.63611111111094942"/>
    <s v="11 min"/>
    <x v="0"/>
    <s v="Kar?chi"/>
    <s v="Kar?chi"/>
    <x v="188"/>
    <x v="2"/>
    <x v="2"/>
  </r>
  <r>
    <n v="42733.790972222225"/>
    <n v="42733"/>
    <x v="11"/>
    <x v="4"/>
    <s v="06:59:00 PM"/>
    <n v="42733.801388888889"/>
    <n v="0.80138888888905058"/>
    <s v="15 min"/>
    <x v="0"/>
    <s v="Kar?chi"/>
    <s v="Unknown Location"/>
    <x v="61"/>
    <x v="0"/>
    <x v="2"/>
  </r>
  <r>
    <n v="42733.826388888891"/>
    <n v="42733"/>
    <x v="11"/>
    <x v="4"/>
    <s v="07:50:00 PM"/>
    <n v="42733.840277777781"/>
    <n v="0.84027777778101154"/>
    <s v="20 min"/>
    <x v="0"/>
    <s v="Unknown Location"/>
    <s v="Kar?chi"/>
    <x v="197"/>
    <x v="4"/>
    <x v="0"/>
  </r>
  <r>
    <n v="42733.84375"/>
    <n v="42733"/>
    <x v="11"/>
    <x v="4"/>
    <s v="08:15:00 PM"/>
    <n v="42733.864583333336"/>
    <n v="0.86458333333575865"/>
    <s v="30 min"/>
    <x v="0"/>
    <s v="Kar?chi"/>
    <s v="Kar?chi"/>
    <x v="28"/>
    <x v="3"/>
    <x v="0"/>
  </r>
  <r>
    <n v="42733.870138888888"/>
    <n v="42733"/>
    <x v="11"/>
    <x v="4"/>
    <s v="08:53:00 PM"/>
    <n v="42733.904166666667"/>
    <n v="0.90416666666715173"/>
    <s v="49 min"/>
    <x v="0"/>
    <s v="Kar?chi"/>
    <s v="Unknown Location"/>
    <x v="13"/>
    <x v="1"/>
    <x v="0"/>
  </r>
  <r>
    <n v="42733.968055555553"/>
    <n v="42733"/>
    <x v="11"/>
    <x v="4"/>
    <s v="11:14:00 PM"/>
    <n v="42733.990972222222"/>
    <n v="0.99097222222189885"/>
    <s v="33 min"/>
    <x v="0"/>
    <s v="Unknown Location"/>
    <s v="Kar?chi"/>
    <x v="39"/>
    <x v="1"/>
    <x v="0"/>
  </r>
  <r>
    <n v="42734.427083333336"/>
    <n v="42734"/>
    <x v="11"/>
    <x v="0"/>
    <s v="10:15:00 AM"/>
    <n v="42734.439583333333"/>
    <n v="0.43958333333284827"/>
    <s v="18 min"/>
    <x v="0"/>
    <s v="Kar?chi"/>
    <s v="Kar?chi"/>
    <x v="109"/>
    <x v="2"/>
    <x v="3"/>
  </r>
  <r>
    <n v="42734.479861111111"/>
    <n v="42734"/>
    <x v="11"/>
    <x v="0"/>
    <s v="11:31:00 AM"/>
    <n v="42734.49722222222"/>
    <n v="0.49722222222044365"/>
    <s v="25 min"/>
    <x v="0"/>
    <s v="Kar?chi"/>
    <s v="Kar?chi"/>
    <x v="163"/>
    <x v="2"/>
    <x v="3"/>
  </r>
  <r>
    <n v="42734.65347222222"/>
    <n v="42734"/>
    <x v="11"/>
    <x v="0"/>
    <s v="03:41:00 PM"/>
    <n v="42734.668749999997"/>
    <n v="0.66874999999708962"/>
    <s v="22 min"/>
    <x v="0"/>
    <s v="Kar?chi"/>
    <s v="Kar?chi"/>
    <x v="43"/>
    <x v="2"/>
    <x v="2"/>
  </r>
  <r>
    <n v="42734.697916666664"/>
    <n v="42734"/>
    <x v="11"/>
    <x v="0"/>
    <s v="04:45:00 PM"/>
    <n v="42734.713888888888"/>
    <n v="0.71388888888759539"/>
    <s v="23 min"/>
    <x v="0"/>
    <s v="Kar?chi"/>
    <s v="Kar?chi"/>
    <x v="43"/>
    <x v="3"/>
    <x v="2"/>
  </r>
  <r>
    <n v="42734.962500000001"/>
    <n v="42734"/>
    <x v="11"/>
    <x v="0"/>
    <s v="11:06:00 PM"/>
    <n v="42734.965277777781"/>
    <n v="0.96527777778101154"/>
    <s v="4 min"/>
    <x v="0"/>
    <s v="Kar?chi"/>
    <s v="Kar?chi"/>
    <x v="7"/>
    <x v="4"/>
    <x v="0"/>
  </r>
  <r>
    <n v="42735.046527777777"/>
    <n v="42735"/>
    <x v="11"/>
    <x v="1"/>
    <s v="01:07:00 AM"/>
    <n v="42735.051388888889"/>
    <n v="5.1388888889050577E-2"/>
    <s v="7 min"/>
    <x v="0"/>
    <s v="Kar?chi"/>
    <s v="Kar?chi"/>
    <x v="145"/>
    <x v="3"/>
    <x v="1"/>
  </r>
  <r>
    <n v="42735.558333333334"/>
    <n v="42735"/>
    <x v="11"/>
    <x v="1"/>
    <s v="01:24:00 PM"/>
    <n v="42735.570833333331"/>
    <n v="0.57083333333139308"/>
    <s v="18 min"/>
    <x v="0"/>
    <s v="Kar?chi"/>
    <s v="Unknown Location"/>
    <x v="25"/>
    <x v="5"/>
    <x v="3"/>
  </r>
  <r>
    <n v="42735.627083333333"/>
    <n v="42735"/>
    <x v="11"/>
    <x v="1"/>
    <s v="03:03:00 PM"/>
    <n v="42735.651388888888"/>
    <n v="0.65138888888759539"/>
    <s v="35 min"/>
    <x v="0"/>
    <s v="Unknown Location"/>
    <s v="Unknown Location"/>
    <x v="206"/>
    <x v="3"/>
    <x v="2"/>
  </r>
  <r>
    <n v="42735.897222222222"/>
    <n v="42735"/>
    <x v="11"/>
    <x v="1"/>
    <s v="09:32:00 PM"/>
    <n v="42735.909722222219"/>
    <n v="0.90972222221898846"/>
    <s v="18 min"/>
    <x v="0"/>
    <s v="Katunayake"/>
    <s v="Gampaha"/>
    <x v="13"/>
    <x v="5"/>
    <x v="0"/>
  </r>
  <r>
    <n v="42735.922222222223"/>
    <n v="42735"/>
    <x v="11"/>
    <x v="1"/>
    <s v="10:08:00 PM"/>
    <n v="42735.993750000001"/>
    <n v="0.99375000000145519"/>
    <s v="103 min"/>
    <x v="0"/>
    <s v="Gampaha"/>
    <s v="Ilukwatta"/>
    <x v="255"/>
    <x v="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E8F45D-E30B-4A91-97E5-A2EC605152A8}" name="category wise book" cacheId="0" applyNumberFormats="0" applyBorderFormats="0" applyFontFormats="0" applyPatternFormats="0" applyAlignmentFormats="0" applyWidthHeightFormats="1" dataCaption="Values" updatedVersion="7" minRefreshableVersion="3" useAutoFormatting="1" rowGrandTotals="0" itemPrintTitles="1" createdVersion="8" indent="0" compact="0" compactData="0" multipleFieldFilters="0" chartFormat="31">
  <location ref="A37:B39" firstHeaderRow="1" firstDataRow="1" firstDataCol="1"/>
  <pivotFields count="14">
    <pivotField compact="0" numFmtId="22" outline="0" showAll="0"/>
    <pivotField compact="0" numFmtId="14" outline="0" showAll="0"/>
    <pivotField compact="0" outline="0" showAll="0">
      <items count="13">
        <item h="1" x="0"/>
        <item h="1" x="1"/>
        <item x="2"/>
        <item h="1" x="3"/>
        <item h="1" x="4"/>
        <item h="1" x="5"/>
        <item h="1" x="6"/>
        <item h="1" x="7"/>
        <item h="1" x="8"/>
        <item h="1" x="9"/>
        <item h="1" x="10"/>
        <item h="1" x="11"/>
        <item t="default"/>
      </items>
    </pivotField>
    <pivotField compact="0" outline="0" showAll="0"/>
    <pivotField compact="0" numFmtId="164" outline="0" showAll="0"/>
    <pivotField compact="0" numFmtId="22" outline="0" showAll="0"/>
    <pivotField compact="0" numFmtId="164" outline="0" showAll="0"/>
    <pivotField compact="0" outline="0" showAll="0"/>
    <pivotField axis="axisRow" dataField="1"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s>
  <rowFields count="1">
    <field x="8"/>
  </rowFields>
  <rowItems count="2">
    <i>
      <x/>
    </i>
    <i>
      <x v="1"/>
    </i>
  </rowItems>
  <colItems count="1">
    <i/>
  </colItems>
  <dataFields count="1">
    <dataField name="Count of CATEGORY" fld="8" subtotal="count" baseField="0" baseItem="0"/>
  </dataFields>
  <chartFormats count="69">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8" count="1" selected="0">
            <x v="0"/>
          </reference>
        </references>
      </pivotArea>
    </chartFormat>
    <chartFormat chart="1" format="5">
      <pivotArea type="data" outline="0" fieldPosition="0">
        <references count="2">
          <reference field="4294967294" count="1" selected="0">
            <x v="0"/>
          </reference>
          <reference field="8"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8" count="1" selected="0">
            <x v="0"/>
          </reference>
        </references>
      </pivotArea>
    </chartFormat>
    <chartFormat chart="2" format="8">
      <pivotArea type="data" outline="0" fieldPosition="0">
        <references count="2">
          <reference field="4294967294" count="1" selected="0">
            <x v="0"/>
          </reference>
          <reference field="8" count="1" selected="0">
            <x v="1"/>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8" count="1" selected="0">
            <x v="0"/>
          </reference>
        </references>
      </pivotArea>
    </chartFormat>
    <chartFormat chart="3" format="11">
      <pivotArea type="data" outline="0" fieldPosition="0">
        <references count="2">
          <reference field="4294967294" count="1" selected="0">
            <x v="0"/>
          </reference>
          <reference field="8" count="1" selected="0">
            <x v="1"/>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8" count="1" selected="0">
            <x v="0"/>
          </reference>
        </references>
      </pivotArea>
    </chartFormat>
    <chartFormat chart="5" format="18">
      <pivotArea type="data" outline="0" fieldPosition="0">
        <references count="2">
          <reference field="4294967294" count="1" selected="0">
            <x v="0"/>
          </reference>
          <reference field="8" count="1" selected="0">
            <x v="1"/>
          </reference>
        </references>
      </pivotArea>
    </chartFormat>
    <chartFormat chart="6" format="19" series="1">
      <pivotArea type="data" outline="0" fieldPosition="0">
        <references count="1">
          <reference field="4294967294" count="1" selected="0">
            <x v="0"/>
          </reference>
        </references>
      </pivotArea>
    </chartFormat>
    <chartFormat chart="6" format="20">
      <pivotArea type="data" outline="0" fieldPosition="0">
        <references count="2">
          <reference field="4294967294" count="1" selected="0">
            <x v="0"/>
          </reference>
          <reference field="8" count="1" selected="0">
            <x v="0"/>
          </reference>
        </references>
      </pivotArea>
    </chartFormat>
    <chartFormat chart="6" format="21">
      <pivotArea type="data" outline="0" fieldPosition="0">
        <references count="2">
          <reference field="4294967294" count="1" selected="0">
            <x v="0"/>
          </reference>
          <reference field="8" count="1" selected="0">
            <x v="1"/>
          </reference>
        </references>
      </pivotArea>
    </chartFormat>
    <chartFormat chart="7" format="22" series="1">
      <pivotArea type="data" outline="0" fieldPosition="0">
        <references count="1">
          <reference field="4294967294" count="1" selected="0">
            <x v="0"/>
          </reference>
        </references>
      </pivotArea>
    </chartFormat>
    <chartFormat chart="7" format="23">
      <pivotArea type="data" outline="0" fieldPosition="0">
        <references count="2">
          <reference field="4294967294" count="1" selected="0">
            <x v="0"/>
          </reference>
          <reference field="8" count="1" selected="0">
            <x v="0"/>
          </reference>
        </references>
      </pivotArea>
    </chartFormat>
    <chartFormat chart="7" format="24">
      <pivotArea type="data" outline="0" fieldPosition="0">
        <references count="2">
          <reference field="4294967294" count="1" selected="0">
            <x v="0"/>
          </reference>
          <reference field="8" count="1" selected="0">
            <x v="1"/>
          </reference>
        </references>
      </pivotArea>
    </chartFormat>
    <chartFormat chart="9" format="22" series="1">
      <pivotArea type="data" outline="0" fieldPosition="0">
        <references count="1">
          <reference field="4294967294" count="1" selected="0">
            <x v="0"/>
          </reference>
        </references>
      </pivotArea>
    </chartFormat>
    <chartFormat chart="9" format="23">
      <pivotArea type="data" outline="0" fieldPosition="0">
        <references count="2">
          <reference field="4294967294" count="1" selected="0">
            <x v="0"/>
          </reference>
          <reference field="8" count="1" selected="0">
            <x v="0"/>
          </reference>
        </references>
      </pivotArea>
    </chartFormat>
    <chartFormat chart="9" format="24">
      <pivotArea type="data" outline="0" fieldPosition="0">
        <references count="2">
          <reference field="4294967294" count="1" selected="0">
            <x v="0"/>
          </reference>
          <reference field="8" count="1" selected="0">
            <x v="1"/>
          </reference>
        </references>
      </pivotArea>
    </chartFormat>
    <chartFormat chart="11" format="22" series="1">
      <pivotArea type="data" outline="0" fieldPosition="0">
        <references count="1">
          <reference field="4294967294" count="1" selected="0">
            <x v="0"/>
          </reference>
        </references>
      </pivotArea>
    </chartFormat>
    <chartFormat chart="11" format="23">
      <pivotArea type="data" outline="0" fieldPosition="0">
        <references count="2">
          <reference field="4294967294" count="1" selected="0">
            <x v="0"/>
          </reference>
          <reference field="8" count="1" selected="0">
            <x v="0"/>
          </reference>
        </references>
      </pivotArea>
    </chartFormat>
    <chartFormat chart="11" format="24">
      <pivotArea type="data" outline="0" fieldPosition="0">
        <references count="2">
          <reference field="4294967294" count="1" selected="0">
            <x v="0"/>
          </reference>
          <reference field="8" count="1" selected="0">
            <x v="1"/>
          </reference>
        </references>
      </pivotArea>
    </chartFormat>
    <chartFormat chart="13" format="22" series="1">
      <pivotArea type="data" outline="0" fieldPosition="0">
        <references count="1">
          <reference field="4294967294" count="1" selected="0">
            <x v="0"/>
          </reference>
        </references>
      </pivotArea>
    </chartFormat>
    <chartFormat chart="13" format="23">
      <pivotArea type="data" outline="0" fieldPosition="0">
        <references count="2">
          <reference field="4294967294" count="1" selected="0">
            <x v="0"/>
          </reference>
          <reference field="8" count="1" selected="0">
            <x v="0"/>
          </reference>
        </references>
      </pivotArea>
    </chartFormat>
    <chartFormat chart="13" format="24">
      <pivotArea type="data" outline="0" fieldPosition="0">
        <references count="2">
          <reference field="4294967294" count="1" selected="0">
            <x v="0"/>
          </reference>
          <reference field="8" count="1" selected="0">
            <x v="1"/>
          </reference>
        </references>
      </pivotArea>
    </chartFormat>
    <chartFormat chart="15" format="28" series="1">
      <pivotArea type="data" outline="0" fieldPosition="0">
        <references count="1">
          <reference field="4294967294" count="1" selected="0">
            <x v="0"/>
          </reference>
        </references>
      </pivotArea>
    </chartFormat>
    <chartFormat chart="15" format="29">
      <pivotArea type="data" outline="0" fieldPosition="0">
        <references count="2">
          <reference field="4294967294" count="1" selected="0">
            <x v="0"/>
          </reference>
          <reference field="8" count="1" selected="0">
            <x v="0"/>
          </reference>
        </references>
      </pivotArea>
    </chartFormat>
    <chartFormat chart="15" format="30">
      <pivotArea type="data" outline="0" fieldPosition="0">
        <references count="2">
          <reference field="4294967294" count="1" selected="0">
            <x v="0"/>
          </reference>
          <reference field="8" count="1" selected="0">
            <x v="1"/>
          </reference>
        </references>
      </pivotArea>
    </chartFormat>
    <chartFormat chart="16" format="31" series="1">
      <pivotArea type="data" outline="0" fieldPosition="0">
        <references count="1">
          <reference field="4294967294" count="1" selected="0">
            <x v="0"/>
          </reference>
        </references>
      </pivotArea>
    </chartFormat>
    <chartFormat chart="16" format="32">
      <pivotArea type="data" outline="0" fieldPosition="0">
        <references count="2">
          <reference field="4294967294" count="1" selected="0">
            <x v="0"/>
          </reference>
          <reference field="8" count="1" selected="0">
            <x v="0"/>
          </reference>
        </references>
      </pivotArea>
    </chartFormat>
    <chartFormat chart="16" format="33">
      <pivotArea type="data" outline="0" fieldPosition="0">
        <references count="2">
          <reference field="4294967294" count="1" selected="0">
            <x v="0"/>
          </reference>
          <reference field="8" count="1" selected="0">
            <x v="1"/>
          </reference>
        </references>
      </pivotArea>
    </chartFormat>
    <chartFormat chart="17" format="28" series="1">
      <pivotArea type="data" outline="0" fieldPosition="0">
        <references count="1">
          <reference field="4294967294" count="1" selected="0">
            <x v="0"/>
          </reference>
        </references>
      </pivotArea>
    </chartFormat>
    <chartFormat chart="17" format="29">
      <pivotArea type="data" outline="0" fieldPosition="0">
        <references count="2">
          <reference field="4294967294" count="1" selected="0">
            <x v="0"/>
          </reference>
          <reference field="8" count="1" selected="0">
            <x v="0"/>
          </reference>
        </references>
      </pivotArea>
    </chartFormat>
    <chartFormat chart="17" format="30">
      <pivotArea type="data" outline="0" fieldPosition="0">
        <references count="2">
          <reference field="4294967294" count="1" selected="0">
            <x v="0"/>
          </reference>
          <reference field="8" count="1" selected="0">
            <x v="1"/>
          </reference>
        </references>
      </pivotArea>
    </chartFormat>
    <chartFormat chart="18" format="31" series="1">
      <pivotArea type="data" outline="0" fieldPosition="0">
        <references count="1">
          <reference field="4294967294" count="1" selected="0">
            <x v="0"/>
          </reference>
        </references>
      </pivotArea>
    </chartFormat>
    <chartFormat chart="18" format="32">
      <pivotArea type="data" outline="0" fieldPosition="0">
        <references count="2">
          <reference field="4294967294" count="1" selected="0">
            <x v="0"/>
          </reference>
          <reference field="8" count="1" selected="0">
            <x v="0"/>
          </reference>
        </references>
      </pivotArea>
    </chartFormat>
    <chartFormat chart="18" format="33">
      <pivotArea type="data" outline="0" fieldPosition="0">
        <references count="2">
          <reference field="4294967294" count="1" selected="0">
            <x v="0"/>
          </reference>
          <reference field="8" count="1" selected="0">
            <x v="1"/>
          </reference>
        </references>
      </pivotArea>
    </chartFormat>
    <chartFormat chart="19" format="28" series="1">
      <pivotArea type="data" outline="0" fieldPosition="0">
        <references count="1">
          <reference field="4294967294" count="1" selected="0">
            <x v="0"/>
          </reference>
        </references>
      </pivotArea>
    </chartFormat>
    <chartFormat chart="19" format="29">
      <pivotArea type="data" outline="0" fieldPosition="0">
        <references count="2">
          <reference field="4294967294" count="1" selected="0">
            <x v="0"/>
          </reference>
          <reference field="8" count="1" selected="0">
            <x v="0"/>
          </reference>
        </references>
      </pivotArea>
    </chartFormat>
    <chartFormat chart="19" format="30">
      <pivotArea type="data" outline="0" fieldPosition="0">
        <references count="2">
          <reference field="4294967294" count="1" selected="0">
            <x v="0"/>
          </reference>
          <reference field="8" count="1" selected="0">
            <x v="1"/>
          </reference>
        </references>
      </pivotArea>
    </chartFormat>
    <chartFormat chart="20" format="31" series="1">
      <pivotArea type="data" outline="0" fieldPosition="0">
        <references count="1">
          <reference field="4294967294" count="1" selected="0">
            <x v="0"/>
          </reference>
        </references>
      </pivotArea>
    </chartFormat>
    <chartFormat chart="20" format="32">
      <pivotArea type="data" outline="0" fieldPosition="0">
        <references count="2">
          <reference field="4294967294" count="1" selected="0">
            <x v="0"/>
          </reference>
          <reference field="8" count="1" selected="0">
            <x v="0"/>
          </reference>
        </references>
      </pivotArea>
    </chartFormat>
    <chartFormat chart="20" format="33">
      <pivotArea type="data" outline="0" fieldPosition="0">
        <references count="2">
          <reference field="4294967294" count="1" selected="0">
            <x v="0"/>
          </reference>
          <reference field="8" count="1" selected="0">
            <x v="1"/>
          </reference>
        </references>
      </pivotArea>
    </chartFormat>
    <chartFormat chart="21" format="28" series="1">
      <pivotArea type="data" outline="0" fieldPosition="0">
        <references count="1">
          <reference field="4294967294" count="1" selected="0">
            <x v="0"/>
          </reference>
        </references>
      </pivotArea>
    </chartFormat>
    <chartFormat chart="21" format="29">
      <pivotArea type="data" outline="0" fieldPosition="0">
        <references count="2">
          <reference field="4294967294" count="1" selected="0">
            <x v="0"/>
          </reference>
          <reference field="8" count="1" selected="0">
            <x v="0"/>
          </reference>
        </references>
      </pivotArea>
    </chartFormat>
    <chartFormat chart="21" format="30">
      <pivotArea type="data" outline="0" fieldPosition="0">
        <references count="2">
          <reference field="4294967294" count="1" selected="0">
            <x v="0"/>
          </reference>
          <reference field="8" count="1" selected="0">
            <x v="1"/>
          </reference>
        </references>
      </pivotArea>
    </chartFormat>
    <chartFormat chart="22" format="31" series="1">
      <pivotArea type="data" outline="0" fieldPosition="0">
        <references count="1">
          <reference field="4294967294" count="1" selected="0">
            <x v="0"/>
          </reference>
        </references>
      </pivotArea>
    </chartFormat>
    <chartFormat chart="22" format="32">
      <pivotArea type="data" outline="0" fieldPosition="0">
        <references count="2">
          <reference field="4294967294" count="1" selected="0">
            <x v="0"/>
          </reference>
          <reference field="8" count="1" selected="0">
            <x v="0"/>
          </reference>
        </references>
      </pivotArea>
    </chartFormat>
    <chartFormat chart="22" format="33">
      <pivotArea type="data" outline="0" fieldPosition="0">
        <references count="2">
          <reference field="4294967294" count="1" selected="0">
            <x v="0"/>
          </reference>
          <reference field="8" count="1" selected="0">
            <x v="1"/>
          </reference>
        </references>
      </pivotArea>
    </chartFormat>
    <chartFormat chart="25" format="3" series="1">
      <pivotArea type="data" outline="0" fieldPosition="0">
        <references count="1">
          <reference field="4294967294" count="1" selected="0">
            <x v="0"/>
          </reference>
        </references>
      </pivotArea>
    </chartFormat>
    <chartFormat chart="25" format="4">
      <pivotArea type="data" outline="0" fieldPosition="0">
        <references count="2">
          <reference field="4294967294" count="1" selected="0">
            <x v="0"/>
          </reference>
          <reference field="8" count="1" selected="0">
            <x v="0"/>
          </reference>
        </references>
      </pivotArea>
    </chartFormat>
    <chartFormat chart="25" format="5">
      <pivotArea type="data" outline="0" fieldPosition="0">
        <references count="2">
          <reference field="4294967294" count="1" selected="0">
            <x v="0"/>
          </reference>
          <reference field="8" count="1" selected="0">
            <x v="1"/>
          </reference>
        </references>
      </pivotArea>
    </chartFormat>
    <chartFormat chart="26" format="6" series="1">
      <pivotArea type="data" outline="0" fieldPosition="0">
        <references count="1">
          <reference field="4294967294" count="1" selected="0">
            <x v="0"/>
          </reference>
        </references>
      </pivotArea>
    </chartFormat>
    <chartFormat chart="26" format="7">
      <pivotArea type="data" outline="0" fieldPosition="0">
        <references count="2">
          <reference field="4294967294" count="1" selected="0">
            <x v="0"/>
          </reference>
          <reference field="8" count="1" selected="0">
            <x v="0"/>
          </reference>
        </references>
      </pivotArea>
    </chartFormat>
    <chartFormat chart="26" format="8">
      <pivotArea type="data" outline="0" fieldPosition="0">
        <references count="2">
          <reference field="4294967294" count="1" selected="0">
            <x v="0"/>
          </reference>
          <reference field="8" count="1" selected="0">
            <x v="1"/>
          </reference>
        </references>
      </pivotArea>
    </chartFormat>
    <chartFormat chart="27" format="3" series="1">
      <pivotArea type="data" outline="0" fieldPosition="0">
        <references count="1">
          <reference field="4294967294" count="1" selected="0">
            <x v="0"/>
          </reference>
        </references>
      </pivotArea>
    </chartFormat>
    <chartFormat chart="27" format="4">
      <pivotArea type="data" outline="0" fieldPosition="0">
        <references count="2">
          <reference field="4294967294" count="1" selected="0">
            <x v="0"/>
          </reference>
          <reference field="8" count="1" selected="0">
            <x v="0"/>
          </reference>
        </references>
      </pivotArea>
    </chartFormat>
    <chartFormat chart="27" format="5">
      <pivotArea type="data" outline="0" fieldPosition="0">
        <references count="2">
          <reference field="4294967294" count="1" selected="0">
            <x v="0"/>
          </reference>
          <reference field="8" count="1" selected="0">
            <x v="1"/>
          </reference>
        </references>
      </pivotArea>
    </chartFormat>
    <chartFormat chart="28" format="6" series="1">
      <pivotArea type="data" outline="0" fieldPosition="0">
        <references count="1">
          <reference field="4294967294" count="1" selected="0">
            <x v="0"/>
          </reference>
        </references>
      </pivotArea>
    </chartFormat>
    <chartFormat chart="28" format="7">
      <pivotArea type="data" outline="0" fieldPosition="0">
        <references count="2">
          <reference field="4294967294" count="1" selected="0">
            <x v="0"/>
          </reference>
          <reference field="8" count="1" selected="0">
            <x v="0"/>
          </reference>
        </references>
      </pivotArea>
    </chartFormat>
    <chartFormat chart="28" format="8">
      <pivotArea type="data" outline="0" fieldPosition="0">
        <references count="2">
          <reference field="4294967294" count="1" selected="0">
            <x v="0"/>
          </reference>
          <reference field="8" count="1" selected="0">
            <x v="1"/>
          </reference>
        </references>
      </pivotArea>
    </chartFormat>
    <chartFormat chart="29" format="9" series="1">
      <pivotArea type="data" outline="0" fieldPosition="0">
        <references count="1">
          <reference field="4294967294" count="1" selected="0">
            <x v="0"/>
          </reference>
        </references>
      </pivotArea>
    </chartFormat>
    <chartFormat chart="29" format="10">
      <pivotArea type="data" outline="0" fieldPosition="0">
        <references count="2">
          <reference field="4294967294" count="1" selected="0">
            <x v="0"/>
          </reference>
          <reference field="8" count="1" selected="0">
            <x v="0"/>
          </reference>
        </references>
      </pivotArea>
    </chartFormat>
    <chartFormat chart="29" format="11">
      <pivotArea type="data" outline="0" fieldPosition="0">
        <references count="2">
          <reference field="4294967294" count="1" selected="0">
            <x v="0"/>
          </reference>
          <reference field="8" count="1" selected="0">
            <x v="1"/>
          </reference>
        </references>
      </pivotArea>
    </chartFormat>
    <chartFormat chart="30" format="12" series="1">
      <pivotArea type="data" outline="0" fieldPosition="0">
        <references count="1">
          <reference field="4294967294" count="1" selected="0">
            <x v="0"/>
          </reference>
        </references>
      </pivotArea>
    </chartFormat>
    <chartFormat chart="30" format="13">
      <pivotArea type="data" outline="0" fieldPosition="0">
        <references count="2">
          <reference field="4294967294" count="1" selected="0">
            <x v="0"/>
          </reference>
          <reference field="8" count="1" selected="0">
            <x v="0"/>
          </reference>
        </references>
      </pivotArea>
    </chartFormat>
    <chartFormat chart="30" format="14">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7E3F8C-C7AF-4FA7-9A59-F13A2126A7D2}" name="purpose wise book" cacheId="0" applyNumberFormats="0" applyBorderFormats="0" applyFontFormats="0" applyPatternFormats="0" applyAlignmentFormats="0" applyWidthHeightFormats="1" dataCaption="Values" updatedVersion="7" minRefreshableVersion="3" useAutoFormatting="1" itemPrintTitles="1" createdVersion="8" indent="0" compact="0" compactData="0" multipleFieldFilters="0" chartFormat="9">
  <location ref="A7:B14" firstHeaderRow="1" firstDataRow="1" firstDataCol="1"/>
  <pivotFields count="14">
    <pivotField compact="0" numFmtId="22" outline="0" showAll="0"/>
    <pivotField compact="0" numFmtId="14" outline="0" showAll="0"/>
    <pivotField compact="0" outline="0" showAll="0">
      <items count="13">
        <item h="1" x="0"/>
        <item h="1" x="1"/>
        <item x="2"/>
        <item h="1" x="3"/>
        <item h="1" x="4"/>
        <item h="1" x="5"/>
        <item h="1" x="6"/>
        <item h="1" x="7"/>
        <item h="1" x="8"/>
        <item h="1" x="9"/>
        <item h="1" x="10"/>
        <item h="1" x="11"/>
        <item t="default"/>
      </items>
    </pivotField>
    <pivotField compact="0" outline="0" showAll="0"/>
    <pivotField compact="0" numFmtId="164" outline="0" showAll="0"/>
    <pivotField compact="0" numFmtId="22" outline="0" showAll="0"/>
    <pivotField compact="0" numFmtId="164"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12">
        <item x="10"/>
        <item x="6"/>
        <item x="7"/>
        <item x="8"/>
        <item x="4"/>
        <item x="2"/>
        <item x="0"/>
        <item x="3"/>
        <item x="9"/>
        <item h="1" x="1"/>
        <item x="5"/>
        <item t="default"/>
      </items>
    </pivotField>
    <pivotField compact="0" outline="0" showAll="0"/>
  </pivotFields>
  <rowFields count="1">
    <field x="12"/>
  </rowFields>
  <rowItems count="7">
    <i>
      <x v="1"/>
    </i>
    <i>
      <x v="4"/>
    </i>
    <i>
      <x v="5"/>
    </i>
    <i>
      <x v="6"/>
    </i>
    <i>
      <x v="7"/>
    </i>
    <i>
      <x v="10"/>
    </i>
    <i t="grand">
      <x/>
    </i>
  </rowItems>
  <colItems count="1">
    <i/>
  </colItems>
  <dataFields count="1">
    <dataField name="Count of PURPOSE" fld="12" subtotal="count" baseField="0" baseItem="0"/>
  </dataFields>
  <chartFormats count="7">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5424BD-B2F1-4C59-B11B-B1E716B1ADFA}" name="PivotTable11" cacheId="0" applyNumberFormats="0" applyBorderFormats="0" applyFontFormats="0" applyPatternFormats="0" applyAlignmentFormats="0" applyWidthHeightFormats="1" dataCaption="Values" updatedVersion="7" minRefreshableVersion="3" useAutoFormatting="1" rowGrandTotals="0" itemPrintTitles="1" createdVersion="8" indent="0" compact="0" compactData="0" multipleFieldFilters="0" chartFormat="2">
  <location ref="A57:A313" firstHeaderRow="1" firstDataRow="1" firstDataCol="1"/>
  <pivotFields count="14">
    <pivotField compact="0" outline="0" showAll="0"/>
    <pivotField compact="0" outline="0" showAll="0"/>
    <pivotField compact="0" outline="0" showAll="0">
      <items count="13">
        <item h="1" x="0"/>
        <item h="1" x="1"/>
        <item x="2"/>
        <item h="1" x="3"/>
        <item h="1" x="4"/>
        <item h="1" x="5"/>
        <item h="1" x="6"/>
        <item h="1" x="7"/>
        <item h="1" x="8"/>
        <item h="1" x="9"/>
        <item h="1" x="10"/>
        <item h="1" x="1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257">
        <item x="35"/>
        <item x="186"/>
        <item x="145"/>
        <item x="7"/>
        <item x="129"/>
        <item x="32"/>
        <item x="53"/>
        <item x="115"/>
        <item x="188"/>
        <item x="34"/>
        <item x="62"/>
        <item x="14"/>
        <item x="15"/>
        <item x="18"/>
        <item x="16"/>
        <item x="20"/>
        <item x="102"/>
        <item x="95"/>
        <item x="33"/>
        <item x="19"/>
        <item x="88"/>
        <item x="66"/>
        <item x="38"/>
        <item x="109"/>
        <item x="163"/>
        <item x="61"/>
        <item x="97"/>
        <item x="57"/>
        <item x="171"/>
        <item x="37"/>
        <item x="85"/>
        <item x="78"/>
        <item x="174"/>
        <item x="103"/>
        <item x="25"/>
        <item x="17"/>
        <item x="197"/>
        <item x="86"/>
        <item x="5"/>
        <item x="183"/>
        <item x="77"/>
        <item x="43"/>
        <item x="3"/>
        <item x="2"/>
        <item x="106"/>
        <item x="1"/>
        <item x="0"/>
        <item x="44"/>
        <item x="60"/>
        <item x="245"/>
        <item x="47"/>
        <item x="58"/>
        <item x="48"/>
        <item x="46"/>
        <item x="111"/>
        <item x="51"/>
        <item x="59"/>
        <item x="12"/>
        <item x="98"/>
        <item x="13"/>
        <item x="107"/>
        <item x="104"/>
        <item x="135"/>
        <item x="101"/>
        <item x="136"/>
        <item x="187"/>
        <item x="6"/>
        <item x="28"/>
        <item x="84"/>
        <item x="184"/>
        <item x="11"/>
        <item x="29"/>
        <item x="55"/>
        <item x="108"/>
        <item x="150"/>
        <item x="26"/>
        <item x="72"/>
        <item x="158"/>
        <item x="8"/>
        <item x="69"/>
        <item x="65"/>
        <item x="180"/>
        <item x="151"/>
        <item x="93"/>
        <item x="71"/>
        <item x="54"/>
        <item x="198"/>
        <item x="123"/>
        <item x="167"/>
        <item x="112"/>
        <item x="199"/>
        <item x="128"/>
        <item x="52"/>
        <item x="165"/>
        <item x="100"/>
        <item x="82"/>
        <item x="45"/>
        <item x="250"/>
        <item x="239"/>
        <item x="27"/>
        <item x="116"/>
        <item x="99"/>
        <item x="254"/>
        <item x="10"/>
        <item x="105"/>
        <item x="143"/>
        <item x="248"/>
        <item x="22"/>
        <item x="168"/>
        <item x="56"/>
        <item x="70"/>
        <item x="175"/>
        <item x="23"/>
        <item x="113"/>
        <item x="124"/>
        <item x="207"/>
        <item x="177"/>
        <item x="190"/>
        <item x="110"/>
        <item x="117"/>
        <item x="121"/>
        <item x="81"/>
        <item x="114"/>
        <item x="39"/>
        <item x="73"/>
        <item x="240"/>
        <item x="122"/>
        <item x="185"/>
        <item x="189"/>
        <item x="64"/>
        <item x="87"/>
        <item x="156"/>
        <item x="139"/>
        <item x="74"/>
        <item x="170"/>
        <item x="76"/>
        <item x="161"/>
        <item x="89"/>
        <item x="92"/>
        <item x="200"/>
        <item x="41"/>
        <item x="169"/>
        <item x="176"/>
        <item x="21"/>
        <item x="157"/>
        <item x="155"/>
        <item x="229"/>
        <item x="120"/>
        <item x="204"/>
        <item x="42"/>
        <item x="154"/>
        <item x="141"/>
        <item x="206"/>
        <item x="173"/>
        <item x="142"/>
        <item x="9"/>
        <item x="179"/>
        <item x="220"/>
        <item x="67"/>
        <item x="30"/>
        <item x="216"/>
        <item x="63"/>
        <item x="201"/>
        <item x="166"/>
        <item x="209"/>
        <item x="222"/>
        <item x="68"/>
        <item x="162"/>
        <item x="83"/>
        <item x="90"/>
        <item x="247"/>
        <item x="153"/>
        <item x="36"/>
        <item x="249"/>
        <item x="40"/>
        <item x="152"/>
        <item x="178"/>
        <item x="49"/>
        <item x="96"/>
        <item x="208"/>
        <item x="144"/>
        <item x="164"/>
        <item x="225"/>
        <item x="79"/>
        <item x="24"/>
        <item x="172"/>
        <item x="192"/>
        <item x="159"/>
        <item x="94"/>
        <item x="131"/>
        <item x="91"/>
        <item x="253"/>
        <item x="50"/>
        <item x="80"/>
        <item x="195"/>
        <item x="210"/>
        <item x="130"/>
        <item x="138"/>
        <item x="205"/>
        <item x="137"/>
        <item x="193"/>
        <item x="228"/>
        <item x="221"/>
        <item x="140"/>
        <item x="235"/>
        <item x="182"/>
        <item x="119"/>
        <item x="202"/>
        <item x="203"/>
        <item x="252"/>
        <item x="160"/>
        <item x="224"/>
        <item x="212"/>
        <item x="125"/>
        <item x="126"/>
        <item x="243"/>
        <item x="219"/>
        <item x="246"/>
        <item x="31"/>
        <item x="233"/>
        <item x="194"/>
        <item x="244"/>
        <item x="75"/>
        <item x="241"/>
        <item x="227"/>
        <item x="238"/>
        <item x="242"/>
        <item x="181"/>
        <item x="226"/>
        <item x="255"/>
        <item x="213"/>
        <item x="127"/>
        <item x="4"/>
        <item x="236"/>
        <item x="217"/>
        <item x="234"/>
        <item x="146"/>
        <item x="147"/>
        <item x="214"/>
        <item x="232"/>
        <item x="211"/>
        <item x="251"/>
        <item x="230"/>
        <item x="223"/>
        <item x="231"/>
        <item x="118"/>
        <item x="132"/>
        <item x="215"/>
        <item x="149"/>
        <item x="148"/>
        <item x="196"/>
        <item x="191"/>
        <item x="218"/>
        <item x="237"/>
        <item x="134"/>
        <item x="133"/>
        <item t="default"/>
      </items>
    </pivotField>
    <pivotField compact="0" outline="0" showAll="0"/>
    <pivotField compact="0" outline="0" showAll="0"/>
  </pivotFields>
  <rowFields count="1">
    <field x="11"/>
  </rowFields>
  <rowItems count="25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726B8D-8CB4-4AB3-9FCB-03A891F3BEE1}" name="day wise book" cacheId="0" applyNumberFormats="0" applyBorderFormats="0" applyFontFormats="0" applyPatternFormats="0" applyAlignmentFormats="0" applyWidthHeightFormats="1" dataCaption="Values" updatedVersion="7" minRefreshableVersion="3" useAutoFormatting="1" itemPrintTitles="1" createdVersion="8" indent="0" compact="0" compactData="0" multipleFieldFilters="0" chartFormat="17">
  <location ref="A43:B51" firstHeaderRow="1" firstDataRow="1" firstDataCol="1"/>
  <pivotFields count="14">
    <pivotField compact="0" outline="0" showAll="0"/>
    <pivotField compact="0" outline="0" showAll="0"/>
    <pivotField compact="0" outline="0" showAll="0" sortType="ascending">
      <items count="13">
        <item h="1" x="0"/>
        <item h="1" x="1"/>
        <item x="2"/>
        <item h="1" x="3"/>
        <item h="1" x="4"/>
        <item h="1" x="5"/>
        <item h="1" x="6"/>
        <item h="1" x="7"/>
        <item h="1" x="8"/>
        <item h="1" x="9"/>
        <item h="1" x="10"/>
        <item h="1" x="11"/>
        <item t="default"/>
      </items>
    </pivotField>
    <pivotField axis="axisRow" dataField="1" compact="0" outline="0" showAll="0" sortType="ascending">
      <items count="8">
        <item x="6"/>
        <item x="2"/>
        <item x="3"/>
        <item x="4"/>
        <item x="0"/>
        <item x="1"/>
        <item x="5"/>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8">
    <i>
      <x v="2"/>
    </i>
    <i>
      <x v="1"/>
    </i>
    <i>
      <x/>
    </i>
    <i>
      <x v="6"/>
    </i>
    <i>
      <x v="3"/>
    </i>
    <i>
      <x v="5"/>
    </i>
    <i>
      <x v="4"/>
    </i>
    <i t="grand">
      <x/>
    </i>
  </rowItems>
  <colItems count="1">
    <i/>
  </colItems>
  <dataFields count="1">
    <dataField name="Count of Days" fld="3" subtotal="count" baseField="0" baseItem="0"/>
  </dataFields>
  <chartFormats count="7">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FAD50E-C663-42D4-9C2A-544CFFDAE080}" name="mothly book" cacheId="0" applyNumberFormats="0" applyBorderFormats="0" applyFontFormats="0" applyPatternFormats="0" applyAlignmentFormats="0" applyWidthHeightFormats="1" dataCaption="Values" updatedVersion="7" minRefreshableVersion="3" useAutoFormatting="1" itemPrintTitles="1" createdVersion="8" indent="0" compact="0" compactData="0" multipleFieldFilters="0" chartFormat="22">
  <location ref="A28:B41" firstHeaderRow="1" firstDataRow="1" firstDataCol="1"/>
  <pivotFields count="14">
    <pivotField compact="0" outline="0" showAll="0"/>
    <pivotField compact="0" outline="0" showAll="0"/>
    <pivotField axis="axisRow" dataField="1" compact="0" outline="0" showAll="0" sortType="ascending">
      <items count="13">
        <item x="0"/>
        <item x="1"/>
        <item x="2"/>
        <item x="3"/>
        <item x="4"/>
        <item x="5"/>
        <item x="6"/>
        <item x="7"/>
        <item x="8"/>
        <item x="9"/>
        <item x="10"/>
        <item x="11"/>
        <item t="default"/>
      </items>
    </pivotField>
    <pivotField compact="0" outline="0" showAll="0">
      <items count="8">
        <item x="6"/>
        <item x="2"/>
        <item x="3"/>
        <item x="4"/>
        <item x="0"/>
        <item x="1"/>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13">
    <i>
      <x/>
    </i>
    <i>
      <x v="1"/>
    </i>
    <i>
      <x v="2"/>
    </i>
    <i>
      <x v="3"/>
    </i>
    <i>
      <x v="4"/>
    </i>
    <i>
      <x v="5"/>
    </i>
    <i>
      <x v="6"/>
    </i>
    <i>
      <x v="7"/>
    </i>
    <i>
      <x v="8"/>
    </i>
    <i>
      <x v="9"/>
    </i>
    <i>
      <x v="10"/>
    </i>
    <i>
      <x v="11"/>
    </i>
    <i t="grand">
      <x/>
    </i>
  </rowItems>
  <colItems count="1">
    <i/>
  </colItems>
  <dataFields count="1">
    <dataField name="Count of months" fld="2" subtotal="count" baseField="0" baseItem="0"/>
  </dataFields>
  <chartFormats count="17">
    <chartFormat chart="1"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4F814A-757D-4EA4-9286-3F30807D8B18}" name="Most time do people book cabs" cacheId="0" applyNumberFormats="0" applyBorderFormats="0" applyFontFormats="0" applyPatternFormats="0" applyAlignmentFormats="0" applyWidthHeightFormats="1" dataCaption="Values" updatedVersion="7" minRefreshableVersion="3" useAutoFormatting="1" itemPrintTitles="1" createdVersion="8" indent="0" compact="0" compactData="0" multipleFieldFilters="0" chartFormat="18">
  <location ref="A21:B26" firstHeaderRow="1" firstDataRow="1" firstDataCol="1"/>
  <pivotFields count="14">
    <pivotField compact="0" outline="0" showAll="0"/>
    <pivotField compact="0" outline="0" showAll="0"/>
    <pivotField compact="0" outline="0" showAll="0">
      <items count="13">
        <item h="1" x="0"/>
        <item h="1" x="1"/>
        <item x="2"/>
        <item h="1" x="3"/>
        <item h="1" x="4"/>
        <item h="1" x="5"/>
        <item h="1" x="6"/>
        <item h="1" x="7"/>
        <item h="1" x="8"/>
        <item h="1" x="9"/>
        <item h="1" x="10"/>
        <item h="1" x="1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sortType="ascending">
      <items count="5">
        <item x="3"/>
        <item x="2"/>
        <item x="1"/>
        <item x="0"/>
        <item t="default"/>
      </items>
      <autoSortScope>
        <pivotArea dataOnly="0" outline="0" fieldPosition="0">
          <references count="1">
            <reference field="4294967294" count="1" selected="0">
              <x v="0"/>
            </reference>
          </references>
        </pivotArea>
      </autoSortScope>
    </pivotField>
  </pivotFields>
  <rowFields count="1">
    <field x="13"/>
  </rowFields>
  <rowItems count="5">
    <i>
      <x v="2"/>
    </i>
    <i>
      <x v="3"/>
    </i>
    <i>
      <x/>
    </i>
    <i>
      <x v="1"/>
    </i>
    <i t="grand">
      <x/>
    </i>
  </rowItems>
  <colItems count="1">
    <i/>
  </colItems>
  <dataFields count="1">
    <dataField name="Count of DAY-NIGHT" fld="13" subtotal="count" baseField="0" baseItem="0"/>
  </dataFields>
  <chartFormats count="13">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 chart="16" format="8"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95837CE-9861-4F22-A836-64C5765E213E}" name="PivotTable2" cacheId="0" applyNumberFormats="0" applyBorderFormats="0" applyFontFormats="0" applyPatternFormats="0" applyAlignmentFormats="0" applyWidthHeightFormats="1" dataCaption="Values" updatedVersion="7" minRefreshableVersion="3" useAutoFormatting="1" rowGrandTotals="0" itemPrintTitles="1" createdVersion="8" indent="0" compact="0" compactData="0" multipleFieldFilters="0" chartFormat="31">
  <location ref="A1:B3" firstHeaderRow="1" firstDataRow="1" firstDataCol="1"/>
  <pivotFields count="14">
    <pivotField compact="0" numFmtId="22" outline="0" showAll="0"/>
    <pivotField compact="0" numFmtId="14" outline="0" showAll="0"/>
    <pivotField compact="0" outline="0" showAll="0">
      <items count="13">
        <item h="1" x="0"/>
        <item h="1" x="1"/>
        <item x="2"/>
        <item h="1" x="3"/>
        <item h="1" x="4"/>
        <item h="1" x="5"/>
        <item h="1" x="6"/>
        <item h="1" x="7"/>
        <item h="1" x="8"/>
        <item h="1" x="9"/>
        <item h="1" x="10"/>
        <item h="1" x="11"/>
        <item t="default"/>
      </items>
    </pivotField>
    <pivotField compact="0" outline="0" showAll="0"/>
    <pivotField compact="0" numFmtId="164" outline="0" showAll="0"/>
    <pivotField compact="0" numFmtId="22" outline="0" showAll="0"/>
    <pivotField compact="0" numFmtId="164" outline="0" showAll="0"/>
    <pivotField compact="0" outline="0" showAll="0"/>
    <pivotField axis="axisRow" dataField="1"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s>
  <rowFields count="1">
    <field x="8"/>
  </rowFields>
  <rowItems count="2">
    <i>
      <x/>
    </i>
    <i>
      <x v="1"/>
    </i>
  </rowItems>
  <colItems count="1">
    <i/>
  </colItems>
  <dataFields count="1">
    <dataField name="Count of CATEGORY" fld="8" subtotal="count" baseField="0" baseItem="0"/>
  </dataFields>
  <chartFormats count="70">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8" count="1" selected="0">
            <x v="0"/>
          </reference>
        </references>
      </pivotArea>
    </chartFormat>
    <chartFormat chart="1" format="5">
      <pivotArea type="data" outline="0" fieldPosition="0">
        <references count="2">
          <reference field="4294967294" count="1" selected="0">
            <x v="0"/>
          </reference>
          <reference field="8"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8" count="1" selected="0">
            <x v="0"/>
          </reference>
        </references>
      </pivotArea>
    </chartFormat>
    <chartFormat chart="2" format="8">
      <pivotArea type="data" outline="0" fieldPosition="0">
        <references count="2">
          <reference field="4294967294" count="1" selected="0">
            <x v="0"/>
          </reference>
          <reference field="8" count="1" selected="0">
            <x v="1"/>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8" count="1" selected="0">
            <x v="0"/>
          </reference>
        </references>
      </pivotArea>
    </chartFormat>
    <chartFormat chart="3" format="11">
      <pivotArea type="data" outline="0" fieldPosition="0">
        <references count="2">
          <reference field="4294967294" count="1" selected="0">
            <x v="0"/>
          </reference>
          <reference field="8" count="1" selected="0">
            <x v="1"/>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8" count="1" selected="0">
            <x v="0"/>
          </reference>
        </references>
      </pivotArea>
    </chartFormat>
    <chartFormat chart="5" format="18">
      <pivotArea type="data" outline="0" fieldPosition="0">
        <references count="2">
          <reference field="4294967294" count="1" selected="0">
            <x v="0"/>
          </reference>
          <reference field="8" count="1" selected="0">
            <x v="1"/>
          </reference>
        </references>
      </pivotArea>
    </chartFormat>
    <chartFormat chart="6" format="19" series="1">
      <pivotArea type="data" outline="0" fieldPosition="0">
        <references count="1">
          <reference field="4294967294" count="1" selected="0">
            <x v="0"/>
          </reference>
        </references>
      </pivotArea>
    </chartFormat>
    <chartFormat chart="6" format="20">
      <pivotArea type="data" outline="0" fieldPosition="0">
        <references count="2">
          <reference field="4294967294" count="1" selected="0">
            <x v="0"/>
          </reference>
          <reference field="8" count="1" selected="0">
            <x v="0"/>
          </reference>
        </references>
      </pivotArea>
    </chartFormat>
    <chartFormat chart="6" format="21">
      <pivotArea type="data" outline="0" fieldPosition="0">
        <references count="2">
          <reference field="4294967294" count="1" selected="0">
            <x v="0"/>
          </reference>
          <reference field="8" count="1" selected="0">
            <x v="1"/>
          </reference>
        </references>
      </pivotArea>
    </chartFormat>
    <chartFormat chart="7" format="22" series="1">
      <pivotArea type="data" outline="0" fieldPosition="0">
        <references count="1">
          <reference field="4294967294" count="1" selected="0">
            <x v="0"/>
          </reference>
        </references>
      </pivotArea>
    </chartFormat>
    <chartFormat chart="7" format="23">
      <pivotArea type="data" outline="0" fieldPosition="0">
        <references count="2">
          <reference field="4294967294" count="1" selected="0">
            <x v="0"/>
          </reference>
          <reference field="8" count="1" selected="0">
            <x v="0"/>
          </reference>
        </references>
      </pivotArea>
    </chartFormat>
    <chartFormat chart="7" format="24">
      <pivotArea type="data" outline="0" fieldPosition="0">
        <references count="2">
          <reference field="4294967294" count="1" selected="0">
            <x v="0"/>
          </reference>
          <reference field="8" count="1" selected="0">
            <x v="1"/>
          </reference>
        </references>
      </pivotArea>
    </chartFormat>
    <chartFormat chart="9" format="22" series="1">
      <pivotArea type="data" outline="0" fieldPosition="0">
        <references count="1">
          <reference field="4294967294" count="1" selected="0">
            <x v="0"/>
          </reference>
        </references>
      </pivotArea>
    </chartFormat>
    <chartFormat chart="9" format="23">
      <pivotArea type="data" outline="0" fieldPosition="0">
        <references count="2">
          <reference field="4294967294" count="1" selected="0">
            <x v="0"/>
          </reference>
          <reference field="8" count="1" selected="0">
            <x v="0"/>
          </reference>
        </references>
      </pivotArea>
    </chartFormat>
    <chartFormat chart="9" format="24">
      <pivotArea type="data" outline="0" fieldPosition="0">
        <references count="2">
          <reference field="4294967294" count="1" selected="0">
            <x v="0"/>
          </reference>
          <reference field="8" count="1" selected="0">
            <x v="1"/>
          </reference>
        </references>
      </pivotArea>
    </chartFormat>
    <chartFormat chart="11" format="22" series="1">
      <pivotArea type="data" outline="0" fieldPosition="0">
        <references count="1">
          <reference field="4294967294" count="1" selected="0">
            <x v="0"/>
          </reference>
        </references>
      </pivotArea>
    </chartFormat>
    <chartFormat chart="11" format="23">
      <pivotArea type="data" outline="0" fieldPosition="0">
        <references count="2">
          <reference field="4294967294" count="1" selected="0">
            <x v="0"/>
          </reference>
          <reference field="8" count="1" selected="0">
            <x v="0"/>
          </reference>
        </references>
      </pivotArea>
    </chartFormat>
    <chartFormat chart="11" format="24">
      <pivotArea type="data" outline="0" fieldPosition="0">
        <references count="2">
          <reference field="4294967294" count="1" selected="0">
            <x v="0"/>
          </reference>
          <reference field="8" count="1" selected="0">
            <x v="1"/>
          </reference>
        </references>
      </pivotArea>
    </chartFormat>
    <chartFormat chart="13" format="22" series="1">
      <pivotArea type="data" outline="0" fieldPosition="0">
        <references count="1">
          <reference field="4294967294" count="1" selected="0">
            <x v="0"/>
          </reference>
        </references>
      </pivotArea>
    </chartFormat>
    <chartFormat chart="13" format="23">
      <pivotArea type="data" outline="0" fieldPosition="0">
        <references count="2">
          <reference field="4294967294" count="1" selected="0">
            <x v="0"/>
          </reference>
          <reference field="8" count="1" selected="0">
            <x v="0"/>
          </reference>
        </references>
      </pivotArea>
    </chartFormat>
    <chartFormat chart="13" format="24">
      <pivotArea type="data" outline="0" fieldPosition="0">
        <references count="2">
          <reference field="4294967294" count="1" selected="0">
            <x v="0"/>
          </reference>
          <reference field="8" count="1" selected="0">
            <x v="1"/>
          </reference>
        </references>
      </pivotArea>
    </chartFormat>
    <chartFormat chart="15" format="28" series="1">
      <pivotArea type="data" outline="0" fieldPosition="0">
        <references count="1">
          <reference field="4294967294" count="1" selected="0">
            <x v="0"/>
          </reference>
        </references>
      </pivotArea>
    </chartFormat>
    <chartFormat chart="15" format="29">
      <pivotArea type="data" outline="0" fieldPosition="0">
        <references count="2">
          <reference field="4294967294" count="1" selected="0">
            <x v="0"/>
          </reference>
          <reference field="8" count="1" selected="0">
            <x v="0"/>
          </reference>
        </references>
      </pivotArea>
    </chartFormat>
    <chartFormat chart="15" format="30">
      <pivotArea type="data" outline="0" fieldPosition="0">
        <references count="2">
          <reference field="4294967294" count="1" selected="0">
            <x v="0"/>
          </reference>
          <reference field="8" count="1" selected="0">
            <x v="1"/>
          </reference>
        </references>
      </pivotArea>
    </chartFormat>
    <chartFormat chart="16" format="31" series="1">
      <pivotArea type="data" outline="0" fieldPosition="0">
        <references count="1">
          <reference field="4294967294" count="1" selected="0">
            <x v="0"/>
          </reference>
        </references>
      </pivotArea>
    </chartFormat>
    <chartFormat chart="16" format="32">
      <pivotArea type="data" outline="0" fieldPosition="0">
        <references count="2">
          <reference field="4294967294" count="1" selected="0">
            <x v="0"/>
          </reference>
          <reference field="8" count="1" selected="0">
            <x v="0"/>
          </reference>
        </references>
      </pivotArea>
    </chartFormat>
    <chartFormat chart="16" format="33">
      <pivotArea type="data" outline="0" fieldPosition="0">
        <references count="2">
          <reference field="4294967294" count="1" selected="0">
            <x v="0"/>
          </reference>
          <reference field="8" count="1" selected="0">
            <x v="1"/>
          </reference>
        </references>
      </pivotArea>
    </chartFormat>
    <chartFormat chart="17" format="28" series="1">
      <pivotArea type="data" outline="0" fieldPosition="0">
        <references count="1">
          <reference field="4294967294" count="1" selected="0">
            <x v="0"/>
          </reference>
        </references>
      </pivotArea>
    </chartFormat>
    <chartFormat chart="17" format="29">
      <pivotArea type="data" outline="0" fieldPosition="0">
        <references count="2">
          <reference field="4294967294" count="1" selected="0">
            <x v="0"/>
          </reference>
          <reference field="8" count="1" selected="0">
            <x v="0"/>
          </reference>
        </references>
      </pivotArea>
    </chartFormat>
    <chartFormat chart="17" format="30">
      <pivotArea type="data" outline="0" fieldPosition="0">
        <references count="2">
          <reference field="4294967294" count="1" selected="0">
            <x v="0"/>
          </reference>
          <reference field="8" count="1" selected="0">
            <x v="1"/>
          </reference>
        </references>
      </pivotArea>
    </chartFormat>
    <chartFormat chart="18" format="31" series="1">
      <pivotArea type="data" outline="0" fieldPosition="0">
        <references count="1">
          <reference field="4294967294" count="1" selected="0">
            <x v="0"/>
          </reference>
        </references>
      </pivotArea>
    </chartFormat>
    <chartFormat chart="18" format="32">
      <pivotArea type="data" outline="0" fieldPosition="0">
        <references count="2">
          <reference field="4294967294" count="1" selected="0">
            <x v="0"/>
          </reference>
          <reference field="8" count="1" selected="0">
            <x v="0"/>
          </reference>
        </references>
      </pivotArea>
    </chartFormat>
    <chartFormat chart="18" format="33">
      <pivotArea type="data" outline="0" fieldPosition="0">
        <references count="2">
          <reference field="4294967294" count="1" selected="0">
            <x v="0"/>
          </reference>
          <reference field="8" count="1" selected="0">
            <x v="1"/>
          </reference>
        </references>
      </pivotArea>
    </chartFormat>
    <chartFormat chart="19" format="28" series="1">
      <pivotArea type="data" outline="0" fieldPosition="0">
        <references count="1">
          <reference field="4294967294" count="1" selected="0">
            <x v="0"/>
          </reference>
        </references>
      </pivotArea>
    </chartFormat>
    <chartFormat chart="19" format="29">
      <pivotArea type="data" outline="0" fieldPosition="0">
        <references count="2">
          <reference field="4294967294" count="1" selected="0">
            <x v="0"/>
          </reference>
          <reference field="8" count="1" selected="0">
            <x v="0"/>
          </reference>
        </references>
      </pivotArea>
    </chartFormat>
    <chartFormat chart="19" format="30">
      <pivotArea type="data" outline="0" fieldPosition="0">
        <references count="2">
          <reference field="4294967294" count="1" selected="0">
            <x v="0"/>
          </reference>
          <reference field="8" count="1" selected="0">
            <x v="1"/>
          </reference>
        </references>
      </pivotArea>
    </chartFormat>
    <chartFormat chart="20" format="31" series="1">
      <pivotArea type="data" outline="0" fieldPosition="0">
        <references count="1">
          <reference field="4294967294" count="1" selected="0">
            <x v="0"/>
          </reference>
        </references>
      </pivotArea>
    </chartFormat>
    <chartFormat chart="20" format="32">
      <pivotArea type="data" outline="0" fieldPosition="0">
        <references count="2">
          <reference field="4294967294" count="1" selected="0">
            <x v="0"/>
          </reference>
          <reference field="8" count="1" selected="0">
            <x v="0"/>
          </reference>
        </references>
      </pivotArea>
    </chartFormat>
    <chartFormat chart="20" format="33">
      <pivotArea type="data" outline="0" fieldPosition="0">
        <references count="2">
          <reference field="4294967294" count="1" selected="0">
            <x v="0"/>
          </reference>
          <reference field="8" count="1" selected="0">
            <x v="1"/>
          </reference>
        </references>
      </pivotArea>
    </chartFormat>
    <chartFormat chart="21" format="28" series="1">
      <pivotArea type="data" outline="0" fieldPosition="0">
        <references count="1">
          <reference field="4294967294" count="1" selected="0">
            <x v="0"/>
          </reference>
        </references>
      </pivotArea>
    </chartFormat>
    <chartFormat chart="21" format="29">
      <pivotArea type="data" outline="0" fieldPosition="0">
        <references count="2">
          <reference field="4294967294" count="1" selected="0">
            <x v="0"/>
          </reference>
          <reference field="8" count="1" selected="0">
            <x v="0"/>
          </reference>
        </references>
      </pivotArea>
    </chartFormat>
    <chartFormat chart="21" format="30">
      <pivotArea type="data" outline="0" fieldPosition="0">
        <references count="2">
          <reference field="4294967294" count="1" selected="0">
            <x v="0"/>
          </reference>
          <reference field="8" count="1" selected="0">
            <x v="1"/>
          </reference>
        </references>
      </pivotArea>
    </chartFormat>
    <chartFormat chart="22" format="31" series="1">
      <pivotArea type="data" outline="0" fieldPosition="0">
        <references count="1">
          <reference field="4294967294" count="1" selected="0">
            <x v="0"/>
          </reference>
        </references>
      </pivotArea>
    </chartFormat>
    <chartFormat chart="22" format="32">
      <pivotArea type="data" outline="0" fieldPosition="0">
        <references count="2">
          <reference field="4294967294" count="1" selected="0">
            <x v="0"/>
          </reference>
          <reference field="8" count="1" selected="0">
            <x v="0"/>
          </reference>
        </references>
      </pivotArea>
    </chartFormat>
    <chartFormat chart="22" format="33">
      <pivotArea type="data" outline="0" fieldPosition="0">
        <references count="2">
          <reference field="4294967294" count="1" selected="0">
            <x v="0"/>
          </reference>
          <reference field="8" count="1" selected="0">
            <x v="1"/>
          </reference>
        </references>
      </pivotArea>
    </chartFormat>
    <chartFormat chart="25" format="3" series="1">
      <pivotArea type="data" outline="0" fieldPosition="0">
        <references count="1">
          <reference field="4294967294" count="1" selected="0">
            <x v="0"/>
          </reference>
        </references>
      </pivotArea>
    </chartFormat>
    <chartFormat chart="25" format="4">
      <pivotArea type="data" outline="0" fieldPosition="0">
        <references count="2">
          <reference field="4294967294" count="1" selected="0">
            <x v="0"/>
          </reference>
          <reference field="8" count="1" selected="0">
            <x v="0"/>
          </reference>
        </references>
      </pivotArea>
    </chartFormat>
    <chartFormat chart="25" format="5">
      <pivotArea type="data" outline="0" fieldPosition="0">
        <references count="2">
          <reference field="4294967294" count="1" selected="0">
            <x v="0"/>
          </reference>
          <reference field="8" count="1" selected="0">
            <x v="1"/>
          </reference>
        </references>
      </pivotArea>
    </chartFormat>
    <chartFormat chart="26" format="6" series="1">
      <pivotArea type="data" outline="0" fieldPosition="0">
        <references count="1">
          <reference field="4294967294" count="1" selected="0">
            <x v="0"/>
          </reference>
        </references>
      </pivotArea>
    </chartFormat>
    <chartFormat chart="26" format="7">
      <pivotArea type="data" outline="0" fieldPosition="0">
        <references count="2">
          <reference field="4294967294" count="1" selected="0">
            <x v="0"/>
          </reference>
          <reference field="8" count="1" selected="0">
            <x v="0"/>
          </reference>
        </references>
      </pivotArea>
    </chartFormat>
    <chartFormat chart="26" format="8">
      <pivotArea type="data" outline="0" fieldPosition="0">
        <references count="2">
          <reference field="4294967294" count="1" selected="0">
            <x v="0"/>
          </reference>
          <reference field="8" count="1" selected="0">
            <x v="1"/>
          </reference>
        </references>
      </pivotArea>
    </chartFormat>
    <chartFormat chart="27" format="3" series="1">
      <pivotArea type="data" outline="0" fieldPosition="0">
        <references count="1">
          <reference field="4294967294" count="1" selected="0">
            <x v="0"/>
          </reference>
        </references>
      </pivotArea>
    </chartFormat>
    <chartFormat chart="27" format="4">
      <pivotArea type="data" outline="0" fieldPosition="0">
        <references count="2">
          <reference field="4294967294" count="1" selected="0">
            <x v="0"/>
          </reference>
          <reference field="8" count="1" selected="0">
            <x v="0"/>
          </reference>
        </references>
      </pivotArea>
    </chartFormat>
    <chartFormat chart="27" format="5">
      <pivotArea type="data" outline="0" fieldPosition="0">
        <references count="2">
          <reference field="4294967294" count="1" selected="0">
            <x v="0"/>
          </reference>
          <reference field="8" count="1" selected="0">
            <x v="1"/>
          </reference>
        </references>
      </pivotArea>
    </chartFormat>
    <chartFormat chart="28" format="6" series="1">
      <pivotArea type="data" outline="0" fieldPosition="0">
        <references count="1">
          <reference field="4294967294" count="1" selected="0">
            <x v="0"/>
          </reference>
        </references>
      </pivotArea>
    </chartFormat>
    <chartFormat chart="28" format="7">
      <pivotArea type="data" outline="0" fieldPosition="0">
        <references count="2">
          <reference field="4294967294" count="1" selected="0">
            <x v="0"/>
          </reference>
          <reference field="8" count="1" selected="0">
            <x v="0"/>
          </reference>
        </references>
      </pivotArea>
    </chartFormat>
    <chartFormat chart="28" format="8">
      <pivotArea type="data" outline="0" fieldPosition="0">
        <references count="2">
          <reference field="4294967294" count="1" selected="0">
            <x v="0"/>
          </reference>
          <reference field="8" count="1" selected="0">
            <x v="1"/>
          </reference>
        </references>
      </pivotArea>
    </chartFormat>
    <chartFormat chart="29" format="9" series="1">
      <pivotArea type="data" outline="0" fieldPosition="0">
        <references count="1">
          <reference field="4294967294" count="1" selected="0">
            <x v="0"/>
          </reference>
        </references>
      </pivotArea>
    </chartFormat>
    <chartFormat chart="29" format="10">
      <pivotArea type="data" outline="0" fieldPosition="0">
        <references count="2">
          <reference field="4294967294" count="1" selected="0">
            <x v="0"/>
          </reference>
          <reference field="8" count="1" selected="0">
            <x v="0"/>
          </reference>
        </references>
      </pivotArea>
    </chartFormat>
    <chartFormat chart="29" format="11">
      <pivotArea type="data" outline="0" fieldPosition="0">
        <references count="2">
          <reference field="4294967294" count="1" selected="0">
            <x v="0"/>
          </reference>
          <reference field="8" count="1" selected="0">
            <x v="1"/>
          </reference>
        </references>
      </pivotArea>
    </chartFormat>
    <chartFormat chart="30" format="12" series="1">
      <pivotArea type="data" outline="0" fieldPosition="0">
        <references count="1">
          <reference field="4294967294" count="1" selected="0">
            <x v="0"/>
          </reference>
        </references>
      </pivotArea>
    </chartFormat>
    <chartFormat chart="30" format="13">
      <pivotArea type="data" outline="0" fieldPosition="0">
        <references count="2">
          <reference field="4294967294" count="1" selected="0">
            <x v="0"/>
          </reference>
          <reference field="8" count="1" selected="0">
            <x v="0"/>
          </reference>
        </references>
      </pivotArea>
    </chartFormat>
    <chartFormat chart="30" format="14">
      <pivotArea type="data" outline="0" fieldPosition="0">
        <references count="2">
          <reference field="4294967294" count="1" selected="0">
            <x v="0"/>
          </reference>
          <reference field="8" count="1" selected="0">
            <x v="1"/>
          </reference>
        </references>
      </pivotArea>
    </chartFormat>
    <chartFormat chart="30" format="1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1" xr10:uid="{7FB41938-A072-4CEF-957A-F6817F8034EF}" sourceName="months">
  <pivotTables>
    <pivotTable tabId="3" name="PivotTable2"/>
    <pivotTable tabId="3" name="day wise book"/>
    <pivotTable tabId="5" name="category wise book"/>
    <pivotTable tabId="3" name="purpose wise book"/>
    <pivotTable tabId="3" name="Most time do people book cabs"/>
  </pivotTables>
  <data>
    <tabular pivotCacheId="628836111">
      <items count="12">
        <i x="0"/>
        <i x="1"/>
        <i x="2" s="1"/>
        <i x="3"/>
        <i x="4"/>
        <i x="5"/>
        <i x="6"/>
        <i x="7"/>
        <i x="8"/>
        <i x="9"/>
        <i x="10"/>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C8812FCC-6ECA-4548-B0BA-A04A8D67F2FF}" cache="Slicer_months1" caption="months" columnCount="12" showCaption="0" rowHeight="361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2" xr10:uid="{07E42D2A-7A12-45C3-B7B0-8DCC21BE9822}" cache="Slicer_months1" caption="months"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59060C-A67F-4905-A9FB-2201880E7F8F}" name="Table1" displayName="Table1" ref="A1:N1155" totalsRowShown="0">
  <autoFilter ref="A1:N1155" xr:uid="{8259060C-A67F-4905-A9FB-2201880E7F8F}"/>
  <tableColumns count="14">
    <tableColumn id="1" xr3:uid="{BE684F36-C472-4EB9-9600-97939473D949}" name="START_DATE" dataDxfId="3"/>
    <tableColumn id="2" xr3:uid="{1EBF054A-0E3D-4307-8B45-B145AEC2E6D6}" name="StartDate" dataDxfId="2">
      <calculatedColumnFormula>INT(A2)</calculatedColumnFormula>
    </tableColumn>
    <tableColumn id="3" xr3:uid="{8CDE2217-C12E-44FC-8F8D-D672BC5D1C63}" name="months">
      <calculatedColumnFormula>TEXT(B2, "mmmm")</calculatedColumnFormula>
    </tableColumn>
    <tableColumn id="4" xr3:uid="{16EB3153-472B-4057-A513-A20A6B348BE4}" name="Days">
      <calculatedColumnFormula>TEXT(B2, "dddd")</calculatedColumnFormula>
    </tableColumn>
    <tableColumn id="5" xr3:uid="{9BAEB9D2-C514-46F0-BC1E-DD463941EAAA}" name="StartTime">
      <calculatedColumnFormula>TEXT(A2, "hh:mm:ss AM/PM")</calculatedColumnFormula>
    </tableColumn>
    <tableColumn id="6" xr3:uid="{30088BFC-4868-4569-B0D5-98B8B468364F}" name="END_DATE" dataDxfId="1"/>
    <tableColumn id="7" xr3:uid="{0AA97919-2684-49AB-AB30-1A4810E8D9FD}" name="END_Time" dataDxfId="0">
      <calculatedColumnFormula>F2-INT(F2)</calculatedColumnFormula>
    </tableColumn>
    <tableColumn id="8" xr3:uid="{09B58E2A-BE4F-4B4A-A1FF-FCF7D7FDEC56}" name="Duration_Time">
      <calculatedColumnFormula>HOUR(IF(G2&lt;E2, G2+1-E2, G2-E2))*60 + MINUTE(IF(G2&lt;E2, G2+1-E2, G2-E2)) &amp; " min"</calculatedColumnFormula>
    </tableColumn>
    <tableColumn id="9" xr3:uid="{4D58F3A7-F1AA-4D10-A54E-C548D4D1E2C7}" name="CATEGORY"/>
    <tableColumn id="10" xr3:uid="{C299F9FD-E651-4DB7-A194-371A41D45ABC}" name="START"/>
    <tableColumn id="11" xr3:uid="{7B7AAABA-CE0D-41A1-8976-376BC83549CC}" name="STOP"/>
    <tableColumn id="12" xr3:uid="{37D39B53-33ED-452B-B1E2-BD31732178C5}" name="MILES"/>
    <tableColumn id="13" xr3:uid="{723F99D8-C128-44E4-8D13-8FCF4A245590}" name="PURPOSE"/>
    <tableColumn id="14" xr3:uid="{665A0FA1-9857-4540-B7BC-5033866C8CB1}" name="DAY-NIGHT">
      <calculatedColumnFormula array="1">_xlfn.IFS(
    AND(HOUR(A2)&gt;=0, HOUR(A2)&lt;10), "Morning",
    AND(HOUR(A2)&gt;=10, HOUR(A2)&lt;15), "Afternoon",
    AND(HOUR(E2)&gt;=15, HOUR(E2)&lt;19), "Evening",
    AND(HOUR(E2)&gt;=19, HOUR(E2)&lt;=23), "Night"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5846B07-7B7A-4F7B-B113-607E12C2B979}">
  <we:reference id="wa200005502" version="1.0.0.11" store="en-US" storeType="omex"/>
  <we:alternateReferences>
    <we:reference id="wa200005502" version="1.0.0.11" store="en-US" storeType="omex"/>
  </we:alternateReferences>
  <we:properties>
    <we:property name="docId" value="&quot;94BPhVPgs6qmp2aCIHEXJ&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4.xml"/><Relationship Id="rId7"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6DA41-CA58-432C-B81E-B7A0E189B2A5}">
  <dimension ref="A17:N39"/>
  <sheetViews>
    <sheetView showGridLines="0" tabSelected="1" workbookViewId="0">
      <selection activeCell="G25" sqref="G25"/>
    </sheetView>
  </sheetViews>
  <sheetFormatPr defaultRowHeight="15" x14ac:dyDescent="0.25"/>
  <cols>
    <col min="1" max="1" width="12.85546875" style="5" bestFit="1" customWidth="1"/>
    <col min="2" max="2" width="18.85546875" style="5" bestFit="1" customWidth="1"/>
    <col min="3" max="16384" width="9.140625" style="5"/>
  </cols>
  <sheetData>
    <row r="17" spans="14:14" x14ac:dyDescent="0.25">
      <c r="N17"/>
    </row>
    <row r="37" spans="1:2" x14ac:dyDescent="0.25">
      <c r="A37" s="1" t="s">
        <v>0</v>
      </c>
      <c r="B37" t="s">
        <v>1</v>
      </c>
    </row>
    <row r="38" spans="1:2" x14ac:dyDescent="0.25">
      <c r="A38" t="s">
        <v>2</v>
      </c>
      <c r="B38" s="6">
        <v>85</v>
      </c>
    </row>
    <row r="39" spans="1:2" x14ac:dyDescent="0.25">
      <c r="A39" t="s">
        <v>3</v>
      </c>
      <c r="B39" s="6">
        <v>28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9D508-1304-48A0-8A03-7510965502A1}">
  <dimension ref="A1:B313"/>
  <sheetViews>
    <sheetView topLeftCell="A12" workbookViewId="0">
      <selection activeCell="D36" sqref="D36:D37"/>
    </sheetView>
  </sheetViews>
  <sheetFormatPr defaultRowHeight="15" x14ac:dyDescent="0.25"/>
  <cols>
    <col min="1" max="1" width="13.42578125" bestFit="1" customWidth="1"/>
    <col min="2" max="2" width="19.42578125" bestFit="1" customWidth="1"/>
    <col min="3" max="4" width="13.28515625" bestFit="1" customWidth="1"/>
  </cols>
  <sheetData>
    <row r="1" spans="1:2" x14ac:dyDescent="0.25">
      <c r="A1" s="1" t="s">
        <v>0</v>
      </c>
      <c r="B1" t="s">
        <v>1</v>
      </c>
    </row>
    <row r="2" spans="1:2" x14ac:dyDescent="0.25">
      <c r="A2" t="s">
        <v>2</v>
      </c>
      <c r="B2" s="6">
        <v>85</v>
      </c>
    </row>
    <row r="3" spans="1:2" x14ac:dyDescent="0.25">
      <c r="A3" t="s">
        <v>3</v>
      </c>
      <c r="B3" s="6">
        <v>28</v>
      </c>
    </row>
    <row r="7" spans="1:2" x14ac:dyDescent="0.25">
      <c r="A7" s="1" t="s">
        <v>4</v>
      </c>
      <c r="B7" t="s">
        <v>5</v>
      </c>
    </row>
    <row r="8" spans="1:2" x14ac:dyDescent="0.25">
      <c r="A8" t="s">
        <v>6</v>
      </c>
      <c r="B8" s="6">
        <v>2</v>
      </c>
    </row>
    <row r="9" spans="1:2" x14ac:dyDescent="0.25">
      <c r="A9" t="s">
        <v>7</v>
      </c>
      <c r="B9" s="6">
        <v>14</v>
      </c>
    </row>
    <row r="10" spans="1:2" x14ac:dyDescent="0.25">
      <c r="A10" t="s">
        <v>8</v>
      </c>
      <c r="B10" s="6">
        <v>7</v>
      </c>
    </row>
    <row r="11" spans="1:2" x14ac:dyDescent="0.25">
      <c r="A11" t="s">
        <v>9</v>
      </c>
      <c r="B11" s="6">
        <v>30</v>
      </c>
    </row>
    <row r="12" spans="1:2" x14ac:dyDescent="0.25">
      <c r="A12" t="s">
        <v>10</v>
      </c>
      <c r="B12" s="6">
        <v>15</v>
      </c>
    </row>
    <row r="13" spans="1:2" x14ac:dyDescent="0.25">
      <c r="A13" t="s">
        <v>11</v>
      </c>
      <c r="B13" s="6">
        <v>2</v>
      </c>
    </row>
    <row r="14" spans="1:2" x14ac:dyDescent="0.25">
      <c r="A14" t="s">
        <v>12</v>
      </c>
      <c r="B14" s="6">
        <v>70</v>
      </c>
    </row>
    <row r="21" spans="1:2" x14ac:dyDescent="0.25">
      <c r="A21" s="1" t="s">
        <v>13</v>
      </c>
      <c r="B21" t="s">
        <v>14</v>
      </c>
    </row>
    <row r="22" spans="1:2" x14ac:dyDescent="0.25">
      <c r="A22" t="s">
        <v>15</v>
      </c>
      <c r="B22" s="6">
        <v>19</v>
      </c>
    </row>
    <row r="23" spans="1:2" x14ac:dyDescent="0.25">
      <c r="A23" t="s">
        <v>16</v>
      </c>
      <c r="B23" s="6">
        <v>26</v>
      </c>
    </row>
    <row r="24" spans="1:2" x14ac:dyDescent="0.25">
      <c r="A24" t="s">
        <v>18</v>
      </c>
      <c r="B24" s="6">
        <v>32</v>
      </c>
    </row>
    <row r="25" spans="1:2" x14ac:dyDescent="0.25">
      <c r="A25" t="s">
        <v>17</v>
      </c>
      <c r="B25" s="6">
        <v>36</v>
      </c>
    </row>
    <row r="26" spans="1:2" x14ac:dyDescent="0.25">
      <c r="A26" t="s">
        <v>12</v>
      </c>
      <c r="B26" s="6">
        <v>113</v>
      </c>
    </row>
    <row r="28" spans="1:2" x14ac:dyDescent="0.25">
      <c r="A28" s="1" t="s">
        <v>19</v>
      </c>
      <c r="B28" t="s">
        <v>20</v>
      </c>
    </row>
    <row r="29" spans="1:2" x14ac:dyDescent="0.25">
      <c r="A29" t="s">
        <v>21</v>
      </c>
      <c r="B29" s="6">
        <v>61</v>
      </c>
    </row>
    <row r="30" spans="1:2" x14ac:dyDescent="0.25">
      <c r="A30" t="s">
        <v>22</v>
      </c>
      <c r="B30" s="6">
        <v>115</v>
      </c>
    </row>
    <row r="31" spans="1:2" x14ac:dyDescent="0.25">
      <c r="A31" t="s">
        <v>23</v>
      </c>
      <c r="B31" s="6">
        <v>113</v>
      </c>
    </row>
    <row r="32" spans="1:2" x14ac:dyDescent="0.25">
      <c r="A32" t="s">
        <v>24</v>
      </c>
      <c r="B32" s="6">
        <v>54</v>
      </c>
    </row>
    <row r="33" spans="1:2" x14ac:dyDescent="0.25">
      <c r="A33" t="s">
        <v>25</v>
      </c>
      <c r="B33" s="6">
        <v>49</v>
      </c>
    </row>
    <row r="34" spans="1:2" x14ac:dyDescent="0.25">
      <c r="A34" t="s">
        <v>26</v>
      </c>
      <c r="B34" s="6">
        <v>107</v>
      </c>
    </row>
    <row r="35" spans="1:2" x14ac:dyDescent="0.25">
      <c r="A35" t="s">
        <v>27</v>
      </c>
      <c r="B35" s="6">
        <v>112</v>
      </c>
    </row>
    <row r="36" spans="1:2" x14ac:dyDescent="0.25">
      <c r="A36" t="s">
        <v>28</v>
      </c>
      <c r="B36" s="6">
        <v>133</v>
      </c>
    </row>
    <row r="37" spans="1:2" x14ac:dyDescent="0.25">
      <c r="A37" t="s">
        <v>29</v>
      </c>
      <c r="B37" s="6">
        <v>36</v>
      </c>
    </row>
    <row r="38" spans="1:2" x14ac:dyDescent="0.25">
      <c r="A38" t="s">
        <v>30</v>
      </c>
      <c r="B38" s="6">
        <v>106</v>
      </c>
    </row>
    <row r="39" spans="1:2" x14ac:dyDescent="0.25">
      <c r="A39" t="s">
        <v>31</v>
      </c>
      <c r="B39" s="6">
        <v>122</v>
      </c>
    </row>
    <row r="40" spans="1:2" x14ac:dyDescent="0.25">
      <c r="A40" t="s">
        <v>32</v>
      </c>
      <c r="B40" s="6">
        <v>146</v>
      </c>
    </row>
    <row r="41" spans="1:2" x14ac:dyDescent="0.25">
      <c r="A41" t="s">
        <v>12</v>
      </c>
      <c r="B41" s="6">
        <v>1154</v>
      </c>
    </row>
    <row r="43" spans="1:2" x14ac:dyDescent="0.25">
      <c r="A43" s="1" t="s">
        <v>33</v>
      </c>
      <c r="B43" t="s">
        <v>34</v>
      </c>
    </row>
    <row r="44" spans="1:2" x14ac:dyDescent="0.25">
      <c r="A44" t="s">
        <v>35</v>
      </c>
      <c r="B44" s="6">
        <v>6</v>
      </c>
    </row>
    <row r="45" spans="1:2" x14ac:dyDescent="0.25">
      <c r="A45" t="s">
        <v>38</v>
      </c>
      <c r="B45" s="6">
        <v>14</v>
      </c>
    </row>
    <row r="46" spans="1:2" x14ac:dyDescent="0.25">
      <c r="A46" t="s">
        <v>36</v>
      </c>
      <c r="B46" s="6">
        <v>14</v>
      </c>
    </row>
    <row r="47" spans="1:2" x14ac:dyDescent="0.25">
      <c r="A47" t="s">
        <v>40</v>
      </c>
      <c r="B47" s="6">
        <v>16</v>
      </c>
    </row>
    <row r="48" spans="1:2" x14ac:dyDescent="0.25">
      <c r="A48" t="s">
        <v>39</v>
      </c>
      <c r="B48" s="6">
        <v>20</v>
      </c>
    </row>
    <row r="49" spans="1:2" x14ac:dyDescent="0.25">
      <c r="A49" t="s">
        <v>37</v>
      </c>
      <c r="B49" s="6">
        <v>20</v>
      </c>
    </row>
    <row r="50" spans="1:2" x14ac:dyDescent="0.25">
      <c r="A50" t="s">
        <v>41</v>
      </c>
      <c r="B50" s="6">
        <v>23</v>
      </c>
    </row>
    <row r="51" spans="1:2" x14ac:dyDescent="0.25">
      <c r="A51" t="s">
        <v>12</v>
      </c>
      <c r="B51" s="6">
        <v>113</v>
      </c>
    </row>
    <row r="57" spans="1:2" x14ac:dyDescent="0.25">
      <c r="A57" s="1" t="s">
        <v>42</v>
      </c>
    </row>
    <row r="58" spans="1:2" x14ac:dyDescent="0.25">
      <c r="A58">
        <v>0.5</v>
      </c>
      <c r="B58">
        <v>0.5</v>
      </c>
    </row>
    <row r="59" spans="1:2" x14ac:dyDescent="0.25">
      <c r="A59">
        <v>0.6</v>
      </c>
      <c r="B59">
        <v>0.6</v>
      </c>
    </row>
    <row r="60" spans="1:2" x14ac:dyDescent="0.25">
      <c r="A60">
        <v>0.7</v>
      </c>
      <c r="B60">
        <v>0.7</v>
      </c>
    </row>
    <row r="61" spans="1:2" x14ac:dyDescent="0.25">
      <c r="A61">
        <v>0.8</v>
      </c>
      <c r="B61">
        <v>0.8</v>
      </c>
    </row>
    <row r="62" spans="1:2" x14ac:dyDescent="0.25">
      <c r="A62">
        <v>0.9</v>
      </c>
      <c r="B62">
        <v>0.9</v>
      </c>
    </row>
    <row r="63" spans="1:2" x14ac:dyDescent="0.25">
      <c r="A63">
        <v>1</v>
      </c>
      <c r="B63">
        <v>1</v>
      </c>
    </row>
    <row r="64" spans="1:2" x14ac:dyDescent="0.25">
      <c r="A64">
        <v>1.1000000000000001</v>
      </c>
      <c r="B64">
        <v>1.1000000000000001</v>
      </c>
    </row>
    <row r="65" spans="1:2" x14ac:dyDescent="0.25">
      <c r="A65">
        <v>1.2</v>
      </c>
      <c r="B65">
        <v>1.2</v>
      </c>
    </row>
    <row r="66" spans="1:2" x14ac:dyDescent="0.25">
      <c r="A66">
        <v>1.3</v>
      </c>
      <c r="B66">
        <v>1.3</v>
      </c>
    </row>
    <row r="67" spans="1:2" x14ac:dyDescent="0.25">
      <c r="A67">
        <v>1.4</v>
      </c>
      <c r="B67">
        <v>1.4</v>
      </c>
    </row>
    <row r="68" spans="1:2" x14ac:dyDescent="0.25">
      <c r="A68">
        <v>1.5</v>
      </c>
      <c r="B68">
        <v>1.5</v>
      </c>
    </row>
    <row r="69" spans="1:2" x14ac:dyDescent="0.25">
      <c r="A69">
        <v>1.6</v>
      </c>
      <c r="B69">
        <v>1.6</v>
      </c>
    </row>
    <row r="70" spans="1:2" x14ac:dyDescent="0.25">
      <c r="A70">
        <v>1.7</v>
      </c>
      <c r="B70">
        <v>1.7</v>
      </c>
    </row>
    <row r="71" spans="1:2" x14ac:dyDescent="0.25">
      <c r="A71">
        <v>1.8</v>
      </c>
      <c r="B71">
        <v>1.8</v>
      </c>
    </row>
    <row r="72" spans="1:2" x14ac:dyDescent="0.25">
      <c r="A72">
        <v>1.9</v>
      </c>
      <c r="B72">
        <v>1.9</v>
      </c>
    </row>
    <row r="73" spans="1:2" x14ac:dyDescent="0.25">
      <c r="A73">
        <v>2</v>
      </c>
      <c r="B73">
        <v>2</v>
      </c>
    </row>
    <row r="74" spans="1:2" x14ac:dyDescent="0.25">
      <c r="A74">
        <v>2.1</v>
      </c>
      <c r="B74">
        <v>2.1</v>
      </c>
    </row>
    <row r="75" spans="1:2" x14ac:dyDescent="0.25">
      <c r="A75">
        <v>2.2000000000000002</v>
      </c>
      <c r="B75">
        <v>2.2000000000000002</v>
      </c>
    </row>
    <row r="76" spans="1:2" x14ac:dyDescent="0.25">
      <c r="A76">
        <v>2.2999999999999998</v>
      </c>
      <c r="B76">
        <v>2.2999999999999998</v>
      </c>
    </row>
    <row r="77" spans="1:2" x14ac:dyDescent="0.25">
      <c r="A77">
        <v>2.4</v>
      </c>
      <c r="B77">
        <v>2.4</v>
      </c>
    </row>
    <row r="78" spans="1:2" x14ac:dyDescent="0.25">
      <c r="A78">
        <v>2.5</v>
      </c>
      <c r="B78">
        <v>2.5</v>
      </c>
    </row>
    <row r="79" spans="1:2" x14ac:dyDescent="0.25">
      <c r="A79">
        <v>2.6</v>
      </c>
      <c r="B79">
        <v>2.6</v>
      </c>
    </row>
    <row r="80" spans="1:2" x14ac:dyDescent="0.25">
      <c r="A80">
        <v>2.7</v>
      </c>
      <c r="B80">
        <v>2.7</v>
      </c>
    </row>
    <row r="81" spans="1:2" x14ac:dyDescent="0.25">
      <c r="A81">
        <v>2.8</v>
      </c>
      <c r="B81">
        <v>2.8</v>
      </c>
    </row>
    <row r="82" spans="1:2" x14ac:dyDescent="0.25">
      <c r="A82">
        <v>2.9</v>
      </c>
      <c r="B82">
        <v>2.9</v>
      </c>
    </row>
    <row r="83" spans="1:2" x14ac:dyDescent="0.25">
      <c r="A83">
        <v>3</v>
      </c>
      <c r="B83">
        <v>3</v>
      </c>
    </row>
    <row r="84" spans="1:2" x14ac:dyDescent="0.25">
      <c r="A84">
        <v>3.1</v>
      </c>
      <c r="B84">
        <v>3.1</v>
      </c>
    </row>
    <row r="85" spans="1:2" x14ac:dyDescent="0.25">
      <c r="A85">
        <v>3.2</v>
      </c>
      <c r="B85">
        <v>3.2</v>
      </c>
    </row>
    <row r="86" spans="1:2" x14ac:dyDescent="0.25">
      <c r="A86">
        <v>3.3</v>
      </c>
      <c r="B86">
        <v>3.3</v>
      </c>
    </row>
    <row r="87" spans="1:2" x14ac:dyDescent="0.25">
      <c r="A87">
        <v>3.4</v>
      </c>
      <c r="B87">
        <v>3.4</v>
      </c>
    </row>
    <row r="88" spans="1:2" x14ac:dyDescent="0.25">
      <c r="A88">
        <v>3.5</v>
      </c>
      <c r="B88">
        <v>3.5</v>
      </c>
    </row>
    <row r="89" spans="1:2" x14ac:dyDescent="0.25">
      <c r="A89">
        <v>3.6</v>
      </c>
      <c r="B89">
        <v>3.6</v>
      </c>
    </row>
    <row r="90" spans="1:2" x14ac:dyDescent="0.25">
      <c r="A90">
        <v>3.7</v>
      </c>
      <c r="B90">
        <v>3.7</v>
      </c>
    </row>
    <row r="91" spans="1:2" x14ac:dyDescent="0.25">
      <c r="A91">
        <v>3.8</v>
      </c>
      <c r="B91">
        <v>3.8</v>
      </c>
    </row>
    <row r="92" spans="1:2" x14ac:dyDescent="0.25">
      <c r="A92">
        <v>3.9</v>
      </c>
      <c r="B92">
        <v>3.9</v>
      </c>
    </row>
    <row r="93" spans="1:2" x14ac:dyDescent="0.25">
      <c r="A93">
        <v>4</v>
      </c>
      <c r="B93">
        <v>4</v>
      </c>
    </row>
    <row r="94" spans="1:2" x14ac:dyDescent="0.25">
      <c r="A94">
        <v>4.0999999999999996</v>
      </c>
      <c r="B94">
        <v>4.0999999999999996</v>
      </c>
    </row>
    <row r="95" spans="1:2" x14ac:dyDescent="0.25">
      <c r="A95">
        <v>4.2</v>
      </c>
      <c r="B95">
        <v>4.2</v>
      </c>
    </row>
    <row r="96" spans="1:2" x14ac:dyDescent="0.25">
      <c r="A96">
        <v>4.3</v>
      </c>
      <c r="B96">
        <v>4.3</v>
      </c>
    </row>
    <row r="97" spans="1:2" x14ac:dyDescent="0.25">
      <c r="A97">
        <v>4.4000000000000004</v>
      </c>
      <c r="B97">
        <v>4.4000000000000004</v>
      </c>
    </row>
    <row r="98" spans="1:2" x14ac:dyDescent="0.25">
      <c r="A98">
        <v>4.5</v>
      </c>
      <c r="B98">
        <v>4.5</v>
      </c>
    </row>
    <row r="99" spans="1:2" x14ac:dyDescent="0.25">
      <c r="A99">
        <v>4.5999999999999996</v>
      </c>
      <c r="B99">
        <v>4.5999999999999996</v>
      </c>
    </row>
    <row r="100" spans="1:2" x14ac:dyDescent="0.25">
      <c r="A100">
        <v>4.7</v>
      </c>
      <c r="B100">
        <v>4.7</v>
      </c>
    </row>
    <row r="101" spans="1:2" x14ac:dyDescent="0.25">
      <c r="A101">
        <v>4.8</v>
      </c>
      <c r="B101">
        <v>4.8</v>
      </c>
    </row>
    <row r="102" spans="1:2" x14ac:dyDescent="0.25">
      <c r="A102">
        <v>4.9000000000000004</v>
      </c>
      <c r="B102">
        <v>4.9000000000000004</v>
      </c>
    </row>
    <row r="103" spans="1:2" x14ac:dyDescent="0.25">
      <c r="A103">
        <v>5</v>
      </c>
      <c r="B103">
        <v>5</v>
      </c>
    </row>
    <row r="104" spans="1:2" x14ac:dyDescent="0.25">
      <c r="A104">
        <v>5.0999999999999996</v>
      </c>
      <c r="B104">
        <v>5.0999999999999996</v>
      </c>
    </row>
    <row r="105" spans="1:2" x14ac:dyDescent="0.25">
      <c r="A105">
        <v>5.2</v>
      </c>
      <c r="B105">
        <v>5.2</v>
      </c>
    </row>
    <row r="106" spans="1:2" x14ac:dyDescent="0.25">
      <c r="A106">
        <v>5.3</v>
      </c>
      <c r="B106">
        <v>5.3</v>
      </c>
    </row>
    <row r="107" spans="1:2" x14ac:dyDescent="0.25">
      <c r="A107">
        <v>5.4</v>
      </c>
      <c r="B107">
        <v>5.4</v>
      </c>
    </row>
    <row r="108" spans="1:2" x14ac:dyDescent="0.25">
      <c r="A108">
        <v>5.5</v>
      </c>
      <c r="B108">
        <v>5.5</v>
      </c>
    </row>
    <row r="109" spans="1:2" x14ac:dyDescent="0.25">
      <c r="A109">
        <v>5.6</v>
      </c>
      <c r="B109">
        <v>5.6</v>
      </c>
    </row>
    <row r="110" spans="1:2" x14ac:dyDescent="0.25">
      <c r="A110">
        <v>5.7</v>
      </c>
      <c r="B110">
        <v>5.7</v>
      </c>
    </row>
    <row r="111" spans="1:2" x14ac:dyDescent="0.25">
      <c r="A111">
        <v>5.8</v>
      </c>
      <c r="B111">
        <v>5.8</v>
      </c>
    </row>
    <row r="112" spans="1:2" x14ac:dyDescent="0.25">
      <c r="A112">
        <v>5.9</v>
      </c>
      <c r="B112">
        <v>5.9</v>
      </c>
    </row>
    <row r="113" spans="1:2" x14ac:dyDescent="0.25">
      <c r="A113">
        <v>6</v>
      </c>
      <c r="B113">
        <v>6</v>
      </c>
    </row>
    <row r="114" spans="1:2" x14ac:dyDescent="0.25">
      <c r="A114">
        <v>6.1</v>
      </c>
      <c r="B114">
        <v>6.1</v>
      </c>
    </row>
    <row r="115" spans="1:2" x14ac:dyDescent="0.25">
      <c r="A115">
        <v>6.2</v>
      </c>
      <c r="B115">
        <v>6.2</v>
      </c>
    </row>
    <row r="116" spans="1:2" x14ac:dyDescent="0.25">
      <c r="A116">
        <v>6.3</v>
      </c>
      <c r="B116">
        <v>6.3</v>
      </c>
    </row>
    <row r="117" spans="1:2" x14ac:dyDescent="0.25">
      <c r="A117">
        <v>6.4</v>
      </c>
      <c r="B117">
        <v>6.4</v>
      </c>
    </row>
    <row r="118" spans="1:2" x14ac:dyDescent="0.25">
      <c r="A118">
        <v>6.5</v>
      </c>
      <c r="B118">
        <v>6.5</v>
      </c>
    </row>
    <row r="119" spans="1:2" x14ac:dyDescent="0.25">
      <c r="A119">
        <v>6.6</v>
      </c>
      <c r="B119">
        <v>6.6</v>
      </c>
    </row>
    <row r="120" spans="1:2" x14ac:dyDescent="0.25">
      <c r="A120">
        <v>6.7</v>
      </c>
      <c r="B120">
        <v>6.7</v>
      </c>
    </row>
    <row r="121" spans="1:2" x14ac:dyDescent="0.25">
      <c r="A121">
        <v>6.8</v>
      </c>
      <c r="B121">
        <v>6.8</v>
      </c>
    </row>
    <row r="122" spans="1:2" x14ac:dyDescent="0.25">
      <c r="A122">
        <v>6.9</v>
      </c>
      <c r="B122">
        <v>6.9</v>
      </c>
    </row>
    <row r="123" spans="1:2" x14ac:dyDescent="0.25">
      <c r="A123">
        <v>7</v>
      </c>
      <c r="B123">
        <v>7</v>
      </c>
    </row>
    <row r="124" spans="1:2" x14ac:dyDescent="0.25">
      <c r="A124">
        <v>7.1</v>
      </c>
      <c r="B124">
        <v>7.1</v>
      </c>
    </row>
    <row r="125" spans="1:2" x14ac:dyDescent="0.25">
      <c r="A125">
        <v>7.2</v>
      </c>
      <c r="B125">
        <v>7.2</v>
      </c>
    </row>
    <row r="126" spans="1:2" x14ac:dyDescent="0.25">
      <c r="A126">
        <v>7.3</v>
      </c>
      <c r="B126">
        <v>7.3</v>
      </c>
    </row>
    <row r="127" spans="1:2" x14ac:dyDescent="0.25">
      <c r="A127">
        <v>7.4</v>
      </c>
      <c r="B127">
        <v>7.4</v>
      </c>
    </row>
    <row r="128" spans="1:2" x14ac:dyDescent="0.25">
      <c r="A128">
        <v>7.5</v>
      </c>
      <c r="B128">
        <v>7.5</v>
      </c>
    </row>
    <row r="129" spans="1:2" x14ac:dyDescent="0.25">
      <c r="A129">
        <v>7.6</v>
      </c>
      <c r="B129">
        <v>7.6</v>
      </c>
    </row>
    <row r="130" spans="1:2" x14ac:dyDescent="0.25">
      <c r="A130">
        <v>7.7</v>
      </c>
      <c r="B130">
        <v>7.7</v>
      </c>
    </row>
    <row r="131" spans="1:2" x14ac:dyDescent="0.25">
      <c r="A131">
        <v>7.8</v>
      </c>
      <c r="B131">
        <v>7.8</v>
      </c>
    </row>
    <row r="132" spans="1:2" x14ac:dyDescent="0.25">
      <c r="A132">
        <v>7.9</v>
      </c>
      <c r="B132">
        <v>7.9</v>
      </c>
    </row>
    <row r="133" spans="1:2" x14ac:dyDescent="0.25">
      <c r="A133">
        <v>8</v>
      </c>
      <c r="B133">
        <v>8</v>
      </c>
    </row>
    <row r="134" spans="1:2" x14ac:dyDescent="0.25">
      <c r="A134">
        <v>8.1</v>
      </c>
      <c r="B134">
        <v>8.1</v>
      </c>
    </row>
    <row r="135" spans="1:2" x14ac:dyDescent="0.25">
      <c r="A135">
        <v>8.1999999999999993</v>
      </c>
      <c r="B135">
        <v>8.1999999999999993</v>
      </c>
    </row>
    <row r="136" spans="1:2" x14ac:dyDescent="0.25">
      <c r="A136">
        <v>8.3000000000000007</v>
      </c>
      <c r="B136">
        <v>8.3000000000000007</v>
      </c>
    </row>
    <row r="137" spans="1:2" x14ac:dyDescent="0.25">
      <c r="A137">
        <v>8.4</v>
      </c>
      <c r="B137">
        <v>8.4</v>
      </c>
    </row>
    <row r="138" spans="1:2" x14ac:dyDescent="0.25">
      <c r="A138">
        <v>8.5</v>
      </c>
      <c r="B138">
        <v>8.5</v>
      </c>
    </row>
    <row r="139" spans="1:2" x14ac:dyDescent="0.25">
      <c r="A139">
        <v>8.6</v>
      </c>
      <c r="B139">
        <v>8.6</v>
      </c>
    </row>
    <row r="140" spans="1:2" x14ac:dyDescent="0.25">
      <c r="A140">
        <v>8.6999999999999993</v>
      </c>
      <c r="B140">
        <v>8.6999999999999993</v>
      </c>
    </row>
    <row r="141" spans="1:2" x14ac:dyDescent="0.25">
      <c r="A141">
        <v>8.8000000000000007</v>
      </c>
      <c r="B141">
        <v>8.8000000000000007</v>
      </c>
    </row>
    <row r="142" spans="1:2" x14ac:dyDescent="0.25">
      <c r="A142">
        <v>8.9</v>
      </c>
      <c r="B142">
        <v>8.9</v>
      </c>
    </row>
    <row r="143" spans="1:2" x14ac:dyDescent="0.25">
      <c r="A143">
        <v>9</v>
      </c>
      <c r="B143">
        <v>9</v>
      </c>
    </row>
    <row r="144" spans="1:2" x14ac:dyDescent="0.25">
      <c r="A144">
        <v>9.1</v>
      </c>
      <c r="B144">
        <v>9.1</v>
      </c>
    </row>
    <row r="145" spans="1:2" x14ac:dyDescent="0.25">
      <c r="A145">
        <v>9.1999999999999993</v>
      </c>
      <c r="B145">
        <v>9.1999999999999993</v>
      </c>
    </row>
    <row r="146" spans="1:2" x14ac:dyDescent="0.25">
      <c r="A146">
        <v>9.3000000000000007</v>
      </c>
      <c r="B146">
        <v>9.3000000000000007</v>
      </c>
    </row>
    <row r="147" spans="1:2" x14ac:dyDescent="0.25">
      <c r="A147">
        <v>9.4</v>
      </c>
      <c r="B147">
        <v>9.4</v>
      </c>
    </row>
    <row r="148" spans="1:2" x14ac:dyDescent="0.25">
      <c r="A148">
        <v>9.5</v>
      </c>
      <c r="B148">
        <v>9.5</v>
      </c>
    </row>
    <row r="149" spans="1:2" x14ac:dyDescent="0.25">
      <c r="A149">
        <v>9.6</v>
      </c>
      <c r="B149">
        <v>9.6</v>
      </c>
    </row>
    <row r="150" spans="1:2" x14ac:dyDescent="0.25">
      <c r="A150">
        <v>9.6999999999999993</v>
      </c>
      <c r="B150">
        <v>9.6999999999999993</v>
      </c>
    </row>
    <row r="151" spans="1:2" x14ac:dyDescent="0.25">
      <c r="A151">
        <v>9.8000000000000007</v>
      </c>
      <c r="B151">
        <v>9.8000000000000007</v>
      </c>
    </row>
    <row r="152" spans="1:2" x14ac:dyDescent="0.25">
      <c r="A152">
        <v>9.9</v>
      </c>
      <c r="B152">
        <v>9.9</v>
      </c>
    </row>
    <row r="153" spans="1:2" x14ac:dyDescent="0.25">
      <c r="A153">
        <v>10</v>
      </c>
      <c r="B153">
        <v>10</v>
      </c>
    </row>
    <row r="154" spans="1:2" x14ac:dyDescent="0.25">
      <c r="A154">
        <v>10.1</v>
      </c>
      <c r="B154">
        <v>10.1</v>
      </c>
    </row>
    <row r="155" spans="1:2" x14ac:dyDescent="0.25">
      <c r="A155">
        <v>10.199999999999999</v>
      </c>
      <c r="B155">
        <v>10.199999999999999</v>
      </c>
    </row>
    <row r="156" spans="1:2" x14ac:dyDescent="0.25">
      <c r="A156">
        <v>10.3</v>
      </c>
      <c r="B156">
        <v>10.3</v>
      </c>
    </row>
    <row r="157" spans="1:2" x14ac:dyDescent="0.25">
      <c r="A157">
        <v>10.4</v>
      </c>
      <c r="B157">
        <v>10.4</v>
      </c>
    </row>
    <row r="158" spans="1:2" x14ac:dyDescent="0.25">
      <c r="A158">
        <v>10.5</v>
      </c>
      <c r="B158">
        <v>10.5</v>
      </c>
    </row>
    <row r="159" spans="1:2" x14ac:dyDescent="0.25">
      <c r="A159">
        <v>10.6</v>
      </c>
      <c r="B159">
        <v>10.6</v>
      </c>
    </row>
    <row r="160" spans="1:2" x14ac:dyDescent="0.25">
      <c r="A160">
        <v>10.7</v>
      </c>
      <c r="B160">
        <v>10.7</v>
      </c>
    </row>
    <row r="161" spans="1:2" x14ac:dyDescent="0.25">
      <c r="A161">
        <v>10.8</v>
      </c>
      <c r="B161">
        <v>10.8</v>
      </c>
    </row>
    <row r="162" spans="1:2" x14ac:dyDescent="0.25">
      <c r="A162">
        <v>10.9</v>
      </c>
      <c r="B162">
        <v>10.9</v>
      </c>
    </row>
    <row r="163" spans="1:2" x14ac:dyDescent="0.25">
      <c r="A163">
        <v>11</v>
      </c>
      <c r="B163">
        <v>11</v>
      </c>
    </row>
    <row r="164" spans="1:2" x14ac:dyDescent="0.25">
      <c r="A164">
        <v>11.1</v>
      </c>
      <c r="B164">
        <v>11.1</v>
      </c>
    </row>
    <row r="165" spans="1:2" x14ac:dyDescent="0.25">
      <c r="A165">
        <v>11.2</v>
      </c>
      <c r="B165">
        <v>11.2</v>
      </c>
    </row>
    <row r="166" spans="1:2" x14ac:dyDescent="0.25">
      <c r="A166">
        <v>11.3</v>
      </c>
      <c r="B166">
        <v>11.3</v>
      </c>
    </row>
    <row r="167" spans="1:2" x14ac:dyDescent="0.25">
      <c r="A167">
        <v>11.4</v>
      </c>
      <c r="B167">
        <v>11.4</v>
      </c>
    </row>
    <row r="168" spans="1:2" x14ac:dyDescent="0.25">
      <c r="A168">
        <v>11.5</v>
      </c>
      <c r="B168">
        <v>11.5</v>
      </c>
    </row>
    <row r="169" spans="1:2" x14ac:dyDescent="0.25">
      <c r="A169">
        <v>11.6</v>
      </c>
      <c r="B169">
        <v>11.6</v>
      </c>
    </row>
    <row r="170" spans="1:2" x14ac:dyDescent="0.25">
      <c r="A170">
        <v>11.8</v>
      </c>
      <c r="B170">
        <v>11.8</v>
      </c>
    </row>
    <row r="171" spans="1:2" x14ac:dyDescent="0.25">
      <c r="A171">
        <v>11.9</v>
      </c>
      <c r="B171">
        <v>11.9</v>
      </c>
    </row>
    <row r="172" spans="1:2" x14ac:dyDescent="0.25">
      <c r="A172">
        <v>12</v>
      </c>
      <c r="B172">
        <v>12</v>
      </c>
    </row>
    <row r="173" spans="1:2" x14ac:dyDescent="0.25">
      <c r="A173">
        <v>12.1</v>
      </c>
      <c r="B173">
        <v>12.1</v>
      </c>
    </row>
    <row r="174" spans="1:2" x14ac:dyDescent="0.25">
      <c r="A174">
        <v>12.2</v>
      </c>
      <c r="B174">
        <v>12.2</v>
      </c>
    </row>
    <row r="175" spans="1:2" x14ac:dyDescent="0.25">
      <c r="A175">
        <v>12.3</v>
      </c>
      <c r="B175">
        <v>12.3</v>
      </c>
    </row>
    <row r="176" spans="1:2" x14ac:dyDescent="0.25">
      <c r="A176">
        <v>12.4</v>
      </c>
      <c r="B176">
        <v>12.4</v>
      </c>
    </row>
    <row r="177" spans="1:2" x14ac:dyDescent="0.25">
      <c r="A177">
        <v>12.5</v>
      </c>
      <c r="B177">
        <v>12.5</v>
      </c>
    </row>
    <row r="178" spans="1:2" x14ac:dyDescent="0.25">
      <c r="A178">
        <v>12.6</v>
      </c>
      <c r="B178">
        <v>12.6</v>
      </c>
    </row>
    <row r="179" spans="1:2" x14ac:dyDescent="0.25">
      <c r="A179">
        <v>12.7</v>
      </c>
      <c r="B179">
        <v>12.7</v>
      </c>
    </row>
    <row r="180" spans="1:2" x14ac:dyDescent="0.25">
      <c r="A180">
        <v>12.8</v>
      </c>
      <c r="B180">
        <v>12.8</v>
      </c>
    </row>
    <row r="181" spans="1:2" x14ac:dyDescent="0.25">
      <c r="A181">
        <v>12.9</v>
      </c>
      <c r="B181">
        <v>12.9</v>
      </c>
    </row>
    <row r="182" spans="1:2" x14ac:dyDescent="0.25">
      <c r="A182">
        <v>13</v>
      </c>
      <c r="B182">
        <v>13</v>
      </c>
    </row>
    <row r="183" spans="1:2" x14ac:dyDescent="0.25">
      <c r="A183">
        <v>13.1</v>
      </c>
      <c r="B183">
        <v>13.1</v>
      </c>
    </row>
    <row r="184" spans="1:2" x14ac:dyDescent="0.25">
      <c r="A184">
        <v>13.2</v>
      </c>
      <c r="B184">
        <v>13.2</v>
      </c>
    </row>
    <row r="185" spans="1:2" x14ac:dyDescent="0.25">
      <c r="A185">
        <v>13.3</v>
      </c>
      <c r="B185">
        <v>13.3</v>
      </c>
    </row>
    <row r="186" spans="1:2" x14ac:dyDescent="0.25">
      <c r="A186">
        <v>13.4</v>
      </c>
      <c r="B186">
        <v>13.4</v>
      </c>
    </row>
    <row r="187" spans="1:2" x14ac:dyDescent="0.25">
      <c r="A187">
        <v>13.5</v>
      </c>
      <c r="B187">
        <v>13.5</v>
      </c>
    </row>
    <row r="188" spans="1:2" x14ac:dyDescent="0.25">
      <c r="A188">
        <v>13.6</v>
      </c>
      <c r="B188">
        <v>13.6</v>
      </c>
    </row>
    <row r="189" spans="1:2" x14ac:dyDescent="0.25">
      <c r="A189">
        <v>13.7</v>
      </c>
      <c r="B189">
        <v>13.7</v>
      </c>
    </row>
    <row r="190" spans="1:2" x14ac:dyDescent="0.25">
      <c r="A190">
        <v>13.8</v>
      </c>
      <c r="B190">
        <v>13.8</v>
      </c>
    </row>
    <row r="191" spans="1:2" x14ac:dyDescent="0.25">
      <c r="A191">
        <v>13.9</v>
      </c>
      <c r="B191">
        <v>13.9</v>
      </c>
    </row>
    <row r="192" spans="1:2" x14ac:dyDescent="0.25">
      <c r="A192">
        <v>14</v>
      </c>
      <c r="B192">
        <v>14</v>
      </c>
    </row>
    <row r="193" spans="1:2" x14ac:dyDescent="0.25">
      <c r="A193">
        <v>14.1</v>
      </c>
      <c r="B193">
        <v>14.1</v>
      </c>
    </row>
    <row r="194" spans="1:2" x14ac:dyDescent="0.25">
      <c r="A194">
        <v>14.2</v>
      </c>
      <c r="B194">
        <v>14.2</v>
      </c>
    </row>
    <row r="195" spans="1:2" x14ac:dyDescent="0.25">
      <c r="A195">
        <v>14.4</v>
      </c>
      <c r="B195">
        <v>14.4</v>
      </c>
    </row>
    <row r="196" spans="1:2" x14ac:dyDescent="0.25">
      <c r="A196">
        <v>14.5</v>
      </c>
      <c r="B196">
        <v>14.5</v>
      </c>
    </row>
    <row r="197" spans="1:2" x14ac:dyDescent="0.25">
      <c r="A197">
        <v>14.6</v>
      </c>
      <c r="B197">
        <v>14.6</v>
      </c>
    </row>
    <row r="198" spans="1:2" x14ac:dyDescent="0.25">
      <c r="A198">
        <v>14.7</v>
      </c>
      <c r="B198">
        <v>14.7</v>
      </c>
    </row>
    <row r="199" spans="1:2" x14ac:dyDescent="0.25">
      <c r="A199">
        <v>14.9</v>
      </c>
      <c r="B199">
        <v>14.9</v>
      </c>
    </row>
    <row r="200" spans="1:2" x14ac:dyDescent="0.25">
      <c r="A200">
        <v>15</v>
      </c>
      <c r="B200">
        <v>15</v>
      </c>
    </row>
    <row r="201" spans="1:2" x14ac:dyDescent="0.25">
      <c r="A201">
        <v>15.1</v>
      </c>
      <c r="B201">
        <v>15.1</v>
      </c>
    </row>
    <row r="202" spans="1:2" x14ac:dyDescent="0.25">
      <c r="A202">
        <v>15.2</v>
      </c>
      <c r="B202">
        <v>15.2</v>
      </c>
    </row>
    <row r="203" spans="1:2" x14ac:dyDescent="0.25">
      <c r="A203">
        <v>15.3</v>
      </c>
      <c r="B203">
        <v>15.3</v>
      </c>
    </row>
    <row r="204" spans="1:2" x14ac:dyDescent="0.25">
      <c r="A204">
        <v>15.4</v>
      </c>
      <c r="B204">
        <v>15.4</v>
      </c>
    </row>
    <row r="205" spans="1:2" x14ac:dyDescent="0.25">
      <c r="A205">
        <v>15.5</v>
      </c>
      <c r="B205">
        <v>15.5</v>
      </c>
    </row>
    <row r="206" spans="1:2" x14ac:dyDescent="0.25">
      <c r="A206">
        <v>15.6</v>
      </c>
      <c r="B206">
        <v>15.6</v>
      </c>
    </row>
    <row r="207" spans="1:2" x14ac:dyDescent="0.25">
      <c r="A207">
        <v>15.7</v>
      </c>
      <c r="B207">
        <v>15.7</v>
      </c>
    </row>
    <row r="208" spans="1:2" x14ac:dyDescent="0.25">
      <c r="A208">
        <v>15.9</v>
      </c>
      <c r="B208">
        <v>15.9</v>
      </c>
    </row>
    <row r="209" spans="1:2" x14ac:dyDescent="0.25">
      <c r="A209">
        <v>16.100000000000001</v>
      </c>
      <c r="B209">
        <v>16.100000000000001</v>
      </c>
    </row>
    <row r="210" spans="1:2" x14ac:dyDescent="0.25">
      <c r="A210">
        <v>16.2</v>
      </c>
      <c r="B210">
        <v>16.2</v>
      </c>
    </row>
    <row r="211" spans="1:2" x14ac:dyDescent="0.25">
      <c r="A211">
        <v>16.3</v>
      </c>
      <c r="B211">
        <v>16.3</v>
      </c>
    </row>
    <row r="212" spans="1:2" x14ac:dyDescent="0.25">
      <c r="A212">
        <v>16.399999999999999</v>
      </c>
      <c r="B212">
        <v>16.399999999999999</v>
      </c>
    </row>
    <row r="213" spans="1:2" x14ac:dyDescent="0.25">
      <c r="A213">
        <v>16.5</v>
      </c>
      <c r="B213">
        <v>16.5</v>
      </c>
    </row>
    <row r="214" spans="1:2" x14ac:dyDescent="0.25">
      <c r="A214">
        <v>16.600000000000001</v>
      </c>
      <c r="B214">
        <v>16.600000000000001</v>
      </c>
    </row>
    <row r="215" spans="1:2" x14ac:dyDescent="0.25">
      <c r="A215">
        <v>16.7</v>
      </c>
      <c r="B215">
        <v>16.7</v>
      </c>
    </row>
    <row r="216" spans="1:2" x14ac:dyDescent="0.25">
      <c r="A216">
        <v>17</v>
      </c>
      <c r="B216">
        <v>17</v>
      </c>
    </row>
    <row r="217" spans="1:2" x14ac:dyDescent="0.25">
      <c r="A217">
        <v>17.100000000000001</v>
      </c>
      <c r="B217">
        <v>17.100000000000001</v>
      </c>
    </row>
    <row r="218" spans="1:2" x14ac:dyDescent="0.25">
      <c r="A218">
        <v>17.2</v>
      </c>
      <c r="B218">
        <v>17.2</v>
      </c>
    </row>
    <row r="219" spans="1:2" x14ac:dyDescent="0.25">
      <c r="A219">
        <v>17.3</v>
      </c>
      <c r="B219">
        <v>17.3</v>
      </c>
    </row>
    <row r="220" spans="1:2" x14ac:dyDescent="0.25">
      <c r="A220">
        <v>17.399999999999999</v>
      </c>
      <c r="B220">
        <v>17.399999999999999</v>
      </c>
    </row>
    <row r="221" spans="1:2" x14ac:dyDescent="0.25">
      <c r="A221">
        <v>17.600000000000001</v>
      </c>
      <c r="B221">
        <v>17.600000000000001</v>
      </c>
    </row>
    <row r="222" spans="1:2" x14ac:dyDescent="0.25">
      <c r="A222">
        <v>17.7</v>
      </c>
      <c r="B222">
        <v>17.7</v>
      </c>
    </row>
    <row r="223" spans="1:2" x14ac:dyDescent="0.25">
      <c r="A223">
        <v>17.899999999999999</v>
      </c>
      <c r="B223">
        <v>17.899999999999999</v>
      </c>
    </row>
    <row r="224" spans="1:2" x14ac:dyDescent="0.25">
      <c r="A224">
        <v>18</v>
      </c>
      <c r="B224">
        <v>18</v>
      </c>
    </row>
    <row r="225" spans="1:2" x14ac:dyDescent="0.25">
      <c r="A225">
        <v>18.2</v>
      </c>
      <c r="B225">
        <v>18.2</v>
      </c>
    </row>
    <row r="226" spans="1:2" x14ac:dyDescent="0.25">
      <c r="A226">
        <v>18.3</v>
      </c>
      <c r="B226">
        <v>18.3</v>
      </c>
    </row>
    <row r="227" spans="1:2" x14ac:dyDescent="0.25">
      <c r="A227">
        <v>18.399999999999999</v>
      </c>
      <c r="B227">
        <v>18.399999999999999</v>
      </c>
    </row>
    <row r="228" spans="1:2" x14ac:dyDescent="0.25">
      <c r="A228">
        <v>18.5</v>
      </c>
      <c r="B228">
        <v>18.5</v>
      </c>
    </row>
    <row r="229" spans="1:2" x14ac:dyDescent="0.25">
      <c r="A229">
        <v>18.600000000000001</v>
      </c>
      <c r="B229">
        <v>18.600000000000001</v>
      </c>
    </row>
    <row r="230" spans="1:2" x14ac:dyDescent="0.25">
      <c r="A230">
        <v>18.7</v>
      </c>
      <c r="B230">
        <v>18.7</v>
      </c>
    </row>
    <row r="231" spans="1:2" x14ac:dyDescent="0.25">
      <c r="A231">
        <v>18.899999999999999</v>
      </c>
      <c r="B231">
        <v>18.899999999999999</v>
      </c>
    </row>
    <row r="232" spans="1:2" x14ac:dyDescent="0.25">
      <c r="A232">
        <v>19</v>
      </c>
      <c r="B232">
        <v>19</v>
      </c>
    </row>
    <row r="233" spans="1:2" x14ac:dyDescent="0.25">
      <c r="A233">
        <v>19.100000000000001</v>
      </c>
      <c r="B233">
        <v>19.100000000000001</v>
      </c>
    </row>
    <row r="234" spans="1:2" x14ac:dyDescent="0.25">
      <c r="A234">
        <v>19.3</v>
      </c>
      <c r="B234">
        <v>19.3</v>
      </c>
    </row>
    <row r="235" spans="1:2" x14ac:dyDescent="0.25">
      <c r="A235">
        <v>19.399999999999999</v>
      </c>
      <c r="B235">
        <v>19.399999999999999</v>
      </c>
    </row>
    <row r="236" spans="1:2" x14ac:dyDescent="0.25">
      <c r="A236">
        <v>20</v>
      </c>
      <c r="B236">
        <v>20</v>
      </c>
    </row>
    <row r="237" spans="1:2" x14ac:dyDescent="0.25">
      <c r="A237">
        <v>20.2</v>
      </c>
      <c r="B237">
        <v>20.2</v>
      </c>
    </row>
    <row r="238" spans="1:2" x14ac:dyDescent="0.25">
      <c r="A238">
        <v>20.3</v>
      </c>
      <c r="B238">
        <v>20.3</v>
      </c>
    </row>
    <row r="239" spans="1:2" x14ac:dyDescent="0.25">
      <c r="A239">
        <v>20.5</v>
      </c>
      <c r="B239">
        <v>20.5</v>
      </c>
    </row>
    <row r="240" spans="1:2" x14ac:dyDescent="0.25">
      <c r="A240">
        <v>20.6</v>
      </c>
      <c r="B240">
        <v>20.6</v>
      </c>
    </row>
    <row r="241" spans="1:2" x14ac:dyDescent="0.25">
      <c r="A241">
        <v>21.4</v>
      </c>
      <c r="B241">
        <v>21.4</v>
      </c>
    </row>
    <row r="242" spans="1:2" x14ac:dyDescent="0.25">
      <c r="A242">
        <v>21.9</v>
      </c>
      <c r="B242">
        <v>21.9</v>
      </c>
    </row>
    <row r="243" spans="1:2" x14ac:dyDescent="0.25">
      <c r="A243">
        <v>22.3</v>
      </c>
      <c r="B243">
        <v>22.3</v>
      </c>
    </row>
    <row r="244" spans="1:2" x14ac:dyDescent="0.25">
      <c r="A244">
        <v>22.4</v>
      </c>
      <c r="B244">
        <v>22.4</v>
      </c>
    </row>
    <row r="245" spans="1:2" x14ac:dyDescent="0.25">
      <c r="A245">
        <v>22.5</v>
      </c>
      <c r="B245">
        <v>22.5</v>
      </c>
    </row>
    <row r="246" spans="1:2" x14ac:dyDescent="0.25">
      <c r="A246">
        <v>22.7</v>
      </c>
      <c r="B246">
        <v>22.7</v>
      </c>
    </row>
    <row r="247" spans="1:2" x14ac:dyDescent="0.25">
      <c r="A247">
        <v>23</v>
      </c>
      <c r="B247">
        <v>23</v>
      </c>
    </row>
    <row r="248" spans="1:2" x14ac:dyDescent="0.25">
      <c r="A248">
        <v>23.1</v>
      </c>
      <c r="B248">
        <v>23.1</v>
      </c>
    </row>
    <row r="249" spans="1:2" x14ac:dyDescent="0.25">
      <c r="A249">
        <v>23.2</v>
      </c>
      <c r="B249">
        <v>23.2</v>
      </c>
    </row>
    <row r="250" spans="1:2" x14ac:dyDescent="0.25">
      <c r="A250">
        <v>23.3</v>
      </c>
      <c r="B250">
        <v>23.3</v>
      </c>
    </row>
    <row r="251" spans="1:2" x14ac:dyDescent="0.25">
      <c r="A251">
        <v>23.5</v>
      </c>
      <c r="B251">
        <v>23.5</v>
      </c>
    </row>
    <row r="252" spans="1:2" x14ac:dyDescent="0.25">
      <c r="A252">
        <v>23.8</v>
      </c>
      <c r="B252">
        <v>23.8</v>
      </c>
    </row>
    <row r="253" spans="1:2" x14ac:dyDescent="0.25">
      <c r="A253">
        <v>25.2</v>
      </c>
      <c r="B253">
        <v>25.2</v>
      </c>
    </row>
    <row r="254" spans="1:2" x14ac:dyDescent="0.25">
      <c r="A254">
        <v>25.6</v>
      </c>
      <c r="B254">
        <v>25.6</v>
      </c>
    </row>
    <row r="255" spans="1:2" x14ac:dyDescent="0.25">
      <c r="A255">
        <v>25.7</v>
      </c>
      <c r="B255">
        <v>25.7</v>
      </c>
    </row>
    <row r="256" spans="1:2" x14ac:dyDescent="0.25">
      <c r="A256">
        <v>25.9</v>
      </c>
      <c r="B256">
        <v>25.9</v>
      </c>
    </row>
    <row r="257" spans="1:2" x14ac:dyDescent="0.25">
      <c r="A257">
        <v>27.2</v>
      </c>
      <c r="B257">
        <v>27.2</v>
      </c>
    </row>
    <row r="258" spans="1:2" x14ac:dyDescent="0.25">
      <c r="A258">
        <v>28.1</v>
      </c>
      <c r="B258">
        <v>28.1</v>
      </c>
    </row>
    <row r="259" spans="1:2" x14ac:dyDescent="0.25">
      <c r="A259">
        <v>28.2</v>
      </c>
      <c r="B259">
        <v>28.2</v>
      </c>
    </row>
    <row r="260" spans="1:2" x14ac:dyDescent="0.25">
      <c r="A260">
        <v>28.6</v>
      </c>
      <c r="B260">
        <v>28.6</v>
      </c>
    </row>
    <row r="261" spans="1:2" x14ac:dyDescent="0.25">
      <c r="A261">
        <v>28.8</v>
      </c>
      <c r="B261">
        <v>28.8</v>
      </c>
    </row>
    <row r="262" spans="1:2" x14ac:dyDescent="0.25">
      <c r="A262">
        <v>29.8</v>
      </c>
      <c r="B262">
        <v>29.8</v>
      </c>
    </row>
    <row r="263" spans="1:2" x14ac:dyDescent="0.25">
      <c r="A263">
        <v>30</v>
      </c>
      <c r="B263">
        <v>30</v>
      </c>
    </row>
    <row r="264" spans="1:2" x14ac:dyDescent="0.25">
      <c r="A264">
        <v>30.2</v>
      </c>
      <c r="B264">
        <v>30.2</v>
      </c>
    </row>
    <row r="265" spans="1:2" x14ac:dyDescent="0.25">
      <c r="A265">
        <v>31.7</v>
      </c>
      <c r="B265">
        <v>31.7</v>
      </c>
    </row>
    <row r="266" spans="1:2" x14ac:dyDescent="0.25">
      <c r="A266">
        <v>31.9</v>
      </c>
      <c r="B266">
        <v>31.9</v>
      </c>
    </row>
    <row r="267" spans="1:2" x14ac:dyDescent="0.25">
      <c r="A267">
        <v>32.299999999999997</v>
      </c>
      <c r="B267">
        <v>32.299999999999997</v>
      </c>
    </row>
    <row r="268" spans="1:2" x14ac:dyDescent="0.25">
      <c r="A268">
        <v>32.799999999999997</v>
      </c>
      <c r="B268">
        <v>32.799999999999997</v>
      </c>
    </row>
    <row r="269" spans="1:2" x14ac:dyDescent="0.25">
      <c r="A269">
        <v>33.200000000000003</v>
      </c>
      <c r="B269">
        <v>33.200000000000003</v>
      </c>
    </row>
    <row r="270" spans="1:2" x14ac:dyDescent="0.25">
      <c r="A270">
        <v>35</v>
      </c>
      <c r="B270">
        <v>35</v>
      </c>
    </row>
    <row r="271" spans="1:2" x14ac:dyDescent="0.25">
      <c r="A271">
        <v>35.1</v>
      </c>
      <c r="B271">
        <v>35.1</v>
      </c>
    </row>
    <row r="272" spans="1:2" x14ac:dyDescent="0.25">
      <c r="A272">
        <v>36.5</v>
      </c>
      <c r="B272">
        <v>36.5</v>
      </c>
    </row>
    <row r="273" spans="1:2" x14ac:dyDescent="0.25">
      <c r="A273">
        <v>36.6</v>
      </c>
      <c r="B273">
        <v>36.6</v>
      </c>
    </row>
    <row r="274" spans="1:2" x14ac:dyDescent="0.25">
      <c r="A274">
        <v>37.700000000000003</v>
      </c>
      <c r="B274">
        <v>37.700000000000003</v>
      </c>
    </row>
    <row r="275" spans="1:2" x14ac:dyDescent="0.25">
      <c r="A275">
        <v>39.200000000000003</v>
      </c>
      <c r="B275">
        <v>39.200000000000003</v>
      </c>
    </row>
    <row r="276" spans="1:2" x14ac:dyDescent="0.25">
      <c r="A276">
        <v>40.200000000000003</v>
      </c>
      <c r="B276">
        <v>40.200000000000003</v>
      </c>
    </row>
    <row r="277" spans="1:2" x14ac:dyDescent="0.25">
      <c r="A277">
        <v>40.700000000000003</v>
      </c>
      <c r="B277">
        <v>40.700000000000003</v>
      </c>
    </row>
    <row r="278" spans="1:2" x14ac:dyDescent="0.25">
      <c r="A278">
        <v>41.9</v>
      </c>
      <c r="B278">
        <v>41.9</v>
      </c>
    </row>
    <row r="279" spans="1:2" x14ac:dyDescent="0.25">
      <c r="A279">
        <v>43.6</v>
      </c>
      <c r="B279">
        <v>43.6</v>
      </c>
    </row>
    <row r="280" spans="1:2" x14ac:dyDescent="0.25">
      <c r="A280">
        <v>43.7</v>
      </c>
      <c r="B280">
        <v>43.7</v>
      </c>
    </row>
    <row r="281" spans="1:2" x14ac:dyDescent="0.25">
      <c r="A281">
        <v>43.9</v>
      </c>
      <c r="B281">
        <v>43.9</v>
      </c>
    </row>
    <row r="282" spans="1:2" x14ac:dyDescent="0.25">
      <c r="A282">
        <v>44.6</v>
      </c>
      <c r="B282">
        <v>44.6</v>
      </c>
    </row>
    <row r="283" spans="1:2" x14ac:dyDescent="0.25">
      <c r="A283">
        <v>45.2</v>
      </c>
      <c r="B283">
        <v>45.2</v>
      </c>
    </row>
    <row r="284" spans="1:2" x14ac:dyDescent="0.25">
      <c r="A284">
        <v>45.9</v>
      </c>
      <c r="B284">
        <v>45.9</v>
      </c>
    </row>
    <row r="285" spans="1:2" x14ac:dyDescent="0.25">
      <c r="A285">
        <v>46.9</v>
      </c>
      <c r="B285">
        <v>46.9</v>
      </c>
    </row>
    <row r="286" spans="1:2" x14ac:dyDescent="0.25">
      <c r="A286">
        <v>47.7</v>
      </c>
      <c r="B286">
        <v>47.7</v>
      </c>
    </row>
    <row r="287" spans="1:2" x14ac:dyDescent="0.25">
      <c r="A287">
        <v>48.2</v>
      </c>
      <c r="B287">
        <v>48.2</v>
      </c>
    </row>
    <row r="288" spans="1:2" x14ac:dyDescent="0.25">
      <c r="A288">
        <v>50.4</v>
      </c>
      <c r="B288">
        <v>50.4</v>
      </c>
    </row>
    <row r="289" spans="1:2" x14ac:dyDescent="0.25">
      <c r="A289">
        <v>57</v>
      </c>
      <c r="B289">
        <v>57</v>
      </c>
    </row>
    <row r="290" spans="1:2" x14ac:dyDescent="0.25">
      <c r="A290">
        <v>63.7</v>
      </c>
      <c r="B290">
        <v>63.7</v>
      </c>
    </row>
    <row r="291" spans="1:2" x14ac:dyDescent="0.25">
      <c r="A291">
        <v>68.400000000000006</v>
      </c>
      <c r="B291">
        <v>68.400000000000006</v>
      </c>
    </row>
    <row r="292" spans="1:2" x14ac:dyDescent="0.25">
      <c r="A292">
        <v>69.099999999999994</v>
      </c>
      <c r="B292">
        <v>69.099999999999994</v>
      </c>
    </row>
    <row r="293" spans="1:2" x14ac:dyDescent="0.25">
      <c r="A293">
        <v>75.7</v>
      </c>
      <c r="B293">
        <v>75.7</v>
      </c>
    </row>
    <row r="294" spans="1:2" x14ac:dyDescent="0.25">
      <c r="A294">
        <v>77.3</v>
      </c>
      <c r="B294">
        <v>77.3</v>
      </c>
    </row>
    <row r="295" spans="1:2" x14ac:dyDescent="0.25">
      <c r="A295">
        <v>80.5</v>
      </c>
      <c r="B295">
        <v>80.5</v>
      </c>
    </row>
    <row r="296" spans="1:2" x14ac:dyDescent="0.25">
      <c r="A296">
        <v>86.6</v>
      </c>
      <c r="B296">
        <v>86.6</v>
      </c>
    </row>
    <row r="297" spans="1:2" x14ac:dyDescent="0.25">
      <c r="A297">
        <v>91.8</v>
      </c>
      <c r="B297">
        <v>91.8</v>
      </c>
    </row>
    <row r="298" spans="1:2" x14ac:dyDescent="0.25">
      <c r="A298">
        <v>96.2</v>
      </c>
      <c r="B298">
        <v>96.2</v>
      </c>
    </row>
    <row r="299" spans="1:2" x14ac:dyDescent="0.25">
      <c r="A299">
        <v>103</v>
      </c>
      <c r="B299">
        <v>103</v>
      </c>
    </row>
    <row r="300" spans="1:2" x14ac:dyDescent="0.25">
      <c r="A300">
        <v>107</v>
      </c>
      <c r="B300">
        <v>107</v>
      </c>
    </row>
    <row r="301" spans="1:2" x14ac:dyDescent="0.25">
      <c r="A301">
        <v>112.6</v>
      </c>
      <c r="B301">
        <v>112.6</v>
      </c>
    </row>
    <row r="302" spans="1:2" x14ac:dyDescent="0.25">
      <c r="A302">
        <v>133.6</v>
      </c>
      <c r="B302">
        <v>133.6</v>
      </c>
    </row>
    <row r="303" spans="1:2" x14ac:dyDescent="0.25">
      <c r="A303">
        <v>136</v>
      </c>
      <c r="B303">
        <v>136</v>
      </c>
    </row>
    <row r="304" spans="1:2" x14ac:dyDescent="0.25">
      <c r="A304">
        <v>144</v>
      </c>
      <c r="B304">
        <v>144</v>
      </c>
    </row>
    <row r="305" spans="1:2" x14ac:dyDescent="0.25">
      <c r="A305">
        <v>156.9</v>
      </c>
      <c r="B305">
        <v>156.9</v>
      </c>
    </row>
    <row r="306" spans="1:2" x14ac:dyDescent="0.25">
      <c r="A306">
        <v>159.30000000000001</v>
      </c>
      <c r="B306">
        <v>159.30000000000001</v>
      </c>
    </row>
    <row r="307" spans="1:2" x14ac:dyDescent="0.25">
      <c r="A307">
        <v>174.2</v>
      </c>
      <c r="B307">
        <v>174.2</v>
      </c>
    </row>
    <row r="308" spans="1:2" x14ac:dyDescent="0.25">
      <c r="A308">
        <v>180.2</v>
      </c>
      <c r="B308">
        <v>180.2</v>
      </c>
    </row>
    <row r="309" spans="1:2" x14ac:dyDescent="0.25">
      <c r="A309">
        <v>195.3</v>
      </c>
      <c r="B309">
        <v>195.3</v>
      </c>
    </row>
    <row r="310" spans="1:2" x14ac:dyDescent="0.25">
      <c r="A310">
        <v>195.6</v>
      </c>
      <c r="B310">
        <v>195.6</v>
      </c>
    </row>
    <row r="311" spans="1:2" x14ac:dyDescent="0.25">
      <c r="A311">
        <v>195.9</v>
      </c>
      <c r="B311">
        <v>195.9</v>
      </c>
    </row>
    <row r="312" spans="1:2" x14ac:dyDescent="0.25">
      <c r="A312">
        <v>201</v>
      </c>
      <c r="B312">
        <v>201</v>
      </c>
    </row>
    <row r="313" spans="1:2" x14ac:dyDescent="0.25">
      <c r="A313">
        <v>310.3</v>
      </c>
      <c r="B313">
        <v>310.3</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7CE79-479B-4AF4-98FE-E4CD683ED024}">
  <dimension ref="A1:N1155"/>
  <sheetViews>
    <sheetView workbookViewId="0">
      <selection activeCell="A18" sqref="A18"/>
    </sheetView>
  </sheetViews>
  <sheetFormatPr defaultRowHeight="15" x14ac:dyDescent="0.25"/>
  <cols>
    <col min="1" max="1" width="18" style="3" bestFit="1" customWidth="1"/>
    <col min="2" max="2" width="16.28515625" style="2" customWidth="1"/>
    <col min="3" max="5" width="16.28515625" customWidth="1"/>
    <col min="6" max="6" width="18" style="3" bestFit="1" customWidth="1"/>
    <col min="7" max="7" width="16.28515625" style="4" customWidth="1"/>
    <col min="8" max="8" width="16.5703125" bestFit="1" customWidth="1"/>
    <col min="9" max="9" width="12.85546875" bestFit="1" customWidth="1"/>
    <col min="10" max="10" width="24.42578125" bestFit="1" customWidth="1"/>
    <col min="11" max="11" width="24" bestFit="1" customWidth="1"/>
    <col min="12" max="12" width="8.5703125" bestFit="1" customWidth="1"/>
    <col min="13" max="13" width="15.140625" bestFit="1" customWidth="1"/>
    <col min="14" max="14" width="13.28515625" bestFit="1" customWidth="1"/>
  </cols>
  <sheetData>
    <row r="1" spans="1:14" x14ac:dyDescent="0.25">
      <c r="A1" s="3" t="s">
        <v>43</v>
      </c>
      <c r="B1" s="2" t="s">
        <v>44</v>
      </c>
      <c r="C1" t="s">
        <v>19</v>
      </c>
      <c r="D1" t="s">
        <v>33</v>
      </c>
      <c r="E1" t="s">
        <v>45</v>
      </c>
      <c r="F1" s="3" t="s">
        <v>46</v>
      </c>
      <c r="G1" s="4" t="s">
        <v>47</v>
      </c>
      <c r="H1" t="s">
        <v>48</v>
      </c>
      <c r="I1" t="s">
        <v>0</v>
      </c>
      <c r="J1" t="s">
        <v>49</v>
      </c>
      <c r="K1" t="s">
        <v>50</v>
      </c>
      <c r="L1" t="s">
        <v>42</v>
      </c>
      <c r="M1" t="s">
        <v>4</v>
      </c>
      <c r="N1" t="s">
        <v>13</v>
      </c>
    </row>
    <row r="2" spans="1:14" x14ac:dyDescent="0.25">
      <c r="A2" s="3">
        <v>42370.882638888892</v>
      </c>
      <c r="B2" s="2">
        <f>INT(A2)</f>
        <v>42370</v>
      </c>
      <c r="C2" t="str">
        <f>TEXT(B2, "mmmm")</f>
        <v>January</v>
      </c>
      <c r="D2" t="str">
        <f>TEXT(B2, "dddd")</f>
        <v>Friday</v>
      </c>
      <c r="E2" t="str">
        <f>TEXT(A2, "hh:mm:ss AM/PM")</f>
        <v>09:11:00 PM</v>
      </c>
      <c r="F2" s="3">
        <v>42370.886805555558</v>
      </c>
      <c r="G2" s="4">
        <f>F2-INT(F2)</f>
        <v>0.8868055555576575</v>
      </c>
      <c r="H2" t="str">
        <f t="shared" ref="H2:H65" si="0">HOUR(IF(G2&lt;E2, G2+1-E2, G2-E2))*60 + MINUTE(IF(G2&lt;E2, G2+1-E2, G2-E2)) &amp; " min"</f>
        <v>6 min</v>
      </c>
      <c r="I2" t="s">
        <v>2</v>
      </c>
      <c r="J2" t="s">
        <v>51</v>
      </c>
      <c r="K2" t="s">
        <v>51</v>
      </c>
      <c r="L2">
        <v>5.0999999999999996</v>
      </c>
      <c r="M2" t="s">
        <v>9</v>
      </c>
      <c r="N2" t="str" cm="1">
        <f t="array" ref="N2">_xlfn.IFS(
    AND(HOUR(A2)&gt;=0, HOUR(A2)&lt;10), "Morning",
    AND(HOUR(A2)&gt;=10, HOUR(A2)&lt;15), "Afternoon",
    AND(HOUR(E2)&gt;=15, HOUR(E2)&lt;19), "Evening",
    AND(HOUR(E2)&gt;=19, HOUR(E2)&lt;=23), "Night"
)</f>
        <v>Night</v>
      </c>
    </row>
    <row r="3" spans="1:14" x14ac:dyDescent="0.25">
      <c r="A3" s="3">
        <v>42371.059027777781</v>
      </c>
      <c r="B3" s="2">
        <f t="shared" ref="B3:B66" si="1">INT(A3)</f>
        <v>42371</v>
      </c>
      <c r="C3" t="str">
        <f t="shared" ref="C3:C66" si="2">TEXT(B3, "mmmm")</f>
        <v>January</v>
      </c>
      <c r="D3" t="str">
        <f t="shared" ref="D3:D66" si="3">TEXT(B3, "dddd")</f>
        <v>Saturday</v>
      </c>
      <c r="E3" t="str">
        <f>TEXT(A3, "hh:mm:ss AM/PM")</f>
        <v>01:25:00 AM</v>
      </c>
      <c r="F3" s="3">
        <v>42371.067361111112</v>
      </c>
      <c r="G3" s="4">
        <f t="shared" ref="G3:G66" si="4">F3-INT(F3)</f>
        <v>6.7361111112404615E-2</v>
      </c>
      <c r="H3" t="str">
        <f t="shared" si="0"/>
        <v>12 min</v>
      </c>
      <c r="I3" t="s">
        <v>2</v>
      </c>
      <c r="J3" t="s">
        <v>51</v>
      </c>
      <c r="K3" t="s">
        <v>51</v>
      </c>
      <c r="L3">
        <v>5</v>
      </c>
      <c r="M3" t="s">
        <v>52</v>
      </c>
      <c r="N3" t="str" cm="1">
        <f t="array" ref="N3">_xlfn.IFS(
    AND(HOUR(A3)&gt;=0, HOUR(A3)&lt;10), "Morning",
    AND(HOUR(A3)&gt;=10, HOUR(A3)&lt;15), "Afternoon",
    AND(HOUR(E3)&gt;=15, HOUR(E3)&lt;19), "Evening",
    AND(HOUR(E3)&gt;=19, HOUR(E3)&lt;=23), "Night"
)</f>
        <v>Morning</v>
      </c>
    </row>
    <row r="4" spans="1:14" x14ac:dyDescent="0.25">
      <c r="A4" s="3">
        <v>42371.850694444445</v>
      </c>
      <c r="B4" s="2">
        <f t="shared" si="1"/>
        <v>42371</v>
      </c>
      <c r="C4" t="str">
        <f t="shared" si="2"/>
        <v>January</v>
      </c>
      <c r="D4" t="str">
        <f t="shared" si="3"/>
        <v>Saturday</v>
      </c>
      <c r="E4" t="str">
        <f>TEXT(A4, "hh:mm:ss AM/PM")</f>
        <v>08:25:00 PM</v>
      </c>
      <c r="F4" s="3">
        <v>42371.859722222223</v>
      </c>
      <c r="G4" s="4">
        <f t="shared" si="4"/>
        <v>0.85972222222335404</v>
      </c>
      <c r="H4" t="str">
        <f t="shared" si="0"/>
        <v>13 min</v>
      </c>
      <c r="I4" t="s">
        <v>2</v>
      </c>
      <c r="J4" t="s">
        <v>51</v>
      </c>
      <c r="K4" t="s">
        <v>51</v>
      </c>
      <c r="L4">
        <v>4.8</v>
      </c>
      <c r="M4" t="s">
        <v>8</v>
      </c>
      <c r="N4" t="str" cm="1">
        <f t="array" ref="N4">_xlfn.IFS(
    AND(HOUR(A4)&gt;=0, HOUR(A4)&lt;10), "Morning",
    AND(HOUR(A4)&gt;=10, HOUR(A4)&lt;15), "Afternoon",
    AND(HOUR(E4)&gt;=15, HOUR(E4)&lt;19), "Evening",
    AND(HOUR(E4)&gt;=19, HOUR(E4)&lt;=23), "Night"
)</f>
        <v>Night</v>
      </c>
    </row>
    <row r="5" spans="1:14" x14ac:dyDescent="0.25">
      <c r="A5" s="3">
        <v>42374.729861111111</v>
      </c>
      <c r="B5" s="2">
        <f t="shared" si="1"/>
        <v>42374</v>
      </c>
      <c r="C5" t="str">
        <f t="shared" si="2"/>
        <v>January</v>
      </c>
      <c r="D5" t="str">
        <f t="shared" si="3"/>
        <v>Tuesday</v>
      </c>
      <c r="E5" t="str">
        <f t="shared" ref="E5:E65" si="5">TEXT(A5, "hh:mm:ss AM/PM")</f>
        <v>05:31:00 PM</v>
      </c>
      <c r="F5" s="3">
        <v>42374.739583333336</v>
      </c>
      <c r="G5" s="4">
        <f t="shared" si="4"/>
        <v>0.73958333333575865</v>
      </c>
      <c r="H5" t="str">
        <f t="shared" si="0"/>
        <v>14 min</v>
      </c>
      <c r="I5" t="s">
        <v>2</v>
      </c>
      <c r="J5" t="s">
        <v>51</v>
      </c>
      <c r="K5" t="s">
        <v>51</v>
      </c>
      <c r="L5">
        <v>4.7</v>
      </c>
      <c r="M5" t="s">
        <v>10</v>
      </c>
      <c r="N5" t="str" cm="1">
        <f t="array" ref="N5">_xlfn.IFS(
    AND(HOUR(A5)&gt;=0, HOUR(A5)&lt;10), "Morning",
    AND(HOUR(A5)&gt;=10, HOUR(A5)&lt;15), "Afternoon",
    AND(HOUR(E5)&gt;=15, HOUR(E5)&lt;19), "Evening",
    AND(HOUR(E5)&gt;=19, HOUR(E5)&lt;=23), "Night"
)</f>
        <v>Evening</v>
      </c>
    </row>
    <row r="6" spans="1:14" x14ac:dyDescent="0.25">
      <c r="A6" s="3">
        <v>42375.612500000003</v>
      </c>
      <c r="B6" s="2">
        <f t="shared" si="1"/>
        <v>42375</v>
      </c>
      <c r="C6" t="str">
        <f t="shared" si="2"/>
        <v>January</v>
      </c>
      <c r="D6" t="str">
        <f t="shared" si="3"/>
        <v>Wednesday</v>
      </c>
      <c r="E6" t="str">
        <f t="shared" si="5"/>
        <v>02:42:00 PM</v>
      </c>
      <c r="F6" s="3">
        <v>42375.65902777778</v>
      </c>
      <c r="G6" s="4">
        <f t="shared" si="4"/>
        <v>0.65902777777955635</v>
      </c>
      <c r="H6" t="str">
        <f t="shared" si="0"/>
        <v>67 min</v>
      </c>
      <c r="I6" t="s">
        <v>2</v>
      </c>
      <c r="J6" t="s">
        <v>51</v>
      </c>
      <c r="K6" t="s">
        <v>53</v>
      </c>
      <c r="L6">
        <v>63.7</v>
      </c>
      <c r="M6" t="s">
        <v>7</v>
      </c>
      <c r="N6" t="str" cm="1">
        <f t="array" ref="N6">_xlfn.IFS(
    AND(HOUR(A6)&gt;=0, HOUR(A6)&lt;10), "Morning",
    AND(HOUR(A6)&gt;=10, HOUR(A6)&lt;15), "Afternoon",
    AND(HOUR(E6)&gt;=15, HOUR(E6)&lt;19), "Evening",
    AND(HOUR(E6)&gt;=19, HOUR(E6)&lt;=23), "Night"
)</f>
        <v>Afternoon</v>
      </c>
    </row>
    <row r="7" spans="1:14" x14ac:dyDescent="0.25">
      <c r="A7" s="3">
        <v>42375.71875</v>
      </c>
      <c r="B7" s="2">
        <f t="shared" si="1"/>
        <v>42375</v>
      </c>
      <c r="C7" t="str">
        <f t="shared" si="2"/>
        <v>January</v>
      </c>
      <c r="D7" t="str">
        <f t="shared" si="3"/>
        <v>Wednesday</v>
      </c>
      <c r="E7" t="str">
        <f t="shared" si="5"/>
        <v>05:15:00 PM</v>
      </c>
      <c r="F7" s="3">
        <v>42375.72152777778</v>
      </c>
      <c r="G7" s="4">
        <f t="shared" si="4"/>
        <v>0.72152777777955635</v>
      </c>
      <c r="H7" t="str">
        <f t="shared" si="0"/>
        <v>4 min</v>
      </c>
      <c r="I7" t="s">
        <v>2</v>
      </c>
      <c r="J7" t="s">
        <v>53</v>
      </c>
      <c r="K7" t="s">
        <v>53</v>
      </c>
      <c r="L7">
        <v>4.3</v>
      </c>
      <c r="M7" t="s">
        <v>9</v>
      </c>
      <c r="N7" t="str" cm="1">
        <f t="array" ref="N7">_xlfn.IFS(
    AND(HOUR(A7)&gt;=0, HOUR(A7)&lt;10), "Morning",
    AND(HOUR(A7)&gt;=10, HOUR(A7)&lt;15), "Afternoon",
    AND(HOUR(E7)&gt;=15, HOUR(E7)&lt;19), "Evening",
    AND(HOUR(E7)&gt;=19, HOUR(E7)&lt;=23), "Night"
)</f>
        <v>Evening</v>
      </c>
    </row>
    <row r="8" spans="1:14" x14ac:dyDescent="0.25">
      <c r="A8" s="3">
        <v>42375.729166666664</v>
      </c>
      <c r="B8" s="2">
        <f t="shared" si="1"/>
        <v>42375</v>
      </c>
      <c r="C8" t="str">
        <f t="shared" si="2"/>
        <v>January</v>
      </c>
      <c r="D8" t="str">
        <f t="shared" si="3"/>
        <v>Wednesday</v>
      </c>
      <c r="E8" t="str">
        <f t="shared" si="5"/>
        <v>05:30:00 PM</v>
      </c>
      <c r="F8" s="3">
        <v>42375.732638888891</v>
      </c>
      <c r="G8" s="4">
        <f t="shared" si="4"/>
        <v>0.73263888889050577</v>
      </c>
      <c r="H8" t="str">
        <f t="shared" si="0"/>
        <v>5 min</v>
      </c>
      <c r="I8" t="s">
        <v>2</v>
      </c>
      <c r="J8" t="s">
        <v>53</v>
      </c>
      <c r="K8" t="s">
        <v>54</v>
      </c>
      <c r="L8">
        <v>7.1</v>
      </c>
      <c r="M8" t="s">
        <v>10</v>
      </c>
      <c r="N8" t="str" cm="1">
        <f t="array" ref="N8">_xlfn.IFS(
    AND(HOUR(A8)&gt;=0, HOUR(A8)&lt;10), "Morning",
    AND(HOUR(A8)&gt;=10, HOUR(A8)&lt;15), "Afternoon",
    AND(HOUR(E8)&gt;=15, HOUR(E8)&lt;19), "Evening",
    AND(HOUR(E8)&gt;=19, HOUR(E8)&lt;=23), "Night"
)</f>
        <v>Evening</v>
      </c>
    </row>
    <row r="9" spans="1:14" x14ac:dyDescent="0.25">
      <c r="A9" s="3">
        <v>42376.560416666667</v>
      </c>
      <c r="B9" s="2">
        <f t="shared" si="1"/>
        <v>42376</v>
      </c>
      <c r="C9" t="str">
        <f t="shared" si="2"/>
        <v>January</v>
      </c>
      <c r="D9" t="str">
        <f t="shared" si="3"/>
        <v>Thursday</v>
      </c>
      <c r="E9" t="str">
        <f t="shared" si="5"/>
        <v>01:27:00 PM</v>
      </c>
      <c r="F9" s="3">
        <v>42376.564583333333</v>
      </c>
      <c r="G9" s="4">
        <f t="shared" si="4"/>
        <v>0.56458333333284827</v>
      </c>
      <c r="H9" t="str">
        <f t="shared" si="0"/>
        <v>6 min</v>
      </c>
      <c r="I9" t="s">
        <v>2</v>
      </c>
      <c r="J9" t="s">
        <v>55</v>
      </c>
      <c r="K9" t="s">
        <v>55</v>
      </c>
      <c r="L9">
        <v>0.8</v>
      </c>
      <c r="M9" t="s">
        <v>10</v>
      </c>
      <c r="N9" t="str" cm="1">
        <f t="array" ref="N9">_xlfn.IFS(
    AND(HOUR(A9)&gt;=0, HOUR(A9)&lt;10), "Morning",
    AND(HOUR(A9)&gt;=10, HOUR(A9)&lt;15), "Afternoon",
    AND(HOUR(E9)&gt;=15, HOUR(E9)&lt;19), "Evening",
    AND(HOUR(E9)&gt;=19, HOUR(E9)&lt;=23), "Night"
)</f>
        <v>Afternoon</v>
      </c>
    </row>
    <row r="10" spans="1:14" x14ac:dyDescent="0.25">
      <c r="A10" s="3">
        <v>42379.336805555555</v>
      </c>
      <c r="B10" s="2">
        <f t="shared" si="1"/>
        <v>42379</v>
      </c>
      <c r="C10" t="str">
        <f t="shared" si="2"/>
        <v>January</v>
      </c>
      <c r="D10" t="str">
        <f t="shared" si="3"/>
        <v>Sunday</v>
      </c>
      <c r="E10" t="str">
        <f t="shared" si="5"/>
        <v>08:05:00 AM</v>
      </c>
      <c r="F10" s="3">
        <v>42379.350694444445</v>
      </c>
      <c r="G10" s="4">
        <f t="shared" si="4"/>
        <v>0.35069444444525288</v>
      </c>
      <c r="H10" t="str">
        <f t="shared" si="0"/>
        <v>20 min</v>
      </c>
      <c r="I10" t="s">
        <v>2</v>
      </c>
      <c r="J10" t="s">
        <v>55</v>
      </c>
      <c r="K10" t="s">
        <v>56</v>
      </c>
      <c r="L10">
        <v>8.3000000000000007</v>
      </c>
      <c r="M10" t="s">
        <v>10</v>
      </c>
      <c r="N10" t="str" cm="1">
        <f t="array" ref="N10">_xlfn.IFS(
    AND(HOUR(A10)&gt;=0, HOUR(A10)&lt;10), "Morning",
    AND(HOUR(A10)&gt;=10, HOUR(A10)&lt;15), "Afternoon",
    AND(HOUR(E10)&gt;=15, HOUR(E10)&lt;19), "Evening",
    AND(HOUR(E10)&gt;=19, HOUR(E10)&lt;=23), "Night"
)</f>
        <v>Morning</v>
      </c>
    </row>
    <row r="11" spans="1:14" x14ac:dyDescent="0.25">
      <c r="A11" s="3">
        <v>42379.511805555558</v>
      </c>
      <c r="B11" s="2">
        <f t="shared" si="1"/>
        <v>42379</v>
      </c>
      <c r="C11" t="str">
        <f t="shared" si="2"/>
        <v>January</v>
      </c>
      <c r="D11" t="str">
        <f t="shared" si="3"/>
        <v>Sunday</v>
      </c>
      <c r="E11" t="str">
        <f t="shared" si="5"/>
        <v>12:17:00 PM</v>
      </c>
      <c r="F11" s="3">
        <v>42379.530555555553</v>
      </c>
      <c r="G11" s="4">
        <f t="shared" si="4"/>
        <v>0.53055555555329192</v>
      </c>
      <c r="H11" t="str">
        <f t="shared" si="0"/>
        <v>27 min</v>
      </c>
      <c r="I11" t="s">
        <v>2</v>
      </c>
      <c r="J11" t="s">
        <v>57</v>
      </c>
      <c r="K11" t="s">
        <v>58</v>
      </c>
      <c r="L11">
        <v>16.5</v>
      </c>
      <c r="M11" t="s">
        <v>7</v>
      </c>
      <c r="N11" t="str" cm="1">
        <f t="array" ref="N11">_xlfn.IFS(
    AND(HOUR(A11)&gt;=0, HOUR(A11)&lt;10), "Morning",
    AND(HOUR(A11)&gt;=10, HOUR(A11)&lt;15), "Afternoon",
    AND(HOUR(E11)&gt;=15, HOUR(E11)&lt;19), "Evening",
    AND(HOUR(E11)&gt;=19, HOUR(E11)&lt;=23), "Night"
)</f>
        <v>Afternoon</v>
      </c>
    </row>
    <row r="12" spans="1:14" x14ac:dyDescent="0.25">
      <c r="A12" s="3">
        <v>42379.630555555559</v>
      </c>
      <c r="B12" s="2">
        <f t="shared" si="1"/>
        <v>42379</v>
      </c>
      <c r="C12" t="str">
        <f t="shared" si="2"/>
        <v>January</v>
      </c>
      <c r="D12" t="str">
        <f t="shared" si="3"/>
        <v>Sunday</v>
      </c>
      <c r="E12" t="str">
        <f t="shared" si="5"/>
        <v>03:08:00 PM</v>
      </c>
      <c r="F12" s="3">
        <v>42379.660416666666</v>
      </c>
      <c r="G12" s="4">
        <f t="shared" si="4"/>
        <v>0.66041666666569654</v>
      </c>
      <c r="H12" t="str">
        <f t="shared" si="0"/>
        <v>43 min</v>
      </c>
      <c r="I12" t="s">
        <v>2</v>
      </c>
      <c r="J12" t="s">
        <v>58</v>
      </c>
      <c r="K12" t="s">
        <v>59</v>
      </c>
      <c r="L12">
        <v>10.8</v>
      </c>
      <c r="M12" t="s">
        <v>10</v>
      </c>
      <c r="N12" t="str" cm="1">
        <f t="array" ref="N12">_xlfn.IFS(
    AND(HOUR(A12)&gt;=0, HOUR(A12)&lt;10), "Morning",
    AND(HOUR(A12)&gt;=10, HOUR(A12)&lt;15), "Afternoon",
    AND(HOUR(E12)&gt;=15, HOUR(E12)&lt;19), "Evening",
    AND(HOUR(E12)&gt;=19, HOUR(E12)&lt;=23), "Night"
)</f>
        <v>Evening</v>
      </c>
    </row>
    <row r="13" spans="1:14" x14ac:dyDescent="0.25">
      <c r="A13" s="3">
        <v>42379.762499999997</v>
      </c>
      <c r="B13" s="2">
        <f t="shared" si="1"/>
        <v>42379</v>
      </c>
      <c r="C13" t="str">
        <f t="shared" si="2"/>
        <v>January</v>
      </c>
      <c r="D13" t="str">
        <f t="shared" si="3"/>
        <v>Sunday</v>
      </c>
      <c r="E13" t="str">
        <f t="shared" si="5"/>
        <v>06:18:00 PM</v>
      </c>
      <c r="F13" s="3">
        <v>42379.786805555559</v>
      </c>
      <c r="G13" s="4">
        <f t="shared" si="4"/>
        <v>0.78680555555911269</v>
      </c>
      <c r="H13" t="str">
        <f t="shared" si="0"/>
        <v>35 min</v>
      </c>
      <c r="I13" t="s">
        <v>2</v>
      </c>
      <c r="J13" t="s">
        <v>60</v>
      </c>
      <c r="K13" t="s">
        <v>58</v>
      </c>
      <c r="L13">
        <v>7.5</v>
      </c>
      <c r="M13" t="s">
        <v>10</v>
      </c>
      <c r="N13" t="str" cm="1">
        <f t="array" ref="N13">_xlfn.IFS(
    AND(HOUR(A13)&gt;=0, HOUR(A13)&lt;10), "Morning",
    AND(HOUR(A13)&gt;=10, HOUR(A13)&lt;15), "Afternoon",
    AND(HOUR(E13)&gt;=15, HOUR(E13)&lt;19), "Evening",
    AND(HOUR(E13)&gt;=19, HOUR(E13)&lt;=23), "Night"
)</f>
        <v>Evening</v>
      </c>
    </row>
    <row r="14" spans="1:14" x14ac:dyDescent="0.25">
      <c r="A14" s="3">
        <v>42379.8</v>
      </c>
      <c r="B14" s="2">
        <f t="shared" si="1"/>
        <v>42379</v>
      </c>
      <c r="C14" t="str">
        <f t="shared" si="2"/>
        <v>January</v>
      </c>
      <c r="D14" t="str">
        <f t="shared" si="3"/>
        <v>Sunday</v>
      </c>
      <c r="E14" t="str">
        <f t="shared" si="5"/>
        <v>07:12:00 PM</v>
      </c>
      <c r="F14" s="3">
        <v>42379.813888888886</v>
      </c>
      <c r="G14" s="4">
        <f t="shared" si="4"/>
        <v>0.81388888888614019</v>
      </c>
      <c r="H14" t="str">
        <f t="shared" si="0"/>
        <v>20 min</v>
      </c>
      <c r="I14" t="s">
        <v>2</v>
      </c>
      <c r="J14" t="s">
        <v>61</v>
      </c>
      <c r="K14" t="s">
        <v>62</v>
      </c>
      <c r="L14">
        <v>6.2</v>
      </c>
      <c r="M14" t="s">
        <v>10</v>
      </c>
      <c r="N14" t="str" cm="1">
        <f t="array" ref="N14">_xlfn.IFS(
    AND(HOUR(A14)&gt;=0, HOUR(A14)&lt;10), "Morning",
    AND(HOUR(A14)&gt;=10, HOUR(A14)&lt;15), "Afternoon",
    AND(HOUR(E14)&gt;=15, HOUR(E14)&lt;19), "Evening",
    AND(HOUR(E14)&gt;=19, HOUR(E14)&lt;=23), "Night"
)</f>
        <v>Night</v>
      </c>
    </row>
    <row r="15" spans="1:14" x14ac:dyDescent="0.25">
      <c r="A15" s="3">
        <v>42380.371527777781</v>
      </c>
      <c r="B15" s="2">
        <f t="shared" si="1"/>
        <v>42380</v>
      </c>
      <c r="C15" t="str">
        <f t="shared" si="2"/>
        <v>January</v>
      </c>
      <c r="D15" t="str">
        <f t="shared" si="3"/>
        <v>Monday</v>
      </c>
      <c r="E15" t="str">
        <f t="shared" si="5"/>
        <v>08:55:00 AM</v>
      </c>
      <c r="F15" s="3">
        <v>42380.38958333333</v>
      </c>
      <c r="G15" s="4">
        <f t="shared" si="4"/>
        <v>0.38958333332993789</v>
      </c>
      <c r="H15" t="str">
        <f t="shared" si="0"/>
        <v>26 min</v>
      </c>
      <c r="I15" t="s">
        <v>2</v>
      </c>
      <c r="J15" t="s">
        <v>62</v>
      </c>
      <c r="K15" t="s">
        <v>63</v>
      </c>
      <c r="L15">
        <v>6.4</v>
      </c>
      <c r="M15" t="s">
        <v>11</v>
      </c>
      <c r="N15" t="str" cm="1">
        <f t="array" ref="N15">_xlfn.IFS(
    AND(HOUR(A15)&gt;=0, HOUR(A15)&lt;10), "Morning",
    AND(HOUR(A15)&gt;=10, HOUR(A15)&lt;15), "Afternoon",
    AND(HOUR(E15)&gt;=15, HOUR(E15)&lt;19), "Evening",
    AND(HOUR(E15)&gt;=19, HOUR(E15)&lt;=23), "Night"
)</f>
        <v>Morning</v>
      </c>
    </row>
    <row r="16" spans="1:14" x14ac:dyDescent="0.25">
      <c r="A16" s="3">
        <v>42380.49722222222</v>
      </c>
      <c r="B16" s="2">
        <f t="shared" si="1"/>
        <v>42380</v>
      </c>
      <c r="C16" t="str">
        <f t="shared" si="2"/>
        <v>January</v>
      </c>
      <c r="D16" t="str">
        <f t="shared" si="3"/>
        <v>Monday</v>
      </c>
      <c r="E16" t="str">
        <f t="shared" si="5"/>
        <v>11:56:00 AM</v>
      </c>
      <c r="F16" s="3">
        <v>42380.502083333333</v>
      </c>
      <c r="G16" s="4">
        <f t="shared" si="4"/>
        <v>0.50208333333284827</v>
      </c>
      <c r="H16" t="str">
        <f t="shared" si="0"/>
        <v>7 min</v>
      </c>
      <c r="I16" t="s">
        <v>2</v>
      </c>
      <c r="J16" t="s">
        <v>64</v>
      </c>
      <c r="K16" t="s">
        <v>61</v>
      </c>
      <c r="L16">
        <v>1.6</v>
      </c>
      <c r="M16" t="s">
        <v>8</v>
      </c>
      <c r="N16" t="str" cm="1">
        <f t="array" ref="N16">_xlfn.IFS(
    AND(HOUR(A16)&gt;=0, HOUR(A16)&lt;10), "Morning",
    AND(HOUR(A16)&gt;=10, HOUR(A16)&lt;15), "Afternoon",
    AND(HOUR(E16)&gt;=15, HOUR(E16)&lt;19), "Evening",
    AND(HOUR(E16)&gt;=19, HOUR(E16)&lt;=23), "Night"
)</f>
        <v>Afternoon</v>
      </c>
    </row>
    <row r="17" spans="1:14" x14ac:dyDescent="0.25">
      <c r="A17" s="3">
        <v>42380.563888888886</v>
      </c>
      <c r="B17" s="2">
        <f t="shared" si="1"/>
        <v>42380</v>
      </c>
      <c r="C17" t="str">
        <f t="shared" si="2"/>
        <v>January</v>
      </c>
      <c r="D17" t="str">
        <f t="shared" si="3"/>
        <v>Monday</v>
      </c>
      <c r="E17" t="str">
        <f t="shared" si="5"/>
        <v>01:32:00 PM</v>
      </c>
      <c r="F17" s="3">
        <v>42380.573611111111</v>
      </c>
      <c r="G17" s="4">
        <f t="shared" si="4"/>
        <v>0.57361111111094942</v>
      </c>
      <c r="H17" t="str">
        <f t="shared" si="0"/>
        <v>14 min</v>
      </c>
      <c r="I17" t="s">
        <v>2</v>
      </c>
      <c r="J17" t="s">
        <v>61</v>
      </c>
      <c r="K17" t="s">
        <v>65</v>
      </c>
      <c r="L17">
        <v>1.7</v>
      </c>
      <c r="M17" t="s">
        <v>9</v>
      </c>
      <c r="N17" t="str" cm="1">
        <f t="array" ref="N17">_xlfn.IFS(
    AND(HOUR(A17)&gt;=0, HOUR(A17)&lt;10), "Morning",
    AND(HOUR(A17)&gt;=10, HOUR(A17)&lt;15), "Afternoon",
    AND(HOUR(E17)&gt;=15, HOUR(E17)&lt;19), "Evening",
    AND(HOUR(E17)&gt;=19, HOUR(E17)&lt;=23), "Night"
)</f>
        <v>Afternoon</v>
      </c>
    </row>
    <row r="18" spans="1:14" x14ac:dyDescent="0.25">
      <c r="A18" s="3">
        <v>42380.604166666664</v>
      </c>
      <c r="B18" s="2">
        <f t="shared" si="1"/>
        <v>42380</v>
      </c>
      <c r="C18" t="str">
        <f t="shared" si="2"/>
        <v>January</v>
      </c>
      <c r="D18" t="str">
        <f t="shared" si="3"/>
        <v>Monday</v>
      </c>
      <c r="E18" t="str">
        <f t="shared" si="5"/>
        <v>02:30:00 PM</v>
      </c>
      <c r="F18" s="3">
        <v>42380.613194444442</v>
      </c>
      <c r="G18" s="4">
        <f t="shared" si="4"/>
        <v>0.6131944444423425</v>
      </c>
      <c r="H18" t="str">
        <f t="shared" si="0"/>
        <v>13 min</v>
      </c>
      <c r="I18" t="s">
        <v>2</v>
      </c>
      <c r="J18" t="s">
        <v>65</v>
      </c>
      <c r="K18" t="s">
        <v>61</v>
      </c>
      <c r="L18">
        <v>1.9</v>
      </c>
      <c r="M18" t="s">
        <v>9</v>
      </c>
      <c r="N18" t="str" cm="1">
        <f t="array" ref="N18">_xlfn.IFS(
    AND(HOUR(A18)&gt;=0, HOUR(A18)&lt;10), "Morning",
    AND(HOUR(A18)&gt;=10, HOUR(A18)&lt;15), "Afternoon",
    AND(HOUR(E18)&gt;=15, HOUR(E18)&lt;19), "Evening",
    AND(HOUR(E18)&gt;=19, HOUR(E18)&lt;=23), "Night"
)</f>
        <v>Afternoon</v>
      </c>
    </row>
    <row r="19" spans="1:14" x14ac:dyDescent="0.25">
      <c r="A19" s="3">
        <v>42381.522916666669</v>
      </c>
      <c r="B19" s="2">
        <f t="shared" si="1"/>
        <v>42381</v>
      </c>
      <c r="C19" t="str">
        <f t="shared" si="2"/>
        <v>January</v>
      </c>
      <c r="D19" t="str">
        <f t="shared" si="3"/>
        <v>Tuesday</v>
      </c>
      <c r="E19" t="str">
        <f t="shared" si="5"/>
        <v>12:33:00 PM</v>
      </c>
      <c r="F19" s="3">
        <v>42381.53402777778</v>
      </c>
      <c r="G19" s="4">
        <f t="shared" si="4"/>
        <v>0.53402777777955635</v>
      </c>
      <c r="H19" t="str">
        <f t="shared" si="0"/>
        <v>16 min</v>
      </c>
      <c r="I19" t="s">
        <v>2</v>
      </c>
      <c r="J19" t="s">
        <v>61</v>
      </c>
      <c r="K19" t="s">
        <v>66</v>
      </c>
      <c r="L19">
        <v>1.9</v>
      </c>
      <c r="M19" t="s">
        <v>9</v>
      </c>
      <c r="N19" t="str" cm="1">
        <f t="array" ref="N19">_xlfn.IFS(
    AND(HOUR(A19)&gt;=0, HOUR(A19)&lt;10), "Morning",
    AND(HOUR(A19)&gt;=10, HOUR(A19)&lt;15), "Afternoon",
    AND(HOUR(E19)&gt;=15, HOUR(E19)&lt;19), "Evening",
    AND(HOUR(E19)&gt;=19, HOUR(E19)&lt;=23), "Night"
)</f>
        <v>Afternoon</v>
      </c>
    </row>
    <row r="20" spans="1:14" x14ac:dyDescent="0.25">
      <c r="A20" s="3">
        <v>42381.536805555559</v>
      </c>
      <c r="B20" s="2">
        <f t="shared" si="1"/>
        <v>42381</v>
      </c>
      <c r="C20" t="str">
        <f t="shared" si="2"/>
        <v>January</v>
      </c>
      <c r="D20" t="str">
        <f t="shared" si="3"/>
        <v>Tuesday</v>
      </c>
      <c r="E20" t="str">
        <f t="shared" si="5"/>
        <v>12:53:00 PM</v>
      </c>
      <c r="F20" s="3">
        <v>42381.54791666667</v>
      </c>
      <c r="G20" s="4">
        <f t="shared" si="4"/>
        <v>0.54791666667006211</v>
      </c>
      <c r="H20" t="str">
        <f t="shared" si="0"/>
        <v>16 min</v>
      </c>
      <c r="I20" t="s">
        <v>2</v>
      </c>
      <c r="J20" t="s">
        <v>66</v>
      </c>
      <c r="K20" t="s">
        <v>67</v>
      </c>
      <c r="L20">
        <v>4</v>
      </c>
      <c r="M20" t="s">
        <v>9</v>
      </c>
      <c r="N20" t="str" cm="1">
        <f t="array" ref="N20">_xlfn.IFS(
    AND(HOUR(A20)&gt;=0, HOUR(A20)&lt;10), "Morning",
    AND(HOUR(A20)&gt;=10, HOUR(A20)&lt;15), "Afternoon",
    AND(HOUR(E20)&gt;=15, HOUR(E20)&lt;19), "Evening",
    AND(HOUR(E20)&gt;=19, HOUR(E20)&lt;=23), "Night"
)</f>
        <v>Afternoon</v>
      </c>
    </row>
    <row r="21" spans="1:14" x14ac:dyDescent="0.25">
      <c r="A21" s="3">
        <v>42381.612500000003</v>
      </c>
      <c r="B21" s="2">
        <f t="shared" si="1"/>
        <v>42381</v>
      </c>
      <c r="C21" t="str">
        <f t="shared" si="2"/>
        <v>January</v>
      </c>
      <c r="D21" t="str">
        <f t="shared" si="3"/>
        <v>Tuesday</v>
      </c>
      <c r="E21" t="str">
        <f t="shared" si="5"/>
        <v>02:42:00 PM</v>
      </c>
      <c r="F21" s="3">
        <v>42381.62222222222</v>
      </c>
      <c r="G21" s="4">
        <f t="shared" si="4"/>
        <v>0.62222222222044365</v>
      </c>
      <c r="H21" t="str">
        <f t="shared" si="0"/>
        <v>14 min</v>
      </c>
      <c r="I21" t="s">
        <v>2</v>
      </c>
      <c r="J21" t="s">
        <v>67</v>
      </c>
      <c r="K21" t="s">
        <v>66</v>
      </c>
      <c r="L21">
        <v>1.8</v>
      </c>
      <c r="M21" t="s">
        <v>8</v>
      </c>
      <c r="N21" t="str" cm="1">
        <f t="array" ref="N21">_xlfn.IFS(
    AND(HOUR(A21)&gt;=0, HOUR(A21)&lt;10), "Morning",
    AND(HOUR(A21)&gt;=10, HOUR(A21)&lt;15), "Afternoon",
    AND(HOUR(E21)&gt;=15, HOUR(E21)&lt;19), "Evening",
    AND(HOUR(E21)&gt;=19, HOUR(E21)&lt;=23), "Night"
)</f>
        <v>Afternoon</v>
      </c>
    </row>
    <row r="22" spans="1:14" x14ac:dyDescent="0.25">
      <c r="A22" s="3">
        <v>42381.634027777778</v>
      </c>
      <c r="B22" s="2">
        <f t="shared" si="1"/>
        <v>42381</v>
      </c>
      <c r="C22" t="str">
        <f t="shared" si="2"/>
        <v>January</v>
      </c>
      <c r="D22" t="str">
        <f t="shared" si="3"/>
        <v>Tuesday</v>
      </c>
      <c r="E22" t="str">
        <f t="shared" si="5"/>
        <v>03:13:00 PM</v>
      </c>
      <c r="F22" s="3">
        <v>42381.644444444442</v>
      </c>
      <c r="G22" s="4">
        <f t="shared" si="4"/>
        <v>0.6444444444423425</v>
      </c>
      <c r="H22" t="str">
        <f t="shared" si="0"/>
        <v>15 min</v>
      </c>
      <c r="I22" t="s">
        <v>2</v>
      </c>
      <c r="J22" t="s">
        <v>66</v>
      </c>
      <c r="K22" t="s">
        <v>68</v>
      </c>
      <c r="L22">
        <v>2.4</v>
      </c>
      <c r="M22" t="s">
        <v>7</v>
      </c>
      <c r="N22" t="str" cm="1">
        <f t="array" ref="N22">_xlfn.IFS(
    AND(HOUR(A22)&gt;=0, HOUR(A22)&lt;10), "Morning",
    AND(HOUR(A22)&gt;=10, HOUR(A22)&lt;15), "Afternoon",
    AND(HOUR(E22)&gt;=15, HOUR(E22)&lt;19), "Evening",
    AND(HOUR(E22)&gt;=19, HOUR(E22)&lt;=23), "Night"
)</f>
        <v>Evening</v>
      </c>
    </row>
    <row r="23" spans="1:14" x14ac:dyDescent="0.25">
      <c r="A23" s="3">
        <v>42381.654166666667</v>
      </c>
      <c r="B23" s="2">
        <f t="shared" si="1"/>
        <v>42381</v>
      </c>
      <c r="C23" t="str">
        <f t="shared" si="2"/>
        <v>January</v>
      </c>
      <c r="D23" t="str">
        <f t="shared" si="3"/>
        <v>Tuesday</v>
      </c>
      <c r="E23" t="str">
        <f t="shared" si="5"/>
        <v>03:42:00 PM</v>
      </c>
      <c r="F23" s="3">
        <v>42381.662499999999</v>
      </c>
      <c r="G23" s="4">
        <f t="shared" si="4"/>
        <v>0.66249999999854481</v>
      </c>
      <c r="H23" t="str">
        <f t="shared" si="0"/>
        <v>12 min</v>
      </c>
      <c r="I23" t="s">
        <v>2</v>
      </c>
      <c r="J23" t="s">
        <v>68</v>
      </c>
      <c r="K23" t="s">
        <v>61</v>
      </c>
      <c r="L23">
        <v>2</v>
      </c>
      <c r="M23" t="s">
        <v>8</v>
      </c>
      <c r="N23" t="str" cm="1">
        <f t="array" ref="N23">_xlfn.IFS(
    AND(HOUR(A23)&gt;=0, HOUR(A23)&lt;10), "Morning",
    AND(HOUR(A23)&gt;=10, HOUR(A23)&lt;15), "Afternoon",
    AND(HOUR(E23)&gt;=15, HOUR(E23)&lt;19), "Evening",
    AND(HOUR(E23)&gt;=19, HOUR(E23)&lt;=23), "Night"
)</f>
        <v>Evening</v>
      </c>
    </row>
    <row r="24" spans="1:14" x14ac:dyDescent="0.25">
      <c r="A24" s="3">
        <v>42381.668055555558</v>
      </c>
      <c r="B24" s="2">
        <f t="shared" si="1"/>
        <v>42381</v>
      </c>
      <c r="C24" t="str">
        <f t="shared" si="2"/>
        <v>January</v>
      </c>
      <c r="D24" t="str">
        <f t="shared" si="3"/>
        <v>Tuesday</v>
      </c>
      <c r="E24" t="str">
        <f t="shared" si="5"/>
        <v>04:02:00 PM</v>
      </c>
      <c r="F24" s="3">
        <v>42381.708333333336</v>
      </c>
      <c r="G24" s="4">
        <f t="shared" si="4"/>
        <v>0.70833333333575865</v>
      </c>
      <c r="H24" t="str">
        <f t="shared" si="0"/>
        <v>58 min</v>
      </c>
      <c r="I24" t="s">
        <v>2</v>
      </c>
      <c r="J24" t="s">
        <v>58</v>
      </c>
      <c r="K24" t="s">
        <v>69</v>
      </c>
      <c r="L24">
        <v>15.1</v>
      </c>
      <c r="M24" t="s">
        <v>10</v>
      </c>
      <c r="N24" t="str" cm="1">
        <f t="array" ref="N24">_xlfn.IFS(
    AND(HOUR(A24)&gt;=0, HOUR(A24)&lt;10), "Morning",
    AND(HOUR(A24)&gt;=10, HOUR(A24)&lt;15), "Afternoon",
    AND(HOUR(E24)&gt;=15, HOUR(E24)&lt;19), "Evening",
    AND(HOUR(E24)&gt;=19, HOUR(E24)&lt;=23), "Night"
)</f>
        <v>Evening</v>
      </c>
    </row>
    <row r="25" spans="1:14" x14ac:dyDescent="0.25">
      <c r="A25" s="3">
        <v>42382.57916666667</v>
      </c>
      <c r="B25" s="2">
        <f t="shared" si="1"/>
        <v>42382</v>
      </c>
      <c r="C25" t="str">
        <f t="shared" si="2"/>
        <v>January</v>
      </c>
      <c r="D25" t="str">
        <f t="shared" si="3"/>
        <v>Wednesday</v>
      </c>
      <c r="E25" t="str">
        <f t="shared" si="5"/>
        <v>01:54:00 PM</v>
      </c>
      <c r="F25" s="3">
        <v>42382.588194444441</v>
      </c>
      <c r="G25" s="4">
        <f t="shared" si="4"/>
        <v>0.58819444444088731</v>
      </c>
      <c r="H25" t="str">
        <f t="shared" si="0"/>
        <v>13 min</v>
      </c>
      <c r="I25" t="s">
        <v>2</v>
      </c>
      <c r="J25" t="s">
        <v>70</v>
      </c>
      <c r="K25" t="s">
        <v>71</v>
      </c>
      <c r="L25">
        <v>11.2</v>
      </c>
      <c r="M25" t="s">
        <v>10</v>
      </c>
      <c r="N25" t="str" cm="1">
        <f t="array" ref="N25">_xlfn.IFS(
    AND(HOUR(A25)&gt;=0, HOUR(A25)&lt;10), "Morning",
    AND(HOUR(A25)&gt;=10, HOUR(A25)&lt;15), "Afternoon",
    AND(HOUR(E25)&gt;=15, HOUR(E25)&lt;19), "Evening",
    AND(HOUR(E25)&gt;=19, HOUR(E25)&lt;=23), "Night"
)</f>
        <v>Afternoon</v>
      </c>
    </row>
    <row r="26" spans="1:14" x14ac:dyDescent="0.25">
      <c r="A26" s="3">
        <v>42382.625</v>
      </c>
      <c r="B26" s="2">
        <f t="shared" si="1"/>
        <v>42382</v>
      </c>
      <c r="C26" t="str">
        <f t="shared" si="2"/>
        <v>January</v>
      </c>
      <c r="D26" t="str">
        <f t="shared" si="3"/>
        <v>Wednesday</v>
      </c>
      <c r="E26" t="str">
        <f t="shared" si="5"/>
        <v>03:00:00 PM</v>
      </c>
      <c r="F26" s="3">
        <v>42382.644444444442</v>
      </c>
      <c r="G26" s="4">
        <f t="shared" si="4"/>
        <v>0.6444444444423425</v>
      </c>
      <c r="H26" t="str">
        <f t="shared" si="0"/>
        <v>28 min</v>
      </c>
      <c r="I26" t="s">
        <v>2</v>
      </c>
      <c r="J26" t="s">
        <v>71</v>
      </c>
      <c r="K26" t="s">
        <v>70</v>
      </c>
      <c r="L26">
        <v>11.8</v>
      </c>
      <c r="M26" t="s">
        <v>10</v>
      </c>
      <c r="N26" t="str" cm="1">
        <f t="array" ref="N26">_xlfn.IFS(
    AND(HOUR(A26)&gt;=0, HOUR(A26)&lt;10), "Morning",
    AND(HOUR(A26)&gt;=10, HOUR(A26)&lt;15), "Afternoon",
    AND(HOUR(E26)&gt;=15, HOUR(E26)&lt;19), "Evening",
    AND(HOUR(E26)&gt;=19, HOUR(E26)&lt;=23), "Night"
)</f>
        <v>Evening</v>
      </c>
    </row>
    <row r="27" spans="1:14" x14ac:dyDescent="0.25">
      <c r="A27" s="3">
        <v>42383.686805555553</v>
      </c>
      <c r="B27" s="2">
        <f t="shared" si="1"/>
        <v>42383</v>
      </c>
      <c r="C27" t="str">
        <f t="shared" si="2"/>
        <v>January</v>
      </c>
      <c r="D27" t="str">
        <f t="shared" si="3"/>
        <v>Thursday</v>
      </c>
      <c r="E27" t="str">
        <f t="shared" si="5"/>
        <v>04:29:00 PM</v>
      </c>
      <c r="F27" s="3">
        <v>42383.711805555555</v>
      </c>
      <c r="G27" s="4">
        <f t="shared" si="4"/>
        <v>0.71180555555474712</v>
      </c>
      <c r="H27" t="str">
        <f t="shared" si="0"/>
        <v>36 min</v>
      </c>
      <c r="I27" t="s">
        <v>2</v>
      </c>
      <c r="J27" t="s">
        <v>72</v>
      </c>
      <c r="K27" t="s">
        <v>72</v>
      </c>
      <c r="L27">
        <v>21.9</v>
      </c>
      <c r="M27" t="s">
        <v>7</v>
      </c>
      <c r="N27" t="str" cm="1">
        <f t="array" ref="N27">_xlfn.IFS(
    AND(HOUR(A27)&gt;=0, HOUR(A27)&lt;10), "Morning",
    AND(HOUR(A27)&gt;=10, HOUR(A27)&lt;15), "Afternoon",
    AND(HOUR(E27)&gt;=15, HOUR(E27)&lt;19), "Evening",
    AND(HOUR(E27)&gt;=19, HOUR(E27)&lt;=23), "Night"
)</f>
        <v>Evening</v>
      </c>
    </row>
    <row r="28" spans="1:14" x14ac:dyDescent="0.25">
      <c r="A28" s="3">
        <v>42383.902083333334</v>
      </c>
      <c r="B28" s="2">
        <f t="shared" si="1"/>
        <v>42383</v>
      </c>
      <c r="C28" t="str">
        <f t="shared" si="2"/>
        <v>January</v>
      </c>
      <c r="D28" t="str">
        <f t="shared" si="3"/>
        <v>Thursday</v>
      </c>
      <c r="E28" t="str">
        <f t="shared" si="5"/>
        <v>09:39:00 PM</v>
      </c>
      <c r="F28" s="3">
        <v>42383.90625</v>
      </c>
      <c r="G28" s="4">
        <f t="shared" si="4"/>
        <v>0.90625</v>
      </c>
      <c r="H28" t="str">
        <f t="shared" si="0"/>
        <v>6 min</v>
      </c>
      <c r="I28" t="s">
        <v>2</v>
      </c>
      <c r="J28" t="s">
        <v>73</v>
      </c>
      <c r="K28" t="s">
        <v>74</v>
      </c>
      <c r="L28">
        <v>3.9</v>
      </c>
      <c r="M28" t="s">
        <v>8</v>
      </c>
      <c r="N28" t="str" cm="1">
        <f t="array" ref="N28">_xlfn.IFS(
    AND(HOUR(A28)&gt;=0, HOUR(A28)&lt;10), "Morning",
    AND(HOUR(A28)&gt;=10, HOUR(A28)&lt;15), "Afternoon",
    AND(HOUR(E28)&gt;=15, HOUR(E28)&lt;19), "Evening",
    AND(HOUR(E28)&gt;=19, HOUR(E28)&lt;=23), "Night"
)</f>
        <v>Night</v>
      </c>
    </row>
    <row r="29" spans="1:14" x14ac:dyDescent="0.25">
      <c r="A29" s="3">
        <v>42384.02847222222</v>
      </c>
      <c r="B29" s="2">
        <f t="shared" si="1"/>
        <v>42384</v>
      </c>
      <c r="C29" t="str">
        <f t="shared" si="2"/>
        <v>January</v>
      </c>
      <c r="D29" t="str">
        <f t="shared" si="3"/>
        <v>Friday</v>
      </c>
      <c r="E29" t="str">
        <f t="shared" si="5"/>
        <v>12:41:00 AM</v>
      </c>
      <c r="F29" s="3">
        <v>42384.042361111111</v>
      </c>
      <c r="G29" s="4">
        <f t="shared" si="4"/>
        <v>4.2361111110949423E-2</v>
      </c>
      <c r="H29" t="str">
        <f t="shared" si="0"/>
        <v>20 min</v>
      </c>
      <c r="I29" t="s">
        <v>2</v>
      </c>
      <c r="J29" t="s">
        <v>56</v>
      </c>
      <c r="K29" t="s">
        <v>55</v>
      </c>
      <c r="L29">
        <v>8</v>
      </c>
      <c r="M29" t="s">
        <v>8</v>
      </c>
      <c r="N29" t="str" cm="1">
        <f t="array" ref="N29">_xlfn.IFS(
    AND(HOUR(A29)&gt;=0, HOUR(A29)&lt;10), "Morning",
    AND(HOUR(A29)&gt;=10, HOUR(A29)&lt;15), "Afternoon",
    AND(HOUR(E29)&gt;=15, HOUR(E29)&lt;19), "Evening",
    AND(HOUR(E29)&gt;=19, HOUR(E29)&lt;=23), "Night"
)</f>
        <v>Morning</v>
      </c>
    </row>
    <row r="30" spans="1:14" x14ac:dyDescent="0.25">
      <c r="A30" s="3">
        <v>42384.488194444442</v>
      </c>
      <c r="B30" s="2">
        <f t="shared" si="1"/>
        <v>42384</v>
      </c>
      <c r="C30" t="str">
        <f t="shared" si="2"/>
        <v>January</v>
      </c>
      <c r="D30" t="str">
        <f t="shared" si="3"/>
        <v>Friday</v>
      </c>
      <c r="E30" t="str">
        <f t="shared" si="5"/>
        <v>11:43:00 AM</v>
      </c>
      <c r="F30" s="3">
        <v>42384.502083333333</v>
      </c>
      <c r="G30" s="4">
        <f t="shared" si="4"/>
        <v>0.50208333333284827</v>
      </c>
      <c r="H30" t="str">
        <f t="shared" si="0"/>
        <v>20 min</v>
      </c>
      <c r="I30" t="s">
        <v>2</v>
      </c>
      <c r="J30" t="s">
        <v>55</v>
      </c>
      <c r="K30" t="s">
        <v>75</v>
      </c>
      <c r="L30">
        <v>10.4</v>
      </c>
      <c r="M30" t="s">
        <v>9</v>
      </c>
      <c r="N30" t="str" cm="1">
        <f t="array" ref="N30">_xlfn.IFS(
    AND(HOUR(A30)&gt;=0, HOUR(A30)&lt;10), "Morning",
    AND(HOUR(A30)&gt;=10, HOUR(A30)&lt;15), "Afternoon",
    AND(HOUR(E30)&gt;=15, HOUR(E30)&lt;19), "Evening",
    AND(HOUR(E30)&gt;=19, HOUR(E30)&lt;=23), "Night"
)</f>
        <v>Afternoon</v>
      </c>
    </row>
    <row r="31" spans="1:14" x14ac:dyDescent="0.25">
      <c r="A31" s="3">
        <v>42384.55972222222</v>
      </c>
      <c r="B31" s="2">
        <f t="shared" si="1"/>
        <v>42384</v>
      </c>
      <c r="C31" t="str">
        <f t="shared" si="2"/>
        <v>January</v>
      </c>
      <c r="D31" t="str">
        <f t="shared" si="3"/>
        <v>Friday</v>
      </c>
      <c r="E31" t="str">
        <f t="shared" si="5"/>
        <v>01:26:00 PM</v>
      </c>
      <c r="F31" s="3">
        <v>42384.572222222225</v>
      </c>
      <c r="G31" s="4">
        <f t="shared" si="4"/>
        <v>0.57222222222480923</v>
      </c>
      <c r="H31" t="str">
        <f t="shared" si="0"/>
        <v>18 min</v>
      </c>
      <c r="I31" t="s">
        <v>2</v>
      </c>
      <c r="J31" t="s">
        <v>75</v>
      </c>
      <c r="K31" t="s">
        <v>55</v>
      </c>
      <c r="L31">
        <v>10.4</v>
      </c>
      <c r="M31" t="s">
        <v>9</v>
      </c>
      <c r="N31" t="str" cm="1">
        <f t="array" ref="N31">_xlfn.IFS(
    AND(HOUR(A31)&gt;=0, HOUR(A31)&lt;10), "Morning",
    AND(HOUR(A31)&gt;=10, HOUR(A31)&lt;15), "Afternoon",
    AND(HOUR(E31)&gt;=15, HOUR(E31)&lt;19), "Evening",
    AND(HOUR(E31)&gt;=19, HOUR(E31)&lt;=23), "Night"
)</f>
        <v>Afternoon</v>
      </c>
    </row>
    <row r="32" spans="1:14" x14ac:dyDescent="0.25">
      <c r="A32" s="3">
        <v>42387.621527777781</v>
      </c>
      <c r="B32" s="2">
        <f t="shared" si="1"/>
        <v>42387</v>
      </c>
      <c r="C32" t="str">
        <f t="shared" si="2"/>
        <v>January</v>
      </c>
      <c r="D32" t="str">
        <f t="shared" si="3"/>
        <v>Monday</v>
      </c>
      <c r="E32" t="str">
        <f t="shared" si="5"/>
        <v>02:55:00 PM</v>
      </c>
      <c r="F32" s="3">
        <v>42387.629166666666</v>
      </c>
      <c r="G32" s="4">
        <f t="shared" si="4"/>
        <v>0.62916666666569654</v>
      </c>
      <c r="H32" t="str">
        <f t="shared" si="0"/>
        <v>11 min</v>
      </c>
      <c r="I32" t="s">
        <v>2</v>
      </c>
      <c r="J32" t="s">
        <v>55</v>
      </c>
      <c r="K32" t="s">
        <v>55</v>
      </c>
      <c r="L32">
        <v>4.8</v>
      </c>
      <c r="M32" t="s">
        <v>9</v>
      </c>
      <c r="N32" t="str" cm="1">
        <f t="array" ref="N32">_xlfn.IFS(
    AND(HOUR(A32)&gt;=0, HOUR(A32)&lt;10), "Morning",
    AND(HOUR(A32)&gt;=10, HOUR(A32)&lt;15), "Afternoon",
    AND(HOUR(E32)&gt;=15, HOUR(E32)&lt;19), "Evening",
    AND(HOUR(E32)&gt;=19, HOUR(E32)&lt;=23), "Night"
)</f>
        <v>Afternoon</v>
      </c>
    </row>
    <row r="33" spans="1:14" x14ac:dyDescent="0.25">
      <c r="A33" s="3">
        <v>42387.675694444442</v>
      </c>
      <c r="B33" s="2">
        <f t="shared" si="1"/>
        <v>42387</v>
      </c>
      <c r="C33" t="str">
        <f t="shared" si="2"/>
        <v>January</v>
      </c>
      <c r="D33" t="str">
        <f t="shared" si="3"/>
        <v>Monday</v>
      </c>
      <c r="E33" t="str">
        <f t="shared" si="5"/>
        <v>04:13:00 PM</v>
      </c>
      <c r="F33" s="3">
        <v>42387.683333333334</v>
      </c>
      <c r="G33" s="4">
        <f t="shared" si="4"/>
        <v>0.68333333333430346</v>
      </c>
      <c r="H33" t="str">
        <f t="shared" si="0"/>
        <v>11 min</v>
      </c>
      <c r="I33" t="s">
        <v>2</v>
      </c>
      <c r="J33" t="s">
        <v>76</v>
      </c>
      <c r="K33" t="s">
        <v>77</v>
      </c>
      <c r="L33">
        <v>4.7</v>
      </c>
      <c r="M33" t="s">
        <v>9</v>
      </c>
      <c r="N33" t="str" cm="1">
        <f t="array" ref="N33">_xlfn.IFS(
    AND(HOUR(A33)&gt;=0, HOUR(A33)&lt;10), "Morning",
    AND(HOUR(A33)&gt;=10, HOUR(A33)&lt;15), "Afternoon",
    AND(HOUR(E33)&gt;=15, HOUR(E33)&lt;19), "Evening",
    AND(HOUR(E33)&gt;=19, HOUR(E33)&lt;=23), "Night"
)</f>
        <v>Evening</v>
      </c>
    </row>
    <row r="34" spans="1:14" x14ac:dyDescent="0.25">
      <c r="A34" s="3">
        <v>42388.381249999999</v>
      </c>
      <c r="B34" s="2">
        <f t="shared" si="1"/>
        <v>42388</v>
      </c>
      <c r="C34" t="str">
        <f t="shared" si="2"/>
        <v>January</v>
      </c>
      <c r="D34" t="str">
        <f t="shared" si="3"/>
        <v>Tuesday</v>
      </c>
      <c r="E34" t="str">
        <f t="shared" si="5"/>
        <v>09:09:00 AM</v>
      </c>
      <c r="F34" s="3">
        <v>42388.390972222223</v>
      </c>
      <c r="G34" s="4">
        <f t="shared" si="4"/>
        <v>0.39097222222335404</v>
      </c>
      <c r="H34" t="str">
        <f t="shared" si="0"/>
        <v>14 min</v>
      </c>
      <c r="I34" t="s">
        <v>2</v>
      </c>
      <c r="J34" t="s">
        <v>77</v>
      </c>
      <c r="K34" t="s">
        <v>78</v>
      </c>
      <c r="L34">
        <v>7.2</v>
      </c>
      <c r="M34" t="s">
        <v>52</v>
      </c>
      <c r="N34" t="str" cm="1">
        <f t="array" ref="N34">_xlfn.IFS(
    AND(HOUR(A34)&gt;=0, HOUR(A34)&lt;10), "Morning",
    AND(HOUR(A34)&gt;=10, HOUR(A34)&lt;15), "Afternoon",
    AND(HOUR(E34)&gt;=15, HOUR(E34)&lt;19), "Evening",
    AND(HOUR(E34)&gt;=19, HOUR(E34)&lt;=23), "Night"
)</f>
        <v>Morning</v>
      </c>
    </row>
    <row r="35" spans="1:14" x14ac:dyDescent="0.25">
      <c r="A35" s="3">
        <v>42388.454861111109</v>
      </c>
      <c r="B35" s="2">
        <f t="shared" si="1"/>
        <v>42388</v>
      </c>
      <c r="C35" t="str">
        <f t="shared" si="2"/>
        <v>January</v>
      </c>
      <c r="D35" t="str">
        <f t="shared" si="3"/>
        <v>Tuesday</v>
      </c>
      <c r="E35" t="str">
        <f t="shared" si="5"/>
        <v>10:55:00 AM</v>
      </c>
      <c r="F35" s="3">
        <v>42388.464583333334</v>
      </c>
      <c r="G35" s="4">
        <f t="shared" si="4"/>
        <v>0.46458333333430346</v>
      </c>
      <c r="H35" t="str">
        <f t="shared" si="0"/>
        <v>14 min</v>
      </c>
      <c r="I35" t="s">
        <v>2</v>
      </c>
      <c r="J35" t="s">
        <v>78</v>
      </c>
      <c r="K35" t="s">
        <v>77</v>
      </c>
      <c r="L35">
        <v>7.6</v>
      </c>
      <c r="M35" t="s">
        <v>11</v>
      </c>
      <c r="N35" t="str" cm="1">
        <f t="array" ref="N35">_xlfn.IFS(
    AND(HOUR(A35)&gt;=0, HOUR(A35)&lt;10), "Morning",
    AND(HOUR(A35)&gt;=10, HOUR(A35)&lt;15), "Afternoon",
    AND(HOUR(E35)&gt;=15, HOUR(E35)&lt;19), "Evening",
    AND(HOUR(E35)&gt;=19, HOUR(E35)&lt;=23), "Night"
)</f>
        <v>Afternoon</v>
      </c>
    </row>
    <row r="36" spans="1:14" x14ac:dyDescent="0.25">
      <c r="A36" s="3">
        <v>42389.441666666666</v>
      </c>
      <c r="B36" s="2">
        <f t="shared" si="1"/>
        <v>42389</v>
      </c>
      <c r="C36" t="str">
        <f t="shared" si="2"/>
        <v>January</v>
      </c>
      <c r="D36" t="str">
        <f t="shared" si="3"/>
        <v>Wednesday</v>
      </c>
      <c r="E36" t="str">
        <f t="shared" si="5"/>
        <v>10:36:00 AM</v>
      </c>
      <c r="F36" s="3">
        <v>42389.46597222222</v>
      </c>
      <c r="G36" s="4">
        <f t="shared" si="4"/>
        <v>0.46597222222044365</v>
      </c>
      <c r="H36" t="str">
        <f t="shared" si="0"/>
        <v>35 min</v>
      </c>
      <c r="I36" t="s">
        <v>2</v>
      </c>
      <c r="J36" t="s">
        <v>55</v>
      </c>
      <c r="K36" t="s">
        <v>79</v>
      </c>
      <c r="L36">
        <v>17.100000000000001</v>
      </c>
      <c r="M36" t="s">
        <v>10</v>
      </c>
      <c r="N36" t="str" cm="1">
        <f t="array" ref="N36">_xlfn.IFS(
    AND(HOUR(A36)&gt;=0, HOUR(A36)&lt;10), "Morning",
    AND(HOUR(A36)&gt;=10, HOUR(A36)&lt;15), "Afternoon",
    AND(HOUR(E36)&gt;=15, HOUR(E36)&lt;19), "Evening",
    AND(HOUR(E36)&gt;=19, HOUR(E36)&lt;=23), "Night"
)</f>
        <v>Afternoon</v>
      </c>
    </row>
    <row r="37" spans="1:14" x14ac:dyDescent="0.25">
      <c r="A37" s="3">
        <v>42389.491666666669</v>
      </c>
      <c r="B37" s="2">
        <f t="shared" si="1"/>
        <v>42389</v>
      </c>
      <c r="C37" t="str">
        <f t="shared" si="2"/>
        <v>January</v>
      </c>
      <c r="D37" t="str">
        <f t="shared" si="3"/>
        <v>Wednesday</v>
      </c>
      <c r="E37" t="str">
        <f t="shared" si="5"/>
        <v>11:48:00 AM</v>
      </c>
      <c r="F37" s="3">
        <v>42389.513194444444</v>
      </c>
      <c r="G37" s="4">
        <f t="shared" si="4"/>
        <v>0.51319444444379769</v>
      </c>
      <c r="H37" t="str">
        <f t="shared" si="0"/>
        <v>31 min</v>
      </c>
      <c r="I37" t="s">
        <v>2</v>
      </c>
      <c r="J37" t="s">
        <v>80</v>
      </c>
      <c r="K37" t="s">
        <v>81</v>
      </c>
      <c r="L37">
        <v>15.1</v>
      </c>
      <c r="M37" t="s">
        <v>10</v>
      </c>
      <c r="N37" t="str" cm="1">
        <f t="array" ref="N37">_xlfn.IFS(
    AND(HOUR(A37)&gt;=0, HOUR(A37)&lt;10), "Morning",
    AND(HOUR(A37)&gt;=10, HOUR(A37)&lt;15), "Afternoon",
    AND(HOUR(E37)&gt;=15, HOUR(E37)&lt;19), "Evening",
    AND(HOUR(E37)&gt;=19, HOUR(E37)&lt;=23), "Night"
)</f>
        <v>Afternoon</v>
      </c>
    </row>
    <row r="38" spans="1:14" x14ac:dyDescent="0.25">
      <c r="A38" s="3">
        <v>42389.559027777781</v>
      </c>
      <c r="B38" s="2">
        <f t="shared" si="1"/>
        <v>42389</v>
      </c>
      <c r="C38" t="str">
        <f t="shared" si="2"/>
        <v>January</v>
      </c>
      <c r="D38" t="str">
        <f t="shared" si="3"/>
        <v>Wednesday</v>
      </c>
      <c r="E38" t="str">
        <f t="shared" si="5"/>
        <v>01:25:00 PM</v>
      </c>
      <c r="F38" s="3">
        <v>42389.59652777778</v>
      </c>
      <c r="G38" s="4">
        <f t="shared" si="4"/>
        <v>0.59652777777955635</v>
      </c>
      <c r="H38" t="str">
        <f t="shared" si="0"/>
        <v>54 min</v>
      </c>
      <c r="I38" t="s">
        <v>2</v>
      </c>
      <c r="J38" t="s">
        <v>79</v>
      </c>
      <c r="K38" t="s">
        <v>55</v>
      </c>
      <c r="L38">
        <v>40.200000000000003</v>
      </c>
      <c r="M38" t="s">
        <v>7</v>
      </c>
      <c r="N38" t="str" cm="1">
        <f t="array" ref="N38">_xlfn.IFS(
    AND(HOUR(A38)&gt;=0, HOUR(A38)&lt;10), "Morning",
    AND(HOUR(A38)&gt;=10, HOUR(A38)&lt;15), "Afternoon",
    AND(HOUR(E38)&gt;=15, HOUR(E38)&lt;19), "Evening",
    AND(HOUR(E38)&gt;=19, HOUR(E38)&lt;=23), "Night"
)</f>
        <v>Afternoon</v>
      </c>
    </row>
    <row r="39" spans="1:14" x14ac:dyDescent="0.25">
      <c r="A39" s="3">
        <v>42390.600694444445</v>
      </c>
      <c r="B39" s="2">
        <f t="shared" si="1"/>
        <v>42390</v>
      </c>
      <c r="C39" t="str">
        <f t="shared" si="2"/>
        <v>January</v>
      </c>
      <c r="D39" t="str">
        <f t="shared" si="3"/>
        <v>Thursday</v>
      </c>
      <c r="E39" t="str">
        <f t="shared" si="5"/>
        <v>02:25:00 PM</v>
      </c>
      <c r="F39" s="3">
        <v>42390.603472222225</v>
      </c>
      <c r="G39" s="4">
        <f t="shared" si="4"/>
        <v>0.60347222222480923</v>
      </c>
      <c r="H39" t="str">
        <f t="shared" si="0"/>
        <v>4 min</v>
      </c>
      <c r="I39" t="s">
        <v>2</v>
      </c>
      <c r="J39" t="s">
        <v>55</v>
      </c>
      <c r="K39" t="s">
        <v>55</v>
      </c>
      <c r="L39">
        <v>1.6</v>
      </c>
      <c r="M39" t="s">
        <v>8</v>
      </c>
      <c r="N39" t="str" cm="1">
        <f t="array" ref="N39">_xlfn.IFS(
    AND(HOUR(A39)&gt;=0, HOUR(A39)&lt;10), "Morning",
    AND(HOUR(A39)&gt;=10, HOUR(A39)&lt;15), "Afternoon",
    AND(HOUR(E39)&gt;=15, HOUR(E39)&lt;19), "Evening",
    AND(HOUR(E39)&gt;=19, HOUR(E39)&lt;=23), "Night"
)</f>
        <v>Afternoon</v>
      </c>
    </row>
    <row r="40" spans="1:14" x14ac:dyDescent="0.25">
      <c r="A40" s="3">
        <v>42390.613194444442</v>
      </c>
      <c r="B40" s="2">
        <f t="shared" si="1"/>
        <v>42390</v>
      </c>
      <c r="C40" t="str">
        <f t="shared" si="2"/>
        <v>January</v>
      </c>
      <c r="D40" t="str">
        <f t="shared" si="3"/>
        <v>Thursday</v>
      </c>
      <c r="E40" t="str">
        <f t="shared" si="5"/>
        <v>02:43:00 PM</v>
      </c>
      <c r="F40" s="3">
        <v>42390.618750000001</v>
      </c>
      <c r="G40" s="4">
        <f t="shared" si="4"/>
        <v>0.61875000000145519</v>
      </c>
      <c r="H40" t="str">
        <f t="shared" si="0"/>
        <v>8 min</v>
      </c>
      <c r="I40" t="s">
        <v>2</v>
      </c>
      <c r="J40" t="s">
        <v>55</v>
      </c>
      <c r="K40" t="s">
        <v>55</v>
      </c>
      <c r="L40">
        <v>2.4</v>
      </c>
      <c r="M40" t="s">
        <v>9</v>
      </c>
      <c r="N40" t="str" cm="1">
        <f t="array" ref="N40">_xlfn.IFS(
    AND(HOUR(A40)&gt;=0, HOUR(A40)&lt;10), "Morning",
    AND(HOUR(A40)&gt;=10, HOUR(A40)&lt;15), "Afternoon",
    AND(HOUR(E40)&gt;=15, HOUR(E40)&lt;19), "Evening",
    AND(HOUR(E40)&gt;=19, HOUR(E40)&lt;=23), "Night"
)</f>
        <v>Afternoon</v>
      </c>
    </row>
    <row r="41" spans="1:14" x14ac:dyDescent="0.25">
      <c r="A41" s="3">
        <v>42390.667361111111</v>
      </c>
      <c r="B41" s="2">
        <f t="shared" si="1"/>
        <v>42390</v>
      </c>
      <c r="C41" t="str">
        <f t="shared" si="2"/>
        <v>January</v>
      </c>
      <c r="D41" t="str">
        <f t="shared" si="3"/>
        <v>Thursday</v>
      </c>
      <c r="E41" t="str">
        <f t="shared" si="5"/>
        <v>04:01:00 PM</v>
      </c>
      <c r="F41" s="3">
        <v>42390.67083333333</v>
      </c>
      <c r="G41" s="4">
        <f t="shared" si="4"/>
        <v>0.67083333332993789</v>
      </c>
      <c r="H41" t="str">
        <f t="shared" si="0"/>
        <v>5 min</v>
      </c>
      <c r="I41" t="s">
        <v>2</v>
      </c>
      <c r="J41" t="s">
        <v>55</v>
      </c>
      <c r="K41" t="s">
        <v>55</v>
      </c>
      <c r="L41">
        <v>1</v>
      </c>
      <c r="M41" t="s">
        <v>9</v>
      </c>
      <c r="N41" t="str" cm="1">
        <f t="array" ref="N41">_xlfn.IFS(
    AND(HOUR(A41)&gt;=0, HOUR(A41)&lt;10), "Morning",
    AND(HOUR(A41)&gt;=10, HOUR(A41)&lt;15), "Afternoon",
    AND(HOUR(E41)&gt;=15, HOUR(E41)&lt;19), "Evening",
    AND(HOUR(E41)&gt;=19, HOUR(E41)&lt;=23), "Night"
)</f>
        <v>Evening</v>
      </c>
    </row>
    <row r="42" spans="1:14" x14ac:dyDescent="0.25">
      <c r="A42" s="3">
        <v>42395.445138888892</v>
      </c>
      <c r="B42" s="2">
        <f t="shared" si="1"/>
        <v>42395</v>
      </c>
      <c r="C42" t="str">
        <f t="shared" si="2"/>
        <v>January</v>
      </c>
      <c r="D42" t="str">
        <f t="shared" si="3"/>
        <v>Tuesday</v>
      </c>
      <c r="E42" t="str">
        <f t="shared" si="5"/>
        <v>10:41:00 AM</v>
      </c>
      <c r="F42" s="3">
        <v>42395.451388888891</v>
      </c>
      <c r="G42" s="4">
        <f t="shared" si="4"/>
        <v>0.45138888889050577</v>
      </c>
      <c r="H42" t="str">
        <f t="shared" si="0"/>
        <v>9 min</v>
      </c>
      <c r="I42" t="s">
        <v>2</v>
      </c>
      <c r="J42" t="s">
        <v>77</v>
      </c>
      <c r="K42" t="s">
        <v>82</v>
      </c>
      <c r="L42">
        <v>2</v>
      </c>
      <c r="M42" t="s">
        <v>9</v>
      </c>
      <c r="N42" t="str" cm="1">
        <f t="array" ref="N42">_xlfn.IFS(
    AND(HOUR(A42)&gt;=0, HOUR(A42)&lt;10), "Morning",
    AND(HOUR(A42)&gt;=10, HOUR(A42)&lt;15), "Afternoon",
    AND(HOUR(E42)&gt;=15, HOUR(E42)&lt;19), "Evening",
    AND(HOUR(E42)&gt;=19, HOUR(E42)&lt;=23), "Night"
)</f>
        <v>Afternoon</v>
      </c>
    </row>
    <row r="43" spans="1:14" x14ac:dyDescent="0.25">
      <c r="A43" s="3">
        <v>42395.522916666669</v>
      </c>
      <c r="B43" s="2">
        <f t="shared" si="1"/>
        <v>42395</v>
      </c>
      <c r="C43" t="str">
        <f t="shared" si="2"/>
        <v>January</v>
      </c>
      <c r="D43" t="str">
        <f t="shared" si="3"/>
        <v>Tuesday</v>
      </c>
      <c r="E43" t="str">
        <f t="shared" si="5"/>
        <v>12:33:00 PM</v>
      </c>
      <c r="F43" s="3">
        <v>42395.52847222222</v>
      </c>
      <c r="G43" s="4">
        <f t="shared" si="4"/>
        <v>0.52847222222044365</v>
      </c>
      <c r="H43" t="str">
        <f t="shared" si="0"/>
        <v>8 min</v>
      </c>
      <c r="I43" t="s">
        <v>2</v>
      </c>
      <c r="J43" t="s">
        <v>82</v>
      </c>
      <c r="K43" t="s">
        <v>77</v>
      </c>
      <c r="L43">
        <v>2.2999999999999998</v>
      </c>
      <c r="M43" t="s">
        <v>8</v>
      </c>
      <c r="N43" t="str" cm="1">
        <f t="array" ref="N43">_xlfn.IFS(
    AND(HOUR(A43)&gt;=0, HOUR(A43)&lt;10), "Morning",
    AND(HOUR(A43)&gt;=10, HOUR(A43)&lt;15), "Afternoon",
    AND(HOUR(E43)&gt;=15, HOUR(E43)&lt;19), "Evening",
    AND(HOUR(E43)&gt;=19, HOUR(E43)&lt;=23), "Night"
)</f>
        <v>Afternoon</v>
      </c>
    </row>
    <row r="44" spans="1:14" x14ac:dyDescent="0.25">
      <c r="A44" s="3">
        <v>42395.683333333334</v>
      </c>
      <c r="B44" s="2">
        <f t="shared" si="1"/>
        <v>42395</v>
      </c>
      <c r="C44" t="str">
        <f t="shared" si="2"/>
        <v>January</v>
      </c>
      <c r="D44" t="str">
        <f t="shared" si="3"/>
        <v>Tuesday</v>
      </c>
      <c r="E44" t="str">
        <f t="shared" si="5"/>
        <v>04:24:00 PM</v>
      </c>
      <c r="F44" s="3">
        <v>42395.688888888886</v>
      </c>
      <c r="G44" s="4">
        <f t="shared" si="4"/>
        <v>0.68888888888614019</v>
      </c>
      <c r="H44" t="str">
        <f t="shared" si="0"/>
        <v>8 min</v>
      </c>
      <c r="I44" t="s">
        <v>2</v>
      </c>
      <c r="J44" t="s">
        <v>77</v>
      </c>
      <c r="K44" t="s">
        <v>83</v>
      </c>
      <c r="L44">
        <v>1.9</v>
      </c>
      <c r="M44" t="s">
        <v>8</v>
      </c>
      <c r="N44" t="str" cm="1">
        <f t="array" ref="N44">_xlfn.IFS(
    AND(HOUR(A44)&gt;=0, HOUR(A44)&lt;10), "Morning",
    AND(HOUR(A44)&gt;=10, HOUR(A44)&lt;15), "Afternoon",
    AND(HOUR(E44)&gt;=15, HOUR(E44)&lt;19), "Evening",
    AND(HOUR(E44)&gt;=19, HOUR(E44)&lt;=23), "Night"
)</f>
        <v>Evening</v>
      </c>
    </row>
    <row r="45" spans="1:14" x14ac:dyDescent="0.25">
      <c r="A45" s="3">
        <v>42395.720138888886</v>
      </c>
      <c r="B45" s="2">
        <f t="shared" si="1"/>
        <v>42395</v>
      </c>
      <c r="C45" t="str">
        <f t="shared" si="2"/>
        <v>January</v>
      </c>
      <c r="D45" t="str">
        <f t="shared" si="3"/>
        <v>Tuesday</v>
      </c>
      <c r="E45" t="str">
        <f t="shared" si="5"/>
        <v>05:17:00 PM</v>
      </c>
      <c r="F45" s="3">
        <v>42395.723611111112</v>
      </c>
      <c r="G45" s="4">
        <f t="shared" si="4"/>
        <v>0.72361111111240461</v>
      </c>
      <c r="H45" t="str">
        <f t="shared" si="0"/>
        <v>5 min</v>
      </c>
      <c r="I45" t="s">
        <v>2</v>
      </c>
      <c r="J45" t="s">
        <v>55</v>
      </c>
      <c r="K45" t="s">
        <v>55</v>
      </c>
      <c r="L45">
        <v>1.4</v>
      </c>
      <c r="M45" t="s">
        <v>8</v>
      </c>
      <c r="N45" t="str" cm="1">
        <f t="array" ref="N45">_xlfn.IFS(
    AND(HOUR(A45)&gt;=0, HOUR(A45)&lt;10), "Morning",
    AND(HOUR(A45)&gt;=10, HOUR(A45)&lt;15), "Afternoon",
    AND(HOUR(E45)&gt;=15, HOUR(E45)&lt;19), "Evening",
    AND(HOUR(E45)&gt;=19, HOUR(E45)&lt;=23), "Night"
)</f>
        <v>Evening</v>
      </c>
    </row>
    <row r="46" spans="1:14" x14ac:dyDescent="0.25">
      <c r="A46" s="3">
        <v>42395.727083333331</v>
      </c>
      <c r="B46" s="2">
        <f t="shared" si="1"/>
        <v>42395</v>
      </c>
      <c r="C46" t="str">
        <f t="shared" si="2"/>
        <v>January</v>
      </c>
      <c r="D46" t="str">
        <f t="shared" si="3"/>
        <v>Tuesday</v>
      </c>
      <c r="E46" t="str">
        <f t="shared" si="5"/>
        <v>05:27:00 PM</v>
      </c>
      <c r="F46" s="3">
        <v>42395.728472222225</v>
      </c>
      <c r="G46" s="4">
        <f t="shared" si="4"/>
        <v>0.72847222222480923</v>
      </c>
      <c r="H46" t="str">
        <f t="shared" si="0"/>
        <v>2 min</v>
      </c>
      <c r="I46" t="s">
        <v>2</v>
      </c>
      <c r="J46" t="s">
        <v>55</v>
      </c>
      <c r="K46" t="s">
        <v>55</v>
      </c>
      <c r="L46">
        <v>0.5</v>
      </c>
      <c r="M46" t="s">
        <v>8</v>
      </c>
      <c r="N46" t="str" cm="1">
        <f t="array" ref="N46">_xlfn.IFS(
    AND(HOUR(A46)&gt;=0, HOUR(A46)&lt;10), "Morning",
    AND(HOUR(A46)&gt;=10, HOUR(A46)&lt;15), "Afternoon",
    AND(HOUR(E46)&gt;=15, HOUR(E46)&lt;19), "Evening",
    AND(HOUR(E46)&gt;=19, HOUR(E46)&lt;=23), "Night"
)</f>
        <v>Evening</v>
      </c>
    </row>
    <row r="47" spans="1:14" x14ac:dyDescent="0.25">
      <c r="A47" s="3">
        <v>42396.39166666667</v>
      </c>
      <c r="B47" s="2">
        <f t="shared" si="1"/>
        <v>42396</v>
      </c>
      <c r="C47" t="str">
        <f t="shared" si="2"/>
        <v>January</v>
      </c>
      <c r="D47" t="str">
        <f t="shared" si="3"/>
        <v>Wednesday</v>
      </c>
      <c r="E47" t="str">
        <f t="shared" si="5"/>
        <v>09:24:00 AM</v>
      </c>
      <c r="F47" s="3">
        <v>42396.396527777775</v>
      </c>
      <c r="G47" s="4">
        <f t="shared" si="4"/>
        <v>0.39652777777519077</v>
      </c>
      <c r="H47" t="str">
        <f t="shared" si="0"/>
        <v>7 min</v>
      </c>
      <c r="I47" t="s">
        <v>2</v>
      </c>
      <c r="J47" t="s">
        <v>55</v>
      </c>
      <c r="K47" t="s">
        <v>55</v>
      </c>
      <c r="L47">
        <v>1.8</v>
      </c>
      <c r="M47" t="s">
        <v>10</v>
      </c>
      <c r="N47" t="str" cm="1">
        <f t="array" ref="N47">_xlfn.IFS(
    AND(HOUR(A47)&gt;=0, HOUR(A47)&lt;10), "Morning",
    AND(HOUR(A47)&gt;=10, HOUR(A47)&lt;15), "Afternoon",
    AND(HOUR(E47)&gt;=15, HOUR(E47)&lt;19), "Evening",
    AND(HOUR(E47)&gt;=19, HOUR(E47)&lt;=23), "Night"
)</f>
        <v>Morning</v>
      </c>
    </row>
    <row r="48" spans="1:14" x14ac:dyDescent="0.25">
      <c r="A48" s="3">
        <v>42396.429861111108</v>
      </c>
      <c r="B48" s="2">
        <f t="shared" si="1"/>
        <v>42396</v>
      </c>
      <c r="C48" t="str">
        <f t="shared" si="2"/>
        <v>January</v>
      </c>
      <c r="D48" t="str">
        <f t="shared" si="3"/>
        <v>Wednesday</v>
      </c>
      <c r="E48" t="str">
        <f t="shared" si="5"/>
        <v>10:19:00 AM</v>
      </c>
      <c r="F48" s="3">
        <v>42396.45</v>
      </c>
      <c r="G48" s="4">
        <f t="shared" si="4"/>
        <v>0.44999999999708962</v>
      </c>
      <c r="H48" t="str">
        <f t="shared" si="0"/>
        <v>29 min</v>
      </c>
      <c r="I48" t="s">
        <v>2</v>
      </c>
      <c r="J48" t="s">
        <v>55</v>
      </c>
      <c r="K48" t="s">
        <v>79</v>
      </c>
      <c r="L48">
        <v>18.7</v>
      </c>
      <c r="M48" t="s">
        <v>7</v>
      </c>
      <c r="N48" t="str" cm="1">
        <f t="array" ref="N48">_xlfn.IFS(
    AND(HOUR(A48)&gt;=0, HOUR(A48)&lt;10), "Morning",
    AND(HOUR(A48)&gt;=10, HOUR(A48)&lt;15), "Afternoon",
    AND(HOUR(E48)&gt;=15, HOUR(E48)&lt;19), "Evening",
    AND(HOUR(E48)&gt;=19, HOUR(E48)&lt;=23), "Night"
)</f>
        <v>Afternoon</v>
      </c>
    </row>
    <row r="49" spans="1:14" x14ac:dyDescent="0.25">
      <c r="A49" s="3">
        <v>42396.523611111108</v>
      </c>
      <c r="B49" s="2">
        <f t="shared" si="1"/>
        <v>42396</v>
      </c>
      <c r="C49" t="str">
        <f t="shared" si="2"/>
        <v>January</v>
      </c>
      <c r="D49" t="str">
        <f t="shared" si="3"/>
        <v>Wednesday</v>
      </c>
      <c r="E49" t="str">
        <f t="shared" si="5"/>
        <v>12:34:00 PM</v>
      </c>
      <c r="F49" s="3">
        <v>42396.530555555553</v>
      </c>
      <c r="G49" s="4">
        <f t="shared" si="4"/>
        <v>0.53055555555329192</v>
      </c>
      <c r="H49" t="str">
        <f t="shared" si="0"/>
        <v>10 min</v>
      </c>
      <c r="I49" t="s">
        <v>2</v>
      </c>
      <c r="J49" t="s">
        <v>84</v>
      </c>
      <c r="K49" t="s">
        <v>85</v>
      </c>
      <c r="L49">
        <v>3.4</v>
      </c>
      <c r="M49" t="s">
        <v>7</v>
      </c>
      <c r="N49" t="str" cm="1">
        <f t="array" ref="N49">_xlfn.IFS(
    AND(HOUR(A49)&gt;=0, HOUR(A49)&lt;10), "Morning",
    AND(HOUR(A49)&gt;=10, HOUR(A49)&lt;15), "Afternoon",
    AND(HOUR(E49)&gt;=15, HOUR(E49)&lt;19), "Evening",
    AND(HOUR(E49)&gt;=19, HOUR(E49)&lt;=23), "Night"
)</f>
        <v>Afternoon</v>
      </c>
    </row>
    <row r="50" spans="1:14" x14ac:dyDescent="0.25">
      <c r="A50" s="3">
        <v>42396.586805555555</v>
      </c>
      <c r="B50" s="2">
        <f t="shared" si="1"/>
        <v>42396</v>
      </c>
      <c r="C50" t="str">
        <f t="shared" si="2"/>
        <v>January</v>
      </c>
      <c r="D50" t="str">
        <f t="shared" si="3"/>
        <v>Wednesday</v>
      </c>
      <c r="E50" t="str">
        <f t="shared" si="5"/>
        <v>02:05:00 PM</v>
      </c>
      <c r="F50" s="3">
        <v>42396.592361111114</v>
      </c>
      <c r="G50" s="4">
        <f t="shared" si="4"/>
        <v>0.59236111111385981</v>
      </c>
      <c r="H50" t="str">
        <f t="shared" si="0"/>
        <v>8 min</v>
      </c>
      <c r="I50" t="s">
        <v>2</v>
      </c>
      <c r="J50" t="s">
        <v>79</v>
      </c>
      <c r="K50" t="s">
        <v>79</v>
      </c>
      <c r="L50">
        <v>2.7</v>
      </c>
      <c r="M50" t="s">
        <v>7</v>
      </c>
      <c r="N50" t="str" cm="1">
        <f t="array" ref="N50">_xlfn.IFS(
    AND(HOUR(A50)&gt;=0, HOUR(A50)&lt;10), "Morning",
    AND(HOUR(A50)&gt;=10, HOUR(A50)&lt;15), "Afternoon",
    AND(HOUR(E50)&gt;=15, HOUR(E50)&lt;19), "Evening",
    AND(HOUR(E50)&gt;=19, HOUR(E50)&lt;=23), "Night"
)</f>
        <v>Afternoon</v>
      </c>
    </row>
    <row r="51" spans="1:14" x14ac:dyDescent="0.25">
      <c r="A51" s="3">
        <v>42396.615277777775</v>
      </c>
      <c r="B51" s="2">
        <f t="shared" si="1"/>
        <v>42396</v>
      </c>
      <c r="C51" t="str">
        <f t="shared" si="2"/>
        <v>January</v>
      </c>
      <c r="D51" t="str">
        <f t="shared" si="3"/>
        <v>Wednesday</v>
      </c>
      <c r="E51" t="str">
        <f t="shared" si="5"/>
        <v>02:46:00 PM</v>
      </c>
      <c r="F51" s="3">
        <v>42396.630555555559</v>
      </c>
      <c r="G51" s="4">
        <f t="shared" si="4"/>
        <v>0.63055555555911269</v>
      </c>
      <c r="H51" t="str">
        <f t="shared" si="0"/>
        <v>22 min</v>
      </c>
      <c r="I51" t="s">
        <v>2</v>
      </c>
      <c r="J51" t="s">
        <v>79</v>
      </c>
      <c r="K51" t="s">
        <v>55</v>
      </c>
      <c r="L51">
        <v>12.9</v>
      </c>
      <c r="M51" t="s">
        <v>7</v>
      </c>
      <c r="N51" t="str" cm="1">
        <f t="array" ref="N51">_xlfn.IFS(
    AND(HOUR(A51)&gt;=0, HOUR(A51)&lt;10), "Morning",
    AND(HOUR(A51)&gt;=10, HOUR(A51)&lt;15), "Afternoon",
    AND(HOUR(E51)&gt;=15, HOUR(E51)&lt;19), "Evening",
    AND(HOUR(E51)&gt;=19, HOUR(E51)&lt;=23), "Night"
)</f>
        <v>Afternoon</v>
      </c>
    </row>
    <row r="52" spans="1:14" x14ac:dyDescent="0.25">
      <c r="A52" s="3">
        <v>42397.519444444442</v>
      </c>
      <c r="B52" s="2">
        <f t="shared" si="1"/>
        <v>42397</v>
      </c>
      <c r="C52" t="str">
        <f t="shared" si="2"/>
        <v>January</v>
      </c>
      <c r="D52" t="str">
        <f t="shared" si="3"/>
        <v>Thursday</v>
      </c>
      <c r="E52" t="str">
        <f t="shared" si="5"/>
        <v>12:28:00 PM</v>
      </c>
      <c r="F52" s="3">
        <v>42397.541666666664</v>
      </c>
      <c r="G52" s="4">
        <f t="shared" si="4"/>
        <v>0.54166666666424135</v>
      </c>
      <c r="H52" t="str">
        <f t="shared" si="0"/>
        <v>32 min</v>
      </c>
      <c r="I52" t="s">
        <v>2</v>
      </c>
      <c r="J52" t="s">
        <v>55</v>
      </c>
      <c r="K52" t="s">
        <v>79</v>
      </c>
      <c r="L52">
        <v>19</v>
      </c>
      <c r="M52" t="s">
        <v>11</v>
      </c>
      <c r="N52" t="str" cm="1">
        <f t="array" ref="N52">_xlfn.IFS(
    AND(HOUR(A52)&gt;=0, HOUR(A52)&lt;10), "Morning",
    AND(HOUR(A52)&gt;=10, HOUR(A52)&lt;15), "Afternoon",
    AND(HOUR(E52)&gt;=15, HOUR(E52)&lt;19), "Evening",
    AND(HOUR(E52)&gt;=19, HOUR(E52)&lt;=23), "Night"
)</f>
        <v>Afternoon</v>
      </c>
    </row>
    <row r="53" spans="1:14" x14ac:dyDescent="0.25">
      <c r="A53" s="3">
        <v>42397.632638888892</v>
      </c>
      <c r="B53" s="2">
        <f t="shared" si="1"/>
        <v>42397</v>
      </c>
      <c r="C53" t="str">
        <f t="shared" si="2"/>
        <v>January</v>
      </c>
      <c r="D53" t="str">
        <f t="shared" si="3"/>
        <v>Thursday</v>
      </c>
      <c r="E53" t="str">
        <f t="shared" si="5"/>
        <v>03:11:00 PM</v>
      </c>
      <c r="F53" s="3">
        <v>42397.646527777775</v>
      </c>
      <c r="G53" s="4">
        <f t="shared" si="4"/>
        <v>0.64652777777519077</v>
      </c>
      <c r="H53" t="str">
        <f t="shared" si="0"/>
        <v>20 min</v>
      </c>
      <c r="I53" t="s">
        <v>2</v>
      </c>
      <c r="J53" t="s">
        <v>85</v>
      </c>
      <c r="K53" t="s">
        <v>86</v>
      </c>
      <c r="L53">
        <v>14.7</v>
      </c>
      <c r="M53" t="s">
        <v>10</v>
      </c>
      <c r="N53" t="str" cm="1">
        <f t="array" ref="N53">_xlfn.IFS(
    AND(HOUR(A53)&gt;=0, HOUR(A53)&lt;10), "Morning",
    AND(HOUR(A53)&gt;=10, HOUR(A53)&lt;15), "Afternoon",
    AND(HOUR(E53)&gt;=15, HOUR(E53)&lt;19), "Evening",
    AND(HOUR(E53)&gt;=19, HOUR(E53)&lt;=23), "Night"
)</f>
        <v>Evening</v>
      </c>
    </row>
    <row r="54" spans="1:14" x14ac:dyDescent="0.25">
      <c r="A54" s="3">
        <v>42397.681250000001</v>
      </c>
      <c r="B54" s="2">
        <f t="shared" si="1"/>
        <v>42397</v>
      </c>
      <c r="C54" t="str">
        <f t="shared" si="2"/>
        <v>January</v>
      </c>
      <c r="D54" t="str">
        <f t="shared" si="3"/>
        <v>Thursday</v>
      </c>
      <c r="E54" t="str">
        <f t="shared" si="5"/>
        <v>04:21:00 PM</v>
      </c>
      <c r="F54" s="3">
        <v>42397.70208333333</v>
      </c>
      <c r="G54" s="4">
        <f t="shared" si="4"/>
        <v>0.70208333332993789</v>
      </c>
      <c r="H54" t="str">
        <f t="shared" si="0"/>
        <v>30 min</v>
      </c>
      <c r="I54" t="s">
        <v>2</v>
      </c>
      <c r="J54" t="s">
        <v>79</v>
      </c>
      <c r="K54" t="s">
        <v>55</v>
      </c>
      <c r="L54">
        <v>15.7</v>
      </c>
      <c r="M54" t="s">
        <v>10</v>
      </c>
      <c r="N54" t="str" cm="1">
        <f t="array" ref="N54">_xlfn.IFS(
    AND(HOUR(A54)&gt;=0, HOUR(A54)&lt;10), "Morning",
    AND(HOUR(A54)&gt;=10, HOUR(A54)&lt;15), "Afternoon",
    AND(HOUR(E54)&gt;=15, HOUR(E54)&lt;19), "Evening",
    AND(HOUR(E54)&gt;=19, HOUR(E54)&lt;=23), "Night"
)</f>
        <v>Evening</v>
      </c>
    </row>
    <row r="55" spans="1:14" x14ac:dyDescent="0.25">
      <c r="A55" s="3">
        <v>42398.396527777775</v>
      </c>
      <c r="B55" s="2">
        <f t="shared" si="1"/>
        <v>42398</v>
      </c>
      <c r="C55" t="str">
        <f t="shared" si="2"/>
        <v>January</v>
      </c>
      <c r="D55" t="str">
        <f t="shared" si="3"/>
        <v>Friday</v>
      </c>
      <c r="E55" t="str">
        <f t="shared" si="5"/>
        <v>09:31:00 AM</v>
      </c>
      <c r="F55" s="3">
        <v>42398.40625</v>
      </c>
      <c r="G55" s="4">
        <f t="shared" si="4"/>
        <v>0.40625</v>
      </c>
      <c r="H55" t="str">
        <f t="shared" si="0"/>
        <v>14 min</v>
      </c>
      <c r="I55" t="s">
        <v>2</v>
      </c>
      <c r="J55" t="s">
        <v>55</v>
      </c>
      <c r="K55" t="s">
        <v>55</v>
      </c>
      <c r="L55">
        <v>4.5999999999999996</v>
      </c>
      <c r="M55" t="s">
        <v>7</v>
      </c>
      <c r="N55" t="str" cm="1">
        <f t="array" ref="N55">_xlfn.IFS(
    AND(HOUR(A55)&gt;=0, HOUR(A55)&lt;10), "Morning",
    AND(HOUR(A55)&gt;=10, HOUR(A55)&lt;15), "Afternoon",
    AND(HOUR(E55)&gt;=15, HOUR(E55)&lt;19), "Evening",
    AND(HOUR(E55)&gt;=19, HOUR(E55)&lt;=23), "Night"
)</f>
        <v>Morning</v>
      </c>
    </row>
    <row r="56" spans="1:14" x14ac:dyDescent="0.25">
      <c r="A56" s="3">
        <v>42398.455555555556</v>
      </c>
      <c r="B56" s="2">
        <f t="shared" si="1"/>
        <v>42398</v>
      </c>
      <c r="C56" t="str">
        <f t="shared" si="2"/>
        <v>January</v>
      </c>
      <c r="D56" t="str">
        <f t="shared" si="3"/>
        <v>Friday</v>
      </c>
      <c r="E56" t="str">
        <f t="shared" si="5"/>
        <v>10:56:00 AM</v>
      </c>
      <c r="F56" s="3">
        <v>42398.463194444441</v>
      </c>
      <c r="G56" s="4">
        <f t="shared" si="4"/>
        <v>0.46319444444088731</v>
      </c>
      <c r="H56" t="str">
        <f t="shared" si="0"/>
        <v>11 min</v>
      </c>
      <c r="I56" t="s">
        <v>2</v>
      </c>
      <c r="J56" t="s">
        <v>55</v>
      </c>
      <c r="K56" t="s">
        <v>55</v>
      </c>
      <c r="L56">
        <v>5.2</v>
      </c>
      <c r="M56" t="s">
        <v>10</v>
      </c>
      <c r="N56" t="str" cm="1">
        <f t="array" ref="N56">_xlfn.IFS(
    AND(HOUR(A56)&gt;=0, HOUR(A56)&lt;10), "Morning",
    AND(HOUR(A56)&gt;=10, HOUR(A56)&lt;15), "Afternoon",
    AND(HOUR(E56)&gt;=15, HOUR(E56)&lt;19), "Evening",
    AND(HOUR(E56)&gt;=19, HOUR(E56)&lt;=23), "Night"
)</f>
        <v>Afternoon</v>
      </c>
    </row>
    <row r="57" spans="1:14" x14ac:dyDescent="0.25">
      <c r="A57" s="3">
        <v>42398.488194444442</v>
      </c>
      <c r="B57" s="2">
        <f t="shared" si="1"/>
        <v>42398</v>
      </c>
      <c r="C57" t="str">
        <f t="shared" si="2"/>
        <v>January</v>
      </c>
      <c r="D57" t="str">
        <f t="shared" si="3"/>
        <v>Friday</v>
      </c>
      <c r="E57" t="str">
        <f t="shared" si="5"/>
        <v>11:43:00 AM</v>
      </c>
      <c r="F57" s="3">
        <v>42398.502083333333</v>
      </c>
      <c r="G57" s="4">
        <f t="shared" si="4"/>
        <v>0.50208333333284827</v>
      </c>
      <c r="H57" t="str">
        <f t="shared" si="0"/>
        <v>20 min</v>
      </c>
      <c r="I57" t="s">
        <v>2</v>
      </c>
      <c r="J57" t="s">
        <v>55</v>
      </c>
      <c r="K57" t="s">
        <v>75</v>
      </c>
      <c r="L57">
        <v>10.4</v>
      </c>
      <c r="M57" t="s">
        <v>10</v>
      </c>
      <c r="N57" t="str" cm="1">
        <f t="array" ref="N57">_xlfn.IFS(
    AND(HOUR(A57)&gt;=0, HOUR(A57)&lt;10), "Morning",
    AND(HOUR(A57)&gt;=10, HOUR(A57)&lt;15), "Afternoon",
    AND(HOUR(E57)&gt;=15, HOUR(E57)&lt;19), "Evening",
    AND(HOUR(E57)&gt;=19, HOUR(E57)&lt;=23), "Night"
)</f>
        <v>Afternoon</v>
      </c>
    </row>
    <row r="58" spans="1:14" x14ac:dyDescent="0.25">
      <c r="A58" s="3">
        <v>42398.558333333334</v>
      </c>
      <c r="B58" s="2">
        <f t="shared" si="1"/>
        <v>42398</v>
      </c>
      <c r="C58" t="str">
        <f t="shared" si="2"/>
        <v>January</v>
      </c>
      <c r="D58" t="str">
        <f t="shared" si="3"/>
        <v>Friday</v>
      </c>
      <c r="E58" t="str">
        <f t="shared" si="5"/>
        <v>01:24:00 PM</v>
      </c>
      <c r="F58" s="3">
        <v>42398.574305555558</v>
      </c>
      <c r="G58" s="4">
        <f t="shared" si="4"/>
        <v>0.5743055555576575</v>
      </c>
      <c r="H58" t="str">
        <f t="shared" si="0"/>
        <v>23 min</v>
      </c>
      <c r="I58" t="s">
        <v>2</v>
      </c>
      <c r="J58" t="s">
        <v>75</v>
      </c>
      <c r="K58" t="s">
        <v>55</v>
      </c>
      <c r="L58">
        <v>10.1</v>
      </c>
      <c r="M58" t="s">
        <v>10</v>
      </c>
      <c r="N58" t="str" cm="1">
        <f t="array" ref="N58">_xlfn.IFS(
    AND(HOUR(A58)&gt;=0, HOUR(A58)&lt;10), "Morning",
    AND(HOUR(A58)&gt;=10, HOUR(A58)&lt;15), "Afternoon",
    AND(HOUR(E58)&gt;=15, HOUR(E58)&lt;19), "Evening",
    AND(HOUR(E58)&gt;=19, HOUR(E58)&lt;=23), "Night"
)</f>
        <v>Afternoon</v>
      </c>
    </row>
    <row r="59" spans="1:14" x14ac:dyDescent="0.25">
      <c r="A59" s="3">
        <v>42398.771527777775</v>
      </c>
      <c r="B59" s="2">
        <f t="shared" si="1"/>
        <v>42398</v>
      </c>
      <c r="C59" t="str">
        <f t="shared" si="2"/>
        <v>January</v>
      </c>
      <c r="D59" t="str">
        <f t="shared" si="3"/>
        <v>Friday</v>
      </c>
      <c r="E59" t="str">
        <f t="shared" si="5"/>
        <v>06:31:00 PM</v>
      </c>
      <c r="F59" s="3">
        <v>42398.786111111112</v>
      </c>
      <c r="G59" s="4">
        <f t="shared" si="4"/>
        <v>0.78611111111240461</v>
      </c>
      <c r="H59" t="str">
        <f t="shared" si="0"/>
        <v>21 min</v>
      </c>
      <c r="I59" t="s">
        <v>2</v>
      </c>
      <c r="J59" t="s">
        <v>55</v>
      </c>
      <c r="K59" t="s">
        <v>87</v>
      </c>
      <c r="L59">
        <v>5.8</v>
      </c>
      <c r="M59" t="s">
        <v>8</v>
      </c>
      <c r="N59" t="str" cm="1">
        <f t="array" ref="N59">_xlfn.IFS(
    AND(HOUR(A59)&gt;=0, HOUR(A59)&lt;10), "Morning",
    AND(HOUR(A59)&gt;=10, HOUR(A59)&lt;15), "Afternoon",
    AND(HOUR(E59)&gt;=15, HOUR(E59)&lt;19), "Evening",
    AND(HOUR(E59)&gt;=19, HOUR(E59)&lt;=23), "Night"
)</f>
        <v>Evening</v>
      </c>
    </row>
    <row r="60" spans="1:14" x14ac:dyDescent="0.25">
      <c r="A60" s="3">
        <v>42398.88958333333</v>
      </c>
      <c r="B60" s="2">
        <f t="shared" si="1"/>
        <v>42398</v>
      </c>
      <c r="C60" t="str">
        <f t="shared" si="2"/>
        <v>January</v>
      </c>
      <c r="D60" t="str">
        <f t="shared" si="3"/>
        <v>Friday</v>
      </c>
      <c r="E60" t="str">
        <f t="shared" si="5"/>
        <v>09:21:00 PM</v>
      </c>
      <c r="F60" s="3">
        <v>42398.902777777781</v>
      </c>
      <c r="G60" s="4">
        <f t="shared" si="4"/>
        <v>0.90277777778101154</v>
      </c>
      <c r="H60" t="str">
        <f t="shared" si="0"/>
        <v>19 min</v>
      </c>
      <c r="I60" t="s">
        <v>2</v>
      </c>
      <c r="J60" t="s">
        <v>87</v>
      </c>
      <c r="K60" t="s">
        <v>55</v>
      </c>
      <c r="L60">
        <v>5.5</v>
      </c>
      <c r="M60" t="s">
        <v>9</v>
      </c>
      <c r="N60" t="str" cm="1">
        <f t="array" ref="N60">_xlfn.IFS(
    AND(HOUR(A60)&gt;=0, HOUR(A60)&lt;10), "Morning",
    AND(HOUR(A60)&gt;=10, HOUR(A60)&lt;15), "Afternoon",
    AND(HOUR(E60)&gt;=15, HOUR(E60)&lt;19), "Evening",
    AND(HOUR(E60)&gt;=19, HOUR(E60)&lt;=23), "Night"
)</f>
        <v>Night</v>
      </c>
    </row>
    <row r="61" spans="1:14" x14ac:dyDescent="0.25">
      <c r="A61" s="3">
        <v>42399.681250000001</v>
      </c>
      <c r="B61" s="2">
        <f t="shared" si="1"/>
        <v>42399</v>
      </c>
      <c r="C61" t="str">
        <f t="shared" si="2"/>
        <v>January</v>
      </c>
      <c r="D61" t="str">
        <f t="shared" si="3"/>
        <v>Saturday</v>
      </c>
      <c r="E61" t="str">
        <f t="shared" si="5"/>
        <v>04:21:00 PM</v>
      </c>
      <c r="F61" s="3">
        <v>42399.689583333333</v>
      </c>
      <c r="G61" s="4">
        <f t="shared" si="4"/>
        <v>0.68958333333284827</v>
      </c>
      <c r="H61" t="str">
        <f t="shared" si="0"/>
        <v>12 min</v>
      </c>
      <c r="I61" t="s">
        <v>2</v>
      </c>
      <c r="J61" t="s">
        <v>55</v>
      </c>
      <c r="K61" t="s">
        <v>87</v>
      </c>
      <c r="L61">
        <v>5.7</v>
      </c>
      <c r="M61" t="s">
        <v>8</v>
      </c>
      <c r="N61" t="str" cm="1">
        <f t="array" ref="N61">_xlfn.IFS(
    AND(HOUR(A61)&gt;=0, HOUR(A61)&lt;10), "Morning",
    AND(HOUR(A61)&gt;=10, HOUR(A61)&lt;15), "Afternoon",
    AND(HOUR(E61)&gt;=15, HOUR(E61)&lt;19), "Evening",
    AND(HOUR(E61)&gt;=19, HOUR(E61)&lt;=23), "Night"
)</f>
        <v>Evening</v>
      </c>
    </row>
    <row r="62" spans="1:14" x14ac:dyDescent="0.25">
      <c r="A62" s="3">
        <v>42399.756249999999</v>
      </c>
      <c r="B62" s="2">
        <f t="shared" si="1"/>
        <v>42399</v>
      </c>
      <c r="C62" t="str">
        <f t="shared" si="2"/>
        <v>January</v>
      </c>
      <c r="D62" t="str">
        <f t="shared" si="3"/>
        <v>Saturday</v>
      </c>
      <c r="E62" t="str">
        <f t="shared" si="5"/>
        <v>06:09:00 PM</v>
      </c>
      <c r="F62" s="3">
        <v>42399.76666666667</v>
      </c>
      <c r="G62" s="4">
        <f t="shared" si="4"/>
        <v>0.76666666667006211</v>
      </c>
      <c r="H62" t="str">
        <f t="shared" si="0"/>
        <v>15 min</v>
      </c>
      <c r="I62" t="s">
        <v>2</v>
      </c>
      <c r="J62" t="s">
        <v>87</v>
      </c>
      <c r="K62" t="s">
        <v>55</v>
      </c>
      <c r="L62">
        <v>5.7</v>
      </c>
      <c r="M62" t="s">
        <v>7</v>
      </c>
      <c r="N62" t="str" cm="1">
        <f t="array" ref="N62">_xlfn.IFS(
    AND(HOUR(A62)&gt;=0, HOUR(A62)&lt;10), "Morning",
    AND(HOUR(A62)&gt;=10, HOUR(A62)&lt;15), "Afternoon",
    AND(HOUR(E62)&gt;=15, HOUR(E62)&lt;19), "Evening",
    AND(HOUR(E62)&gt;=19, HOUR(E62)&lt;=23), "Night"
)</f>
        <v>Evening</v>
      </c>
    </row>
    <row r="63" spans="1:14" x14ac:dyDescent="0.25">
      <c r="A63" s="3">
        <v>42401.440972222219</v>
      </c>
      <c r="B63" s="2">
        <f t="shared" si="1"/>
        <v>42401</v>
      </c>
      <c r="C63" t="str">
        <f t="shared" si="2"/>
        <v>February</v>
      </c>
      <c r="D63" t="str">
        <f t="shared" si="3"/>
        <v>Monday</v>
      </c>
      <c r="E63" t="str">
        <f t="shared" si="5"/>
        <v>10:35:00 AM</v>
      </c>
      <c r="F63" s="3">
        <v>42401.46875</v>
      </c>
      <c r="G63" s="4">
        <f t="shared" si="4"/>
        <v>0.46875</v>
      </c>
      <c r="H63" t="str">
        <f t="shared" si="0"/>
        <v>40 min</v>
      </c>
      <c r="I63" t="s">
        <v>2</v>
      </c>
      <c r="J63" t="s">
        <v>55</v>
      </c>
      <c r="K63" t="s">
        <v>88</v>
      </c>
      <c r="L63">
        <v>19.399999999999999</v>
      </c>
      <c r="M63" t="s">
        <v>7</v>
      </c>
      <c r="N63" t="str" cm="1">
        <f t="array" ref="N63">_xlfn.IFS(
    AND(HOUR(A63)&gt;=0, HOUR(A63)&lt;10), "Morning",
    AND(HOUR(A63)&gt;=10, HOUR(A63)&lt;15), "Afternoon",
    AND(HOUR(E63)&gt;=15, HOUR(E63)&lt;19), "Evening",
    AND(HOUR(E63)&gt;=19, HOUR(E63)&lt;=23), "Night"
)</f>
        <v>Afternoon</v>
      </c>
    </row>
    <row r="64" spans="1:14" x14ac:dyDescent="0.25">
      <c r="A64" s="3">
        <v>42401.506944444445</v>
      </c>
      <c r="B64" s="2">
        <f t="shared" si="1"/>
        <v>42401</v>
      </c>
      <c r="C64" t="str">
        <f t="shared" si="2"/>
        <v>February</v>
      </c>
      <c r="D64" t="str">
        <f t="shared" si="3"/>
        <v>Monday</v>
      </c>
      <c r="E64" t="str">
        <f t="shared" si="5"/>
        <v>12:10:00 PM</v>
      </c>
      <c r="F64" s="3">
        <v>42401.529861111114</v>
      </c>
      <c r="G64" s="4">
        <f t="shared" si="4"/>
        <v>0.52986111111385981</v>
      </c>
      <c r="H64" t="str">
        <f t="shared" si="0"/>
        <v>33 min</v>
      </c>
      <c r="I64" t="s">
        <v>2</v>
      </c>
      <c r="J64" t="s">
        <v>88</v>
      </c>
      <c r="K64" t="s">
        <v>55</v>
      </c>
      <c r="L64">
        <v>23.3</v>
      </c>
      <c r="M64" t="s">
        <v>7</v>
      </c>
      <c r="N64" t="str" cm="1">
        <f t="array" ref="N64">_xlfn.IFS(
    AND(HOUR(A64)&gt;=0, HOUR(A64)&lt;10), "Morning",
    AND(HOUR(A64)&gt;=10, HOUR(A64)&lt;15), "Afternoon",
    AND(HOUR(E64)&gt;=15, HOUR(E64)&lt;19), "Evening",
    AND(HOUR(E64)&gt;=19, HOUR(E64)&lt;=23), "Night"
)</f>
        <v>Afternoon</v>
      </c>
    </row>
    <row r="65" spans="1:14" x14ac:dyDescent="0.25">
      <c r="A65" s="3">
        <v>42401.538888888892</v>
      </c>
      <c r="B65" s="2">
        <f t="shared" si="1"/>
        <v>42401</v>
      </c>
      <c r="C65" t="str">
        <f t="shared" si="2"/>
        <v>February</v>
      </c>
      <c r="D65" t="str">
        <f t="shared" si="3"/>
        <v>Monday</v>
      </c>
      <c r="E65" t="str">
        <f t="shared" si="5"/>
        <v>12:56:00 PM</v>
      </c>
      <c r="F65" s="3">
        <v>42401.546527777777</v>
      </c>
      <c r="G65" s="4">
        <f t="shared" si="4"/>
        <v>0.54652777777664596</v>
      </c>
      <c r="H65" t="str">
        <f t="shared" si="0"/>
        <v>11 min</v>
      </c>
      <c r="I65" t="s">
        <v>2</v>
      </c>
      <c r="J65" t="s">
        <v>89</v>
      </c>
      <c r="K65" t="s">
        <v>77</v>
      </c>
      <c r="L65">
        <v>3.9</v>
      </c>
      <c r="M65" t="s">
        <v>9</v>
      </c>
      <c r="N65" t="str" cm="1">
        <f t="array" ref="N65">_xlfn.IFS(
    AND(HOUR(A65)&gt;=0, HOUR(A65)&lt;10), "Morning",
    AND(HOUR(A65)&gt;=10, HOUR(A65)&lt;15), "Afternoon",
    AND(HOUR(E65)&gt;=15, HOUR(E65)&lt;19), "Evening",
    AND(HOUR(E65)&gt;=19, HOUR(E65)&lt;=23), "Night"
)</f>
        <v>Afternoon</v>
      </c>
    </row>
    <row r="66" spans="1:14" x14ac:dyDescent="0.25">
      <c r="A66" s="3">
        <v>42402.544444444444</v>
      </c>
      <c r="B66" s="2">
        <f t="shared" si="1"/>
        <v>42402</v>
      </c>
      <c r="C66" t="str">
        <f t="shared" si="2"/>
        <v>February</v>
      </c>
      <c r="D66" t="str">
        <f t="shared" si="3"/>
        <v>Tuesday</v>
      </c>
      <c r="E66" t="str">
        <f t="shared" ref="E66:E129" si="6">TEXT(A66, "hh:mm:ss AM/PM")</f>
        <v>01:04:00 PM</v>
      </c>
      <c r="F66" s="3">
        <v>42402.557638888888</v>
      </c>
      <c r="G66" s="4">
        <f t="shared" si="4"/>
        <v>0.55763888888759539</v>
      </c>
      <c r="H66" t="str">
        <f t="shared" ref="H66:H129" si="7">HOUR(IF(G66&lt;E66, G66+1-E66, G66-E66))*60 + MINUTE(IF(G66&lt;E66, G66+1-E66, G66-E66)) &amp; " min"</f>
        <v>19 min</v>
      </c>
      <c r="I66" t="s">
        <v>2</v>
      </c>
      <c r="J66" t="s">
        <v>77</v>
      </c>
      <c r="K66" t="s">
        <v>90</v>
      </c>
      <c r="L66">
        <v>8.3000000000000007</v>
      </c>
      <c r="M66" t="s">
        <v>10</v>
      </c>
      <c r="N66" t="str" cm="1">
        <f t="array" ref="N66">_xlfn.IFS(
    AND(HOUR(A66)&gt;=0, HOUR(A66)&lt;10), "Morning",
    AND(HOUR(A66)&gt;=10, HOUR(A66)&lt;15), "Afternoon",
    AND(HOUR(E66)&gt;=15, HOUR(E66)&lt;19), "Evening",
    AND(HOUR(E66)&gt;=19, HOUR(E66)&lt;=23), "Night"
)</f>
        <v>Afternoon</v>
      </c>
    </row>
    <row r="67" spans="1:14" x14ac:dyDescent="0.25">
      <c r="A67" s="3">
        <v>42402.57708333333</v>
      </c>
      <c r="B67" s="2">
        <f t="shared" ref="B67:B130" si="8">INT(A67)</f>
        <v>42402</v>
      </c>
      <c r="C67" t="str">
        <f t="shared" ref="C67:C130" si="9">TEXT(B67, "mmmm")</f>
        <v>February</v>
      </c>
      <c r="D67" t="str">
        <f t="shared" ref="D67:D130" si="10">TEXT(B67, "dddd")</f>
        <v>Tuesday</v>
      </c>
      <c r="E67" t="str">
        <f t="shared" si="6"/>
        <v>01:51:00 PM</v>
      </c>
      <c r="F67" s="3">
        <v>42402.587500000001</v>
      </c>
      <c r="G67" s="4">
        <f t="shared" ref="G67:G130" si="11">F67-INT(F67)</f>
        <v>0.58750000000145519</v>
      </c>
      <c r="H67" t="str">
        <f t="shared" si="7"/>
        <v>15 min</v>
      </c>
      <c r="I67" t="s">
        <v>2</v>
      </c>
      <c r="J67" t="s">
        <v>55</v>
      </c>
      <c r="K67" t="s">
        <v>55</v>
      </c>
      <c r="L67">
        <v>6</v>
      </c>
      <c r="M67" t="s">
        <v>8</v>
      </c>
      <c r="N67" t="str" cm="1">
        <f t="array" ref="N67">_xlfn.IFS(
    AND(HOUR(A67)&gt;=0, HOUR(A67)&lt;10), "Morning",
    AND(HOUR(A67)&gt;=10, HOUR(A67)&lt;15), "Afternoon",
    AND(HOUR(E67)&gt;=15, HOUR(E67)&lt;19), "Evening",
    AND(HOUR(E67)&gt;=19, HOUR(E67)&lt;=23), "Night"
)</f>
        <v>Afternoon</v>
      </c>
    </row>
    <row r="68" spans="1:14" x14ac:dyDescent="0.25">
      <c r="A68" s="3">
        <v>42402.609722222223</v>
      </c>
      <c r="B68" s="2">
        <f t="shared" si="8"/>
        <v>42402</v>
      </c>
      <c r="C68" t="str">
        <f t="shared" si="9"/>
        <v>February</v>
      </c>
      <c r="D68" t="str">
        <f t="shared" si="10"/>
        <v>Tuesday</v>
      </c>
      <c r="E68" t="str">
        <f t="shared" si="6"/>
        <v>02:38:00 PM</v>
      </c>
      <c r="F68" s="3">
        <v>42402.612500000003</v>
      </c>
      <c r="G68" s="4">
        <f t="shared" si="11"/>
        <v>0.61250000000291038</v>
      </c>
      <c r="H68" t="str">
        <f t="shared" si="7"/>
        <v>4 min</v>
      </c>
      <c r="I68" t="s">
        <v>2</v>
      </c>
      <c r="J68" t="s">
        <v>55</v>
      </c>
      <c r="K68" t="s">
        <v>55</v>
      </c>
      <c r="L68">
        <v>1.6</v>
      </c>
      <c r="M68" t="s">
        <v>8</v>
      </c>
      <c r="N68" t="str" cm="1">
        <f t="array" ref="N68">_xlfn.IFS(
    AND(HOUR(A68)&gt;=0, HOUR(A68)&lt;10), "Morning",
    AND(HOUR(A68)&gt;=10, HOUR(A68)&lt;15), "Afternoon",
    AND(HOUR(E68)&gt;=15, HOUR(E68)&lt;19), "Evening",
    AND(HOUR(E68)&gt;=19, HOUR(E68)&lt;=23), "Night"
)</f>
        <v>Afternoon</v>
      </c>
    </row>
    <row r="69" spans="1:14" x14ac:dyDescent="0.25">
      <c r="A69" s="3">
        <v>42404.361111111109</v>
      </c>
      <c r="B69" s="2">
        <f t="shared" si="8"/>
        <v>42404</v>
      </c>
      <c r="C69" t="str">
        <f t="shared" si="9"/>
        <v>February</v>
      </c>
      <c r="D69" t="str">
        <f t="shared" si="10"/>
        <v>Thursday</v>
      </c>
      <c r="E69" t="str">
        <f t="shared" si="6"/>
        <v>08:40:00 AM</v>
      </c>
      <c r="F69" s="3">
        <v>42404.375694444447</v>
      </c>
      <c r="G69" s="4">
        <f t="shared" si="11"/>
        <v>0.37569444444670808</v>
      </c>
      <c r="H69" t="str">
        <f t="shared" si="7"/>
        <v>21 min</v>
      </c>
      <c r="I69" t="s">
        <v>2</v>
      </c>
      <c r="J69" t="s">
        <v>55</v>
      </c>
      <c r="K69" t="s">
        <v>56</v>
      </c>
      <c r="L69">
        <v>5.2</v>
      </c>
      <c r="M69" t="s">
        <v>8</v>
      </c>
      <c r="N69" t="str" cm="1">
        <f t="array" ref="N69">_xlfn.IFS(
    AND(HOUR(A69)&gt;=0, HOUR(A69)&lt;10), "Morning",
    AND(HOUR(A69)&gt;=10, HOUR(A69)&lt;15), "Afternoon",
    AND(HOUR(E69)&gt;=15, HOUR(E69)&lt;19), "Evening",
    AND(HOUR(E69)&gt;=19, HOUR(E69)&lt;=23), "Night"
)</f>
        <v>Morning</v>
      </c>
    </row>
    <row r="70" spans="1:14" x14ac:dyDescent="0.25">
      <c r="A70" s="3">
        <v>42404.400694444441</v>
      </c>
      <c r="B70" s="2">
        <f t="shared" si="8"/>
        <v>42404</v>
      </c>
      <c r="C70" t="str">
        <f t="shared" si="9"/>
        <v>February</v>
      </c>
      <c r="D70" t="str">
        <f t="shared" si="10"/>
        <v>Thursday</v>
      </c>
      <c r="E70" t="str">
        <f t="shared" si="6"/>
        <v>09:37:00 AM</v>
      </c>
      <c r="F70" s="3">
        <v>42404.42291666667</v>
      </c>
      <c r="G70" s="4">
        <f t="shared" si="11"/>
        <v>0.42291666667006211</v>
      </c>
      <c r="H70" t="str">
        <f t="shared" si="7"/>
        <v>32 min</v>
      </c>
      <c r="I70" t="s">
        <v>2</v>
      </c>
      <c r="J70" t="s">
        <v>56</v>
      </c>
      <c r="K70" t="s">
        <v>55</v>
      </c>
      <c r="L70">
        <v>9.6999999999999993</v>
      </c>
      <c r="M70" t="s">
        <v>9</v>
      </c>
      <c r="N70" t="str" cm="1">
        <f t="array" ref="N70">_xlfn.IFS(
    AND(HOUR(A70)&gt;=0, HOUR(A70)&lt;10), "Morning",
    AND(HOUR(A70)&gt;=10, HOUR(A70)&lt;15), "Afternoon",
    AND(HOUR(E70)&gt;=15, HOUR(E70)&lt;19), "Evening",
    AND(HOUR(E70)&gt;=19, HOUR(E70)&lt;=23), "Night"
)</f>
        <v>Morning</v>
      </c>
    </row>
    <row r="71" spans="1:14" x14ac:dyDescent="0.25">
      <c r="A71" s="3">
        <v>42404.43472222222</v>
      </c>
      <c r="B71" s="2">
        <f t="shared" si="8"/>
        <v>42404</v>
      </c>
      <c r="C71" t="str">
        <f t="shared" si="9"/>
        <v>February</v>
      </c>
      <c r="D71" t="str">
        <f t="shared" si="10"/>
        <v>Thursday</v>
      </c>
      <c r="E71" t="str">
        <f t="shared" si="6"/>
        <v>10:26:00 AM</v>
      </c>
      <c r="F71" s="3">
        <v>42404.438888888886</v>
      </c>
      <c r="G71" s="4">
        <f t="shared" si="11"/>
        <v>0.43888888888614019</v>
      </c>
      <c r="H71" t="str">
        <f t="shared" si="7"/>
        <v>6 min</v>
      </c>
      <c r="I71" t="s">
        <v>2</v>
      </c>
      <c r="J71" t="s">
        <v>55</v>
      </c>
      <c r="K71" t="s">
        <v>55</v>
      </c>
      <c r="L71">
        <v>1.6</v>
      </c>
      <c r="M71" t="s">
        <v>9</v>
      </c>
      <c r="N71" t="str" cm="1">
        <f t="array" ref="N71">_xlfn.IFS(
    AND(HOUR(A71)&gt;=0, HOUR(A71)&lt;10), "Morning",
    AND(HOUR(A71)&gt;=10, HOUR(A71)&lt;15), "Afternoon",
    AND(HOUR(E71)&gt;=15, HOUR(E71)&lt;19), "Evening",
    AND(HOUR(E71)&gt;=19, HOUR(E71)&lt;=23), "Night"
)</f>
        <v>Afternoon</v>
      </c>
    </row>
    <row r="72" spans="1:14" x14ac:dyDescent="0.25">
      <c r="A72" s="3">
        <v>42404.665972222225</v>
      </c>
      <c r="B72" s="2">
        <f t="shared" si="8"/>
        <v>42404</v>
      </c>
      <c r="C72" t="str">
        <f t="shared" si="9"/>
        <v>February</v>
      </c>
      <c r="D72" t="str">
        <f t="shared" si="10"/>
        <v>Thursday</v>
      </c>
      <c r="E72" t="str">
        <f t="shared" si="6"/>
        <v>03:59:00 PM</v>
      </c>
      <c r="F72" s="3">
        <v>42404.668749999997</v>
      </c>
      <c r="G72" s="4">
        <f t="shared" si="11"/>
        <v>0.66874999999708962</v>
      </c>
      <c r="H72" t="str">
        <f t="shared" si="7"/>
        <v>4 min</v>
      </c>
      <c r="I72" t="s">
        <v>2</v>
      </c>
      <c r="J72" t="s">
        <v>55</v>
      </c>
      <c r="K72" t="s">
        <v>55</v>
      </c>
      <c r="L72">
        <v>1.1000000000000001</v>
      </c>
      <c r="M72" t="s">
        <v>9</v>
      </c>
      <c r="N72" t="str" cm="1">
        <f t="array" ref="N72">_xlfn.IFS(
    AND(HOUR(A72)&gt;=0, HOUR(A72)&lt;10), "Morning",
    AND(HOUR(A72)&gt;=10, HOUR(A72)&lt;15), "Afternoon",
    AND(HOUR(E72)&gt;=15, HOUR(E72)&lt;19), "Evening",
    AND(HOUR(E72)&gt;=19, HOUR(E72)&lt;=23), "Night"
)</f>
        <v>Evening</v>
      </c>
    </row>
    <row r="73" spans="1:14" x14ac:dyDescent="0.25">
      <c r="A73" s="3">
        <v>42404.690972222219</v>
      </c>
      <c r="B73" s="2">
        <f t="shared" si="8"/>
        <v>42404</v>
      </c>
      <c r="C73" t="str">
        <f t="shared" si="9"/>
        <v>February</v>
      </c>
      <c r="D73" t="str">
        <f t="shared" si="10"/>
        <v>Thursday</v>
      </c>
      <c r="E73" t="str">
        <f t="shared" si="6"/>
        <v>04:35:00 PM</v>
      </c>
      <c r="F73" s="3">
        <v>42404.693749999999</v>
      </c>
      <c r="G73" s="4">
        <f t="shared" si="11"/>
        <v>0.69374999999854481</v>
      </c>
      <c r="H73" t="str">
        <f t="shared" si="7"/>
        <v>4 min</v>
      </c>
      <c r="I73" t="s">
        <v>2</v>
      </c>
      <c r="J73" t="s">
        <v>55</v>
      </c>
      <c r="K73" t="s">
        <v>55</v>
      </c>
      <c r="L73">
        <v>1.6</v>
      </c>
      <c r="M73" t="s">
        <v>9</v>
      </c>
      <c r="N73" t="str" cm="1">
        <f t="array" ref="N73">_xlfn.IFS(
    AND(HOUR(A73)&gt;=0, HOUR(A73)&lt;10), "Morning",
    AND(HOUR(A73)&gt;=10, HOUR(A73)&lt;15), "Afternoon",
    AND(HOUR(E73)&gt;=15, HOUR(E73)&lt;19), "Evening",
    AND(HOUR(E73)&gt;=19, HOUR(E73)&lt;=23), "Night"
)</f>
        <v>Evening</v>
      </c>
    </row>
    <row r="74" spans="1:14" x14ac:dyDescent="0.25">
      <c r="A74" s="3">
        <v>42404.75277777778</v>
      </c>
      <c r="B74" s="2">
        <f t="shared" si="8"/>
        <v>42404</v>
      </c>
      <c r="C74" t="str">
        <f t="shared" si="9"/>
        <v>February</v>
      </c>
      <c r="D74" t="str">
        <f t="shared" si="10"/>
        <v>Thursday</v>
      </c>
      <c r="E74" t="str">
        <f t="shared" si="6"/>
        <v>06:04:00 PM</v>
      </c>
      <c r="F74" s="3">
        <v>42404.771527777775</v>
      </c>
      <c r="G74" s="4">
        <f t="shared" si="11"/>
        <v>0.77152777777519077</v>
      </c>
      <c r="H74" t="str">
        <f t="shared" si="7"/>
        <v>27 min</v>
      </c>
      <c r="I74" t="s">
        <v>2</v>
      </c>
      <c r="J74" t="s">
        <v>77</v>
      </c>
      <c r="K74" t="s">
        <v>91</v>
      </c>
      <c r="L74">
        <v>9</v>
      </c>
      <c r="M74" t="s">
        <v>10</v>
      </c>
      <c r="N74" t="str" cm="1">
        <f t="array" ref="N74">_xlfn.IFS(
    AND(HOUR(A74)&gt;=0, HOUR(A74)&lt;10), "Morning",
    AND(HOUR(A74)&gt;=10, HOUR(A74)&lt;15), "Afternoon",
    AND(HOUR(E74)&gt;=15, HOUR(E74)&lt;19), "Evening",
    AND(HOUR(E74)&gt;=19, HOUR(E74)&lt;=23), "Night"
)</f>
        <v>Evening</v>
      </c>
    </row>
    <row r="75" spans="1:14" x14ac:dyDescent="0.25">
      <c r="A75" s="3">
        <v>42404.85833333333</v>
      </c>
      <c r="B75" s="2">
        <f t="shared" si="8"/>
        <v>42404</v>
      </c>
      <c r="C75" t="str">
        <f t="shared" si="9"/>
        <v>February</v>
      </c>
      <c r="D75" t="str">
        <f t="shared" si="10"/>
        <v>Thursday</v>
      </c>
      <c r="E75" t="str">
        <f t="shared" si="6"/>
        <v>08:36:00 PM</v>
      </c>
      <c r="F75" s="3">
        <v>42404.871527777781</v>
      </c>
      <c r="G75" s="4">
        <f t="shared" si="11"/>
        <v>0.87152777778101154</v>
      </c>
      <c r="H75" t="str">
        <f t="shared" si="7"/>
        <v>19 min</v>
      </c>
      <c r="I75" t="s">
        <v>2</v>
      </c>
      <c r="J75" t="s">
        <v>55</v>
      </c>
      <c r="K75" t="s">
        <v>55</v>
      </c>
      <c r="L75">
        <v>7.7</v>
      </c>
      <c r="M75" t="s">
        <v>10</v>
      </c>
      <c r="N75" t="str" cm="1">
        <f t="array" ref="N75">_xlfn.IFS(
    AND(HOUR(A75)&gt;=0, HOUR(A75)&lt;10), "Morning",
    AND(HOUR(A75)&gt;=10, HOUR(A75)&lt;15), "Afternoon",
    AND(HOUR(E75)&gt;=15, HOUR(E75)&lt;19), "Evening",
    AND(HOUR(E75)&gt;=19, HOUR(E75)&lt;=23), "Night"
)</f>
        <v>Night</v>
      </c>
    </row>
    <row r="76" spans="1:14" x14ac:dyDescent="0.25">
      <c r="A76" s="3">
        <v>42405.490972222222</v>
      </c>
      <c r="B76" s="2">
        <f t="shared" si="8"/>
        <v>42405</v>
      </c>
      <c r="C76" t="str">
        <f t="shared" si="9"/>
        <v>February</v>
      </c>
      <c r="D76" t="str">
        <f t="shared" si="10"/>
        <v>Friday</v>
      </c>
      <c r="E76" t="str">
        <f t="shared" si="6"/>
        <v>11:47:00 AM</v>
      </c>
      <c r="F76" s="3">
        <v>42405.504861111112</v>
      </c>
      <c r="G76" s="4">
        <f t="shared" si="11"/>
        <v>0.50486111111240461</v>
      </c>
      <c r="H76" t="str">
        <f t="shared" si="7"/>
        <v>20 min</v>
      </c>
      <c r="I76" t="s">
        <v>2</v>
      </c>
      <c r="J76" t="s">
        <v>55</v>
      </c>
      <c r="K76" t="s">
        <v>75</v>
      </c>
      <c r="L76">
        <v>10.4</v>
      </c>
      <c r="M76" t="s">
        <v>10</v>
      </c>
      <c r="N76" t="str" cm="1">
        <f t="array" ref="N76">_xlfn.IFS(
    AND(HOUR(A76)&gt;=0, HOUR(A76)&lt;10), "Morning",
    AND(HOUR(A76)&gt;=10, HOUR(A76)&lt;15), "Afternoon",
    AND(HOUR(E76)&gt;=15, HOUR(E76)&lt;19), "Evening",
    AND(HOUR(E76)&gt;=19, HOUR(E76)&lt;=23), "Night"
)</f>
        <v>Afternoon</v>
      </c>
    </row>
    <row r="77" spans="1:14" x14ac:dyDescent="0.25">
      <c r="A77" s="3">
        <v>42405.556944444441</v>
      </c>
      <c r="B77" s="2">
        <f t="shared" si="8"/>
        <v>42405</v>
      </c>
      <c r="C77" t="str">
        <f t="shared" si="9"/>
        <v>February</v>
      </c>
      <c r="D77" t="str">
        <f t="shared" si="10"/>
        <v>Friday</v>
      </c>
      <c r="E77" t="str">
        <f t="shared" si="6"/>
        <v>01:22:00 PM</v>
      </c>
      <c r="F77" s="3">
        <v>42405.570138888892</v>
      </c>
      <c r="G77" s="4">
        <f t="shared" si="11"/>
        <v>0.57013888889196096</v>
      </c>
      <c r="H77" t="str">
        <f t="shared" si="7"/>
        <v>19 min</v>
      </c>
      <c r="I77" t="s">
        <v>2</v>
      </c>
      <c r="J77" t="s">
        <v>75</v>
      </c>
      <c r="K77" t="s">
        <v>55</v>
      </c>
      <c r="L77">
        <v>10.4</v>
      </c>
      <c r="M77" t="s">
        <v>10</v>
      </c>
      <c r="N77" t="str" cm="1">
        <f t="array" ref="N77">_xlfn.IFS(
    AND(HOUR(A77)&gt;=0, HOUR(A77)&lt;10), "Morning",
    AND(HOUR(A77)&gt;=10, HOUR(A77)&lt;15), "Afternoon",
    AND(HOUR(E77)&gt;=15, HOUR(E77)&lt;19), "Evening",
    AND(HOUR(E77)&gt;=19, HOUR(E77)&lt;=23), "Night"
)</f>
        <v>Afternoon</v>
      </c>
    </row>
    <row r="78" spans="1:14" x14ac:dyDescent="0.25">
      <c r="A78" s="3">
        <v>42406.680555555555</v>
      </c>
      <c r="B78" s="2">
        <f t="shared" si="8"/>
        <v>42406</v>
      </c>
      <c r="C78" t="str">
        <f t="shared" si="9"/>
        <v>February</v>
      </c>
      <c r="D78" t="str">
        <f t="shared" si="10"/>
        <v>Saturday</v>
      </c>
      <c r="E78" t="str">
        <f t="shared" si="6"/>
        <v>04:20:00 PM</v>
      </c>
      <c r="F78" s="3">
        <v>42406.703472222223</v>
      </c>
      <c r="G78" s="4">
        <f t="shared" si="11"/>
        <v>0.70347222222335404</v>
      </c>
      <c r="H78" t="str">
        <f t="shared" si="7"/>
        <v>33 min</v>
      </c>
      <c r="I78" t="s">
        <v>2</v>
      </c>
      <c r="J78" t="s">
        <v>55</v>
      </c>
      <c r="K78" t="s">
        <v>79</v>
      </c>
      <c r="L78">
        <v>11.4</v>
      </c>
      <c r="M78" t="s">
        <v>6</v>
      </c>
      <c r="N78" t="str" cm="1">
        <f t="array" ref="N78">_xlfn.IFS(
    AND(HOUR(A78)&gt;=0, HOUR(A78)&lt;10), "Morning",
    AND(HOUR(A78)&gt;=10, HOUR(A78)&lt;15), "Afternoon",
    AND(HOUR(E78)&gt;=15, HOUR(E78)&lt;19), "Evening",
    AND(HOUR(E78)&gt;=19, HOUR(E78)&lt;=23), "Night"
)</f>
        <v>Evening</v>
      </c>
    </row>
    <row r="79" spans="1:14" x14ac:dyDescent="0.25">
      <c r="A79" s="3">
        <v>42406.789583333331</v>
      </c>
      <c r="B79" s="2">
        <f t="shared" si="8"/>
        <v>42406</v>
      </c>
      <c r="C79" t="str">
        <f t="shared" si="9"/>
        <v>February</v>
      </c>
      <c r="D79" t="str">
        <f t="shared" si="10"/>
        <v>Saturday</v>
      </c>
      <c r="E79" t="str">
        <f t="shared" si="6"/>
        <v>06:57:00 PM</v>
      </c>
      <c r="F79" s="3">
        <v>42406.806250000001</v>
      </c>
      <c r="G79" s="4">
        <f t="shared" si="11"/>
        <v>0.80625000000145519</v>
      </c>
      <c r="H79" t="str">
        <f t="shared" si="7"/>
        <v>24 min</v>
      </c>
      <c r="I79" t="s">
        <v>2</v>
      </c>
      <c r="J79" t="s">
        <v>79</v>
      </c>
      <c r="K79" t="s">
        <v>55</v>
      </c>
      <c r="L79">
        <v>9</v>
      </c>
      <c r="M79" t="s">
        <v>8</v>
      </c>
      <c r="N79" t="str" cm="1">
        <f t="array" ref="N79">_xlfn.IFS(
    AND(HOUR(A79)&gt;=0, HOUR(A79)&lt;10), "Morning",
    AND(HOUR(A79)&gt;=10, HOUR(A79)&lt;15), "Afternoon",
    AND(HOUR(E79)&gt;=15, HOUR(E79)&lt;19), "Evening",
    AND(HOUR(E79)&gt;=19, HOUR(E79)&lt;=23), "Night"
)</f>
        <v>Evening</v>
      </c>
    </row>
    <row r="80" spans="1:14" x14ac:dyDescent="0.25">
      <c r="A80" s="3">
        <v>42406.811111111114</v>
      </c>
      <c r="B80" s="2">
        <f t="shared" si="8"/>
        <v>42406</v>
      </c>
      <c r="C80" t="str">
        <f t="shared" si="9"/>
        <v>February</v>
      </c>
      <c r="D80" t="str">
        <f t="shared" si="10"/>
        <v>Saturday</v>
      </c>
      <c r="E80" t="str">
        <f t="shared" si="6"/>
        <v>07:28:00 PM</v>
      </c>
      <c r="F80" s="3">
        <v>42406.817361111112</v>
      </c>
      <c r="G80" s="4">
        <f t="shared" si="11"/>
        <v>0.81736111111240461</v>
      </c>
      <c r="H80" t="str">
        <f t="shared" si="7"/>
        <v>9 min</v>
      </c>
      <c r="I80" t="s">
        <v>2</v>
      </c>
      <c r="J80" t="s">
        <v>92</v>
      </c>
      <c r="K80" t="s">
        <v>77</v>
      </c>
      <c r="L80">
        <v>3.2</v>
      </c>
      <c r="M80" t="s">
        <v>9</v>
      </c>
      <c r="N80" t="str" cm="1">
        <f t="array" ref="N80">_xlfn.IFS(
    AND(HOUR(A80)&gt;=0, HOUR(A80)&lt;10), "Morning",
    AND(HOUR(A80)&gt;=10, HOUR(A80)&lt;15), "Afternoon",
    AND(HOUR(E80)&gt;=15, HOUR(E80)&lt;19), "Evening",
    AND(HOUR(E80)&gt;=19, HOUR(E80)&lt;=23), "Night"
)</f>
        <v>Night</v>
      </c>
    </row>
    <row r="81" spans="1:14" x14ac:dyDescent="0.25">
      <c r="A81" s="3">
        <v>42407.700694444444</v>
      </c>
      <c r="B81" s="2">
        <f t="shared" si="8"/>
        <v>42407</v>
      </c>
      <c r="C81" t="str">
        <f t="shared" si="9"/>
        <v>February</v>
      </c>
      <c r="D81" t="str">
        <f t="shared" si="10"/>
        <v>Sunday</v>
      </c>
      <c r="E81" t="str">
        <f t="shared" si="6"/>
        <v>04:49:00 PM</v>
      </c>
      <c r="F81" s="3">
        <v>42407.709027777775</v>
      </c>
      <c r="G81" s="4">
        <f t="shared" si="11"/>
        <v>0.70902777777519077</v>
      </c>
      <c r="H81" t="str">
        <f t="shared" si="7"/>
        <v>12 min</v>
      </c>
      <c r="I81" t="s">
        <v>2</v>
      </c>
      <c r="J81" t="s">
        <v>55</v>
      </c>
      <c r="K81" t="s">
        <v>87</v>
      </c>
      <c r="L81">
        <v>5.6</v>
      </c>
      <c r="M81" t="s">
        <v>8</v>
      </c>
      <c r="N81" t="str" cm="1">
        <f t="array" ref="N81">_xlfn.IFS(
    AND(HOUR(A81)&gt;=0, HOUR(A81)&lt;10), "Morning",
    AND(HOUR(A81)&gt;=10, HOUR(A81)&lt;15), "Afternoon",
    AND(HOUR(E81)&gt;=15, HOUR(E81)&lt;19), "Evening",
    AND(HOUR(E81)&gt;=19, HOUR(E81)&lt;=23), "Night"
)</f>
        <v>Evening</v>
      </c>
    </row>
    <row r="82" spans="1:14" x14ac:dyDescent="0.25">
      <c r="A82" s="3">
        <v>42407.752083333333</v>
      </c>
      <c r="B82" s="2">
        <f t="shared" si="8"/>
        <v>42407</v>
      </c>
      <c r="C82" t="str">
        <f t="shared" si="9"/>
        <v>February</v>
      </c>
      <c r="D82" t="str">
        <f t="shared" si="10"/>
        <v>Sunday</v>
      </c>
      <c r="E82" t="str">
        <f t="shared" si="6"/>
        <v>06:03:00 PM</v>
      </c>
      <c r="F82" s="3">
        <v>42407.761805555558</v>
      </c>
      <c r="G82" s="4">
        <f t="shared" si="11"/>
        <v>0.7618055555576575</v>
      </c>
      <c r="H82" t="str">
        <f t="shared" si="7"/>
        <v>14 min</v>
      </c>
      <c r="I82" t="s">
        <v>2</v>
      </c>
      <c r="J82" t="s">
        <v>87</v>
      </c>
      <c r="K82" t="s">
        <v>55</v>
      </c>
      <c r="L82">
        <v>5.7</v>
      </c>
      <c r="M82" t="s">
        <v>7</v>
      </c>
      <c r="N82" t="str" cm="1">
        <f t="array" ref="N82">_xlfn.IFS(
    AND(HOUR(A82)&gt;=0, HOUR(A82)&lt;10), "Morning",
    AND(HOUR(A82)&gt;=10, HOUR(A82)&lt;15), "Afternoon",
    AND(HOUR(E82)&gt;=15, HOUR(E82)&lt;19), "Evening",
    AND(HOUR(E82)&gt;=19, HOUR(E82)&lt;=23), "Night"
)</f>
        <v>Evening</v>
      </c>
    </row>
    <row r="83" spans="1:14" x14ac:dyDescent="0.25">
      <c r="A83" s="3">
        <v>42407.777083333334</v>
      </c>
      <c r="B83" s="2">
        <f t="shared" si="8"/>
        <v>42407</v>
      </c>
      <c r="C83" t="str">
        <f t="shared" si="9"/>
        <v>February</v>
      </c>
      <c r="D83" t="str">
        <f t="shared" si="10"/>
        <v>Sunday</v>
      </c>
      <c r="E83" t="str">
        <f t="shared" si="6"/>
        <v>06:39:00 PM</v>
      </c>
      <c r="F83" s="3">
        <v>42407.786805555559</v>
      </c>
      <c r="G83" s="4">
        <f t="shared" si="11"/>
        <v>0.78680555555911269</v>
      </c>
      <c r="H83" t="str">
        <f t="shared" si="7"/>
        <v>14 min</v>
      </c>
      <c r="I83" t="s">
        <v>2</v>
      </c>
      <c r="J83" t="s">
        <v>55</v>
      </c>
      <c r="K83" t="s">
        <v>56</v>
      </c>
      <c r="L83">
        <v>6.1</v>
      </c>
      <c r="M83" t="s">
        <v>11</v>
      </c>
      <c r="N83" t="str" cm="1">
        <f t="array" ref="N83">_xlfn.IFS(
    AND(HOUR(A83)&gt;=0, HOUR(A83)&lt;10), "Morning",
    AND(HOUR(A83)&gt;=10, HOUR(A83)&lt;15), "Afternoon",
    AND(HOUR(E83)&gt;=15, HOUR(E83)&lt;19), "Evening",
    AND(HOUR(E83)&gt;=19, HOUR(E83)&lt;=23), "Night"
)</f>
        <v>Evening</v>
      </c>
    </row>
    <row r="84" spans="1:14" x14ac:dyDescent="0.25">
      <c r="A84" s="3">
        <v>42407.848611111112</v>
      </c>
      <c r="B84" s="2">
        <f t="shared" si="8"/>
        <v>42407</v>
      </c>
      <c r="C84" t="str">
        <f t="shared" si="9"/>
        <v>February</v>
      </c>
      <c r="D84" t="str">
        <f t="shared" si="10"/>
        <v>Sunday</v>
      </c>
      <c r="E84" t="str">
        <f t="shared" si="6"/>
        <v>08:22:00 PM</v>
      </c>
      <c r="F84" s="3">
        <v>42407.861111111109</v>
      </c>
      <c r="G84" s="4">
        <f t="shared" si="11"/>
        <v>0.86111111110949423</v>
      </c>
      <c r="H84" t="str">
        <f t="shared" si="7"/>
        <v>18 min</v>
      </c>
      <c r="I84" t="s">
        <v>2</v>
      </c>
      <c r="J84" t="s">
        <v>56</v>
      </c>
      <c r="K84" t="s">
        <v>55</v>
      </c>
      <c r="L84">
        <v>6.1</v>
      </c>
      <c r="M84" t="s">
        <v>10</v>
      </c>
      <c r="N84" t="str" cm="1">
        <f t="array" ref="N84">_xlfn.IFS(
    AND(HOUR(A84)&gt;=0, HOUR(A84)&lt;10), "Morning",
    AND(HOUR(A84)&gt;=10, HOUR(A84)&lt;15), "Afternoon",
    AND(HOUR(E84)&gt;=15, HOUR(E84)&lt;19), "Evening",
    AND(HOUR(E84)&gt;=19, HOUR(E84)&lt;=23), "Night"
)</f>
        <v>Night</v>
      </c>
    </row>
    <row r="85" spans="1:14" x14ac:dyDescent="0.25">
      <c r="A85" s="3">
        <v>42408.539583333331</v>
      </c>
      <c r="B85" s="2">
        <f t="shared" si="8"/>
        <v>42408</v>
      </c>
      <c r="C85" t="str">
        <f t="shared" si="9"/>
        <v>February</v>
      </c>
      <c r="D85" t="str">
        <f t="shared" si="10"/>
        <v>Monday</v>
      </c>
      <c r="E85" t="str">
        <f t="shared" si="6"/>
        <v>12:57:00 PM</v>
      </c>
      <c r="F85" s="3">
        <v>42408.547222222223</v>
      </c>
      <c r="G85" s="4">
        <f t="shared" si="11"/>
        <v>0.54722222222335404</v>
      </c>
      <c r="H85" t="str">
        <f t="shared" si="7"/>
        <v>11 min</v>
      </c>
      <c r="I85" t="s">
        <v>2</v>
      </c>
      <c r="J85" t="s">
        <v>77</v>
      </c>
      <c r="K85" t="s">
        <v>92</v>
      </c>
      <c r="L85">
        <v>4.3</v>
      </c>
      <c r="M85" t="s">
        <v>9</v>
      </c>
      <c r="N85" t="str" cm="1">
        <f t="array" ref="N85">_xlfn.IFS(
    AND(HOUR(A85)&gt;=0, HOUR(A85)&lt;10), "Morning",
    AND(HOUR(A85)&gt;=10, HOUR(A85)&lt;15), "Afternoon",
    AND(HOUR(E85)&gt;=15, HOUR(E85)&lt;19), "Evening",
    AND(HOUR(E85)&gt;=19, HOUR(E85)&lt;=23), "Night"
)</f>
        <v>Afternoon</v>
      </c>
    </row>
    <row r="86" spans="1:14" x14ac:dyDescent="0.25">
      <c r="A86" s="3">
        <v>42408.583333333336</v>
      </c>
      <c r="B86" s="2">
        <f t="shared" si="8"/>
        <v>42408</v>
      </c>
      <c r="C86" t="str">
        <f t="shared" si="9"/>
        <v>February</v>
      </c>
      <c r="D86" t="str">
        <f t="shared" si="10"/>
        <v>Monday</v>
      </c>
      <c r="E86" t="str">
        <f t="shared" si="6"/>
        <v>02:00:00 PM</v>
      </c>
      <c r="F86" s="3">
        <v>42408.590277777781</v>
      </c>
      <c r="G86" s="4">
        <f t="shared" si="11"/>
        <v>0.59027777778101154</v>
      </c>
      <c r="H86" t="str">
        <f t="shared" si="7"/>
        <v>10 min</v>
      </c>
      <c r="I86" t="s">
        <v>2</v>
      </c>
      <c r="J86" t="s">
        <v>92</v>
      </c>
      <c r="K86" t="s">
        <v>77</v>
      </c>
      <c r="L86">
        <v>2.7</v>
      </c>
      <c r="M86" t="s">
        <v>9</v>
      </c>
      <c r="N86" t="str" cm="1">
        <f t="array" ref="N86">_xlfn.IFS(
    AND(HOUR(A86)&gt;=0, HOUR(A86)&lt;10), "Morning",
    AND(HOUR(A86)&gt;=10, HOUR(A86)&lt;15), "Afternoon",
    AND(HOUR(E86)&gt;=15, HOUR(E86)&lt;19), "Evening",
    AND(HOUR(E86)&gt;=19, HOUR(E86)&lt;=23), "Night"
)</f>
        <v>Afternoon</v>
      </c>
    </row>
    <row r="87" spans="1:14" x14ac:dyDescent="0.25">
      <c r="A87" s="3">
        <v>42409.45416666667</v>
      </c>
      <c r="B87" s="2">
        <f t="shared" si="8"/>
        <v>42409</v>
      </c>
      <c r="C87" t="str">
        <f t="shared" si="9"/>
        <v>February</v>
      </c>
      <c r="D87" t="str">
        <f t="shared" si="10"/>
        <v>Tuesday</v>
      </c>
      <c r="E87" t="str">
        <f t="shared" si="6"/>
        <v>10:54:00 AM</v>
      </c>
      <c r="F87" s="3">
        <v>42409.463194444441</v>
      </c>
      <c r="G87" s="4">
        <f t="shared" si="11"/>
        <v>0.46319444444088731</v>
      </c>
      <c r="H87" t="str">
        <f t="shared" si="7"/>
        <v>13 min</v>
      </c>
      <c r="I87" t="s">
        <v>3</v>
      </c>
      <c r="J87" t="s">
        <v>77</v>
      </c>
      <c r="K87" t="s">
        <v>89</v>
      </c>
      <c r="L87">
        <v>5.3</v>
      </c>
      <c r="M87" t="s">
        <v>52</v>
      </c>
      <c r="N87" t="str" cm="1">
        <f t="array" ref="N87">_xlfn.IFS(
    AND(HOUR(A87)&gt;=0, HOUR(A87)&lt;10), "Morning",
    AND(HOUR(A87)&gt;=10, HOUR(A87)&lt;15), "Afternoon",
    AND(HOUR(E87)&gt;=15, HOUR(E87)&lt;19), "Evening",
    AND(HOUR(E87)&gt;=19, HOUR(E87)&lt;=23), "Night"
)</f>
        <v>Afternoon</v>
      </c>
    </row>
    <row r="88" spans="1:14" x14ac:dyDescent="0.25">
      <c r="A88" s="3">
        <v>42409.488194444442</v>
      </c>
      <c r="B88" s="2">
        <f t="shared" si="8"/>
        <v>42409</v>
      </c>
      <c r="C88" t="str">
        <f t="shared" si="9"/>
        <v>February</v>
      </c>
      <c r="D88" t="str">
        <f t="shared" si="10"/>
        <v>Tuesday</v>
      </c>
      <c r="E88" t="str">
        <f t="shared" si="6"/>
        <v>11:43:00 AM</v>
      </c>
      <c r="F88" s="3">
        <v>42409.493055555555</v>
      </c>
      <c r="G88" s="4">
        <f t="shared" si="11"/>
        <v>0.49305555555474712</v>
      </c>
      <c r="H88" t="str">
        <f t="shared" si="7"/>
        <v>7 min</v>
      </c>
      <c r="I88" t="s">
        <v>3</v>
      </c>
      <c r="J88" t="s">
        <v>89</v>
      </c>
      <c r="K88" t="s">
        <v>93</v>
      </c>
      <c r="L88">
        <v>3</v>
      </c>
      <c r="M88" t="s">
        <v>52</v>
      </c>
      <c r="N88" t="str" cm="1">
        <f t="array" ref="N88">_xlfn.IFS(
    AND(HOUR(A88)&gt;=0, HOUR(A88)&lt;10), "Morning",
    AND(HOUR(A88)&gt;=10, HOUR(A88)&lt;15), "Afternoon",
    AND(HOUR(E88)&gt;=15, HOUR(E88)&lt;19), "Evening",
    AND(HOUR(E88)&gt;=19, HOUR(E88)&lt;=23), "Night"
)</f>
        <v>Afternoon</v>
      </c>
    </row>
    <row r="89" spans="1:14" x14ac:dyDescent="0.25">
      <c r="A89" s="3">
        <v>42409.566666666666</v>
      </c>
      <c r="B89" s="2">
        <f t="shared" si="8"/>
        <v>42409</v>
      </c>
      <c r="C89" t="str">
        <f t="shared" si="9"/>
        <v>February</v>
      </c>
      <c r="D89" t="str">
        <f t="shared" si="10"/>
        <v>Tuesday</v>
      </c>
      <c r="E89" t="str">
        <f t="shared" si="6"/>
        <v>01:36:00 PM</v>
      </c>
      <c r="F89" s="3">
        <v>42409.577777777777</v>
      </c>
      <c r="G89" s="4">
        <f t="shared" si="11"/>
        <v>0.57777777777664596</v>
      </c>
      <c r="H89" t="str">
        <f t="shared" si="7"/>
        <v>16 min</v>
      </c>
      <c r="I89" t="s">
        <v>3</v>
      </c>
      <c r="J89" t="s">
        <v>93</v>
      </c>
      <c r="K89" t="s">
        <v>94</v>
      </c>
      <c r="L89">
        <v>5.0999999999999996</v>
      </c>
      <c r="M89" t="s">
        <v>52</v>
      </c>
      <c r="N89" t="str" cm="1">
        <f t="array" ref="N89">_xlfn.IFS(
    AND(HOUR(A89)&gt;=0, HOUR(A89)&lt;10), "Morning",
    AND(HOUR(A89)&gt;=10, HOUR(A89)&lt;15), "Afternoon",
    AND(HOUR(E89)&gt;=15, HOUR(E89)&lt;19), "Evening",
    AND(HOUR(E89)&gt;=19, HOUR(E89)&lt;=23), "Night"
)</f>
        <v>Afternoon</v>
      </c>
    </row>
    <row r="90" spans="1:14" x14ac:dyDescent="0.25">
      <c r="A90" s="3">
        <v>42409.581944444442</v>
      </c>
      <c r="B90" s="2">
        <f t="shared" si="8"/>
        <v>42409</v>
      </c>
      <c r="C90" t="str">
        <f t="shared" si="9"/>
        <v>February</v>
      </c>
      <c r="D90" t="str">
        <f t="shared" si="10"/>
        <v>Tuesday</v>
      </c>
      <c r="E90" t="str">
        <f t="shared" si="6"/>
        <v>01:58:00 PM</v>
      </c>
      <c r="F90" s="3">
        <v>42409.584722222222</v>
      </c>
      <c r="G90" s="4">
        <f t="shared" si="11"/>
        <v>0.58472222222189885</v>
      </c>
      <c r="H90" t="str">
        <f t="shared" si="7"/>
        <v>4 min</v>
      </c>
      <c r="I90" t="s">
        <v>3</v>
      </c>
      <c r="J90" t="s">
        <v>94</v>
      </c>
      <c r="K90" t="s">
        <v>77</v>
      </c>
      <c r="L90">
        <v>1.5</v>
      </c>
      <c r="M90" t="s">
        <v>52</v>
      </c>
      <c r="N90" t="str" cm="1">
        <f t="array" ref="N90">_xlfn.IFS(
    AND(HOUR(A90)&gt;=0, HOUR(A90)&lt;10), "Morning",
    AND(HOUR(A90)&gt;=10, HOUR(A90)&lt;15), "Afternoon",
    AND(HOUR(E90)&gt;=15, HOUR(E90)&lt;19), "Evening",
    AND(HOUR(E90)&gt;=19, HOUR(E90)&lt;=23), "Night"
)</f>
        <v>Afternoon</v>
      </c>
    </row>
    <row r="91" spans="1:14" x14ac:dyDescent="0.25">
      <c r="A91" s="3">
        <v>42409.788194444445</v>
      </c>
      <c r="B91" s="2">
        <f t="shared" si="8"/>
        <v>42409</v>
      </c>
      <c r="C91" t="str">
        <f t="shared" si="9"/>
        <v>February</v>
      </c>
      <c r="D91" t="str">
        <f t="shared" si="10"/>
        <v>Tuesday</v>
      </c>
      <c r="E91" t="str">
        <f t="shared" si="6"/>
        <v>06:55:00 PM</v>
      </c>
      <c r="F91" s="3">
        <v>42409.799305555556</v>
      </c>
      <c r="G91" s="4">
        <f t="shared" si="11"/>
        <v>0.79930555555620231</v>
      </c>
      <c r="H91" t="str">
        <f t="shared" si="7"/>
        <v>16 min</v>
      </c>
      <c r="I91" t="s">
        <v>2</v>
      </c>
      <c r="J91" t="s">
        <v>55</v>
      </c>
      <c r="K91" t="s">
        <v>56</v>
      </c>
      <c r="L91">
        <v>6.1</v>
      </c>
      <c r="M91" t="s">
        <v>52</v>
      </c>
      <c r="N91" t="str" cm="1">
        <f t="array" ref="N91">_xlfn.IFS(
    AND(HOUR(A91)&gt;=0, HOUR(A91)&lt;10), "Morning",
    AND(HOUR(A91)&gt;=10, HOUR(A91)&lt;15), "Afternoon",
    AND(HOUR(E91)&gt;=15, HOUR(E91)&lt;19), "Evening",
    AND(HOUR(E91)&gt;=19, HOUR(E91)&lt;=23), "Night"
)</f>
        <v>Evening</v>
      </c>
    </row>
    <row r="92" spans="1:14" x14ac:dyDescent="0.25">
      <c r="A92" s="3">
        <v>42409.85</v>
      </c>
      <c r="B92" s="2">
        <f t="shared" si="8"/>
        <v>42409</v>
      </c>
      <c r="C92" t="str">
        <f t="shared" si="9"/>
        <v>February</v>
      </c>
      <c r="D92" t="str">
        <f t="shared" si="10"/>
        <v>Tuesday</v>
      </c>
      <c r="E92" t="str">
        <f t="shared" si="6"/>
        <v>08:24:00 PM</v>
      </c>
      <c r="F92" s="3">
        <v>42409.861111111109</v>
      </c>
      <c r="G92" s="4">
        <f t="shared" si="11"/>
        <v>0.86111111110949423</v>
      </c>
      <c r="H92" t="str">
        <f t="shared" si="7"/>
        <v>16 min</v>
      </c>
      <c r="I92" t="s">
        <v>2</v>
      </c>
      <c r="J92" t="s">
        <v>56</v>
      </c>
      <c r="K92" t="s">
        <v>55</v>
      </c>
      <c r="L92">
        <v>6.1</v>
      </c>
      <c r="M92" t="s">
        <v>9</v>
      </c>
      <c r="N92" t="str" cm="1">
        <f t="array" ref="N92">_xlfn.IFS(
    AND(HOUR(A92)&gt;=0, HOUR(A92)&lt;10), "Morning",
    AND(HOUR(A92)&gt;=10, HOUR(A92)&lt;15), "Afternoon",
    AND(HOUR(E92)&gt;=15, HOUR(E92)&lt;19), "Evening",
    AND(HOUR(E92)&gt;=19, HOUR(E92)&lt;=23), "Night"
)</f>
        <v>Night</v>
      </c>
    </row>
    <row r="93" spans="1:14" x14ac:dyDescent="0.25">
      <c r="A93" s="3">
        <v>42411.686111111114</v>
      </c>
      <c r="B93" s="2">
        <f t="shared" si="8"/>
        <v>42411</v>
      </c>
      <c r="C93" t="str">
        <f t="shared" si="9"/>
        <v>February</v>
      </c>
      <c r="D93" t="str">
        <f t="shared" si="10"/>
        <v>Thursday</v>
      </c>
      <c r="E93" t="str">
        <f t="shared" si="6"/>
        <v>04:28:00 PM</v>
      </c>
      <c r="F93" s="3">
        <v>42411.715277777781</v>
      </c>
      <c r="G93" s="4">
        <f t="shared" si="11"/>
        <v>0.71527777778101154</v>
      </c>
      <c r="H93" t="str">
        <f t="shared" si="7"/>
        <v>42 min</v>
      </c>
      <c r="I93" t="s">
        <v>2</v>
      </c>
      <c r="J93" t="s">
        <v>55</v>
      </c>
      <c r="K93" t="s">
        <v>79</v>
      </c>
      <c r="L93">
        <v>17.3</v>
      </c>
      <c r="M93" t="s">
        <v>9</v>
      </c>
      <c r="N93" t="str" cm="1">
        <f t="array" ref="N93">_xlfn.IFS(
    AND(HOUR(A93)&gt;=0, HOUR(A93)&lt;10), "Morning",
    AND(HOUR(A93)&gt;=10, HOUR(A93)&lt;15), "Afternoon",
    AND(HOUR(E93)&gt;=15, HOUR(E93)&lt;19), "Evening",
    AND(HOUR(E93)&gt;=19, HOUR(E93)&lt;=23), "Night"
)</f>
        <v>Evening</v>
      </c>
    </row>
    <row r="94" spans="1:14" x14ac:dyDescent="0.25">
      <c r="A94" s="3">
        <v>42411.742361111108</v>
      </c>
      <c r="B94" s="2">
        <f t="shared" si="8"/>
        <v>42411</v>
      </c>
      <c r="C94" t="str">
        <f t="shared" si="9"/>
        <v>February</v>
      </c>
      <c r="D94" t="str">
        <f t="shared" si="10"/>
        <v>Thursday</v>
      </c>
      <c r="E94" t="str">
        <f t="shared" si="6"/>
        <v>05:49:00 PM</v>
      </c>
      <c r="F94" s="3">
        <v>42411.756944444445</v>
      </c>
      <c r="G94" s="4">
        <f t="shared" si="11"/>
        <v>0.75694444444525288</v>
      </c>
      <c r="H94" t="str">
        <f t="shared" si="7"/>
        <v>21 min</v>
      </c>
      <c r="I94" t="s">
        <v>2</v>
      </c>
      <c r="J94" t="s">
        <v>95</v>
      </c>
      <c r="K94" t="s">
        <v>96</v>
      </c>
      <c r="L94">
        <v>5.7</v>
      </c>
      <c r="M94" t="s">
        <v>9</v>
      </c>
      <c r="N94" t="str" cm="1">
        <f t="array" ref="N94">_xlfn.IFS(
    AND(HOUR(A94)&gt;=0, HOUR(A94)&lt;10), "Morning",
    AND(HOUR(A94)&gt;=10, HOUR(A94)&lt;15), "Afternoon",
    AND(HOUR(E94)&gt;=15, HOUR(E94)&lt;19), "Evening",
    AND(HOUR(E94)&gt;=19, HOUR(E94)&lt;=23), "Night"
)</f>
        <v>Evening</v>
      </c>
    </row>
    <row r="95" spans="1:14" x14ac:dyDescent="0.25">
      <c r="A95" s="3">
        <v>42411.76666666667</v>
      </c>
      <c r="B95" s="2">
        <f t="shared" si="8"/>
        <v>42411</v>
      </c>
      <c r="C95" t="str">
        <f t="shared" si="9"/>
        <v>February</v>
      </c>
      <c r="D95" t="str">
        <f t="shared" si="10"/>
        <v>Thursday</v>
      </c>
      <c r="E95" t="str">
        <f t="shared" si="6"/>
        <v>06:24:00 PM</v>
      </c>
      <c r="F95" s="3">
        <v>42411.781944444447</v>
      </c>
      <c r="G95" s="4">
        <f t="shared" si="11"/>
        <v>0.78194444444670808</v>
      </c>
      <c r="H95" t="str">
        <f t="shared" si="7"/>
        <v>22 min</v>
      </c>
      <c r="I95" t="s">
        <v>2</v>
      </c>
      <c r="J95" t="s">
        <v>79</v>
      </c>
      <c r="K95" t="s">
        <v>56</v>
      </c>
      <c r="L95">
        <v>13.5</v>
      </c>
      <c r="M95" t="s">
        <v>11</v>
      </c>
      <c r="N95" t="str" cm="1">
        <f t="array" ref="N95">_xlfn.IFS(
    AND(HOUR(A95)&gt;=0, HOUR(A95)&lt;10), "Morning",
    AND(HOUR(A95)&gt;=10, HOUR(A95)&lt;15), "Afternoon",
    AND(HOUR(E95)&gt;=15, HOUR(E95)&lt;19), "Evening",
    AND(HOUR(E95)&gt;=19, HOUR(E95)&lt;=23), "Night"
)</f>
        <v>Evening</v>
      </c>
    </row>
    <row r="96" spans="1:14" x14ac:dyDescent="0.25">
      <c r="A96" s="3">
        <v>42411.85833333333</v>
      </c>
      <c r="B96" s="2">
        <f t="shared" si="8"/>
        <v>42411</v>
      </c>
      <c r="C96" t="str">
        <f t="shared" si="9"/>
        <v>February</v>
      </c>
      <c r="D96" t="str">
        <f t="shared" si="10"/>
        <v>Thursday</v>
      </c>
      <c r="E96" t="str">
        <f t="shared" si="6"/>
        <v>08:36:00 PM</v>
      </c>
      <c r="F96" s="3">
        <v>42411.868750000001</v>
      </c>
      <c r="G96" s="4">
        <f t="shared" si="11"/>
        <v>0.86875000000145519</v>
      </c>
      <c r="H96" t="str">
        <f t="shared" si="7"/>
        <v>15 min</v>
      </c>
      <c r="I96" t="s">
        <v>2</v>
      </c>
      <c r="J96" t="s">
        <v>56</v>
      </c>
      <c r="K96" t="s">
        <v>55</v>
      </c>
      <c r="L96">
        <v>6.1</v>
      </c>
      <c r="M96" t="s">
        <v>11</v>
      </c>
      <c r="N96" t="str" cm="1">
        <f t="array" ref="N96">_xlfn.IFS(
    AND(HOUR(A96)&gt;=0, HOUR(A96)&lt;10), "Morning",
    AND(HOUR(A96)&gt;=10, HOUR(A96)&lt;15), "Afternoon",
    AND(HOUR(E96)&gt;=15, HOUR(E96)&lt;19), "Evening",
    AND(HOUR(E96)&gt;=19, HOUR(E96)&lt;=23), "Night"
)</f>
        <v>Night</v>
      </c>
    </row>
    <row r="97" spans="1:14" x14ac:dyDescent="0.25">
      <c r="A97" s="3">
        <v>42412.347916666666</v>
      </c>
      <c r="B97" s="2">
        <f t="shared" si="8"/>
        <v>42412</v>
      </c>
      <c r="C97" t="str">
        <f t="shared" si="9"/>
        <v>February</v>
      </c>
      <c r="D97" t="str">
        <f t="shared" si="10"/>
        <v>Friday</v>
      </c>
      <c r="E97" t="str">
        <f t="shared" si="6"/>
        <v>08:21:00 AM</v>
      </c>
      <c r="F97" s="3">
        <v>42412.362500000003</v>
      </c>
      <c r="G97" s="4">
        <f t="shared" si="11"/>
        <v>0.36250000000291038</v>
      </c>
      <c r="H97" t="str">
        <f t="shared" si="7"/>
        <v>21 min</v>
      </c>
      <c r="I97" t="s">
        <v>2</v>
      </c>
      <c r="J97" t="s">
        <v>55</v>
      </c>
      <c r="K97" t="s">
        <v>75</v>
      </c>
      <c r="L97">
        <v>8.5</v>
      </c>
      <c r="M97" t="s">
        <v>11</v>
      </c>
      <c r="N97" t="str" cm="1">
        <f t="array" ref="N97">_xlfn.IFS(
    AND(HOUR(A97)&gt;=0, HOUR(A97)&lt;10), "Morning",
    AND(HOUR(A97)&gt;=10, HOUR(A97)&lt;15), "Afternoon",
    AND(HOUR(E97)&gt;=15, HOUR(E97)&lt;19), "Evening",
    AND(HOUR(E97)&gt;=19, HOUR(E97)&lt;=23), "Night"
)</f>
        <v>Morning</v>
      </c>
    </row>
    <row r="98" spans="1:14" x14ac:dyDescent="0.25">
      <c r="A98" s="3">
        <v>42412.447916666664</v>
      </c>
      <c r="B98" s="2">
        <f t="shared" si="8"/>
        <v>42412</v>
      </c>
      <c r="C98" t="str">
        <f t="shared" si="9"/>
        <v>February</v>
      </c>
      <c r="D98" t="str">
        <f t="shared" si="10"/>
        <v>Friday</v>
      </c>
      <c r="E98" t="str">
        <f t="shared" si="6"/>
        <v>10:45:00 AM</v>
      </c>
      <c r="F98" s="3">
        <v>42412.452777777777</v>
      </c>
      <c r="G98" s="4">
        <f t="shared" si="11"/>
        <v>0.45277777777664596</v>
      </c>
      <c r="H98" t="str">
        <f t="shared" si="7"/>
        <v>7 min</v>
      </c>
      <c r="I98" t="s">
        <v>2</v>
      </c>
      <c r="J98" t="s">
        <v>75</v>
      </c>
      <c r="K98" t="s">
        <v>56</v>
      </c>
      <c r="L98">
        <v>2.6</v>
      </c>
      <c r="M98" t="s">
        <v>11</v>
      </c>
      <c r="N98" t="str" cm="1">
        <f t="array" ref="N98">_xlfn.IFS(
    AND(HOUR(A98)&gt;=0, HOUR(A98)&lt;10), "Morning",
    AND(HOUR(A98)&gt;=10, HOUR(A98)&lt;15), "Afternoon",
    AND(HOUR(E98)&gt;=15, HOUR(E98)&lt;19), "Evening",
    AND(HOUR(E98)&gt;=19, HOUR(E98)&lt;=23), "Night"
)</f>
        <v>Afternoon</v>
      </c>
    </row>
    <row r="99" spans="1:14" x14ac:dyDescent="0.25">
      <c r="A99" s="3">
        <v>42412.468055555553</v>
      </c>
      <c r="B99" s="2">
        <f t="shared" si="8"/>
        <v>42412</v>
      </c>
      <c r="C99" t="str">
        <f t="shared" si="9"/>
        <v>February</v>
      </c>
      <c r="D99" t="str">
        <f t="shared" si="10"/>
        <v>Friday</v>
      </c>
      <c r="E99" t="str">
        <f t="shared" si="6"/>
        <v>11:14:00 AM</v>
      </c>
      <c r="F99" s="3">
        <v>42412.482638888891</v>
      </c>
      <c r="G99" s="4">
        <f t="shared" si="11"/>
        <v>0.48263888889050577</v>
      </c>
      <c r="H99" t="str">
        <f t="shared" si="7"/>
        <v>21 min</v>
      </c>
      <c r="I99" t="s">
        <v>2</v>
      </c>
      <c r="J99" t="s">
        <v>56</v>
      </c>
      <c r="K99" t="s">
        <v>79</v>
      </c>
      <c r="L99">
        <v>17</v>
      </c>
      <c r="M99" t="s">
        <v>7</v>
      </c>
      <c r="N99" t="str" cm="1">
        <f t="array" ref="N99">_xlfn.IFS(
    AND(HOUR(A99)&gt;=0, HOUR(A99)&lt;10), "Morning",
    AND(HOUR(A99)&gt;=10, HOUR(A99)&lt;15), "Afternoon",
    AND(HOUR(E99)&gt;=15, HOUR(E99)&lt;19), "Evening",
    AND(HOUR(E99)&gt;=19, HOUR(E99)&lt;=23), "Night"
)</f>
        <v>Afternoon</v>
      </c>
    </row>
    <row r="100" spans="1:14" x14ac:dyDescent="0.25">
      <c r="A100" s="3">
        <v>42412.543055555558</v>
      </c>
      <c r="B100" s="2">
        <f t="shared" si="8"/>
        <v>42412</v>
      </c>
      <c r="C100" t="str">
        <f t="shared" si="9"/>
        <v>February</v>
      </c>
      <c r="D100" t="str">
        <f t="shared" si="10"/>
        <v>Friday</v>
      </c>
      <c r="E100" t="str">
        <f t="shared" si="6"/>
        <v>01:02:00 PM</v>
      </c>
      <c r="F100" s="3">
        <v>42412.566666666666</v>
      </c>
      <c r="G100" s="4">
        <f t="shared" si="11"/>
        <v>0.56666666666569654</v>
      </c>
      <c r="H100" t="str">
        <f t="shared" si="7"/>
        <v>34 min</v>
      </c>
      <c r="I100" t="s">
        <v>2</v>
      </c>
      <c r="J100" t="s">
        <v>79</v>
      </c>
      <c r="K100" t="s">
        <v>55</v>
      </c>
      <c r="L100">
        <v>18</v>
      </c>
      <c r="M100" t="s">
        <v>10</v>
      </c>
      <c r="N100" t="str" cm="1">
        <f t="array" ref="N100">_xlfn.IFS(
    AND(HOUR(A100)&gt;=0, HOUR(A100)&lt;10), "Morning",
    AND(HOUR(A100)&gt;=10, HOUR(A100)&lt;15), "Afternoon",
    AND(HOUR(E100)&gt;=15, HOUR(E100)&lt;19), "Evening",
    AND(HOUR(E100)&gt;=19, HOUR(E100)&lt;=23), "Night"
)</f>
        <v>Afternoon</v>
      </c>
    </row>
    <row r="101" spans="1:14" x14ac:dyDescent="0.25">
      <c r="A101" s="3">
        <v>42412.617361111108</v>
      </c>
      <c r="B101" s="2">
        <f t="shared" si="8"/>
        <v>42412</v>
      </c>
      <c r="C101" t="str">
        <f t="shared" si="9"/>
        <v>February</v>
      </c>
      <c r="D101" t="str">
        <f t="shared" si="10"/>
        <v>Friday</v>
      </c>
      <c r="E101" t="str">
        <f t="shared" si="6"/>
        <v>02:49:00 PM</v>
      </c>
      <c r="F101" s="3">
        <v>42412.629166666666</v>
      </c>
      <c r="G101" s="4">
        <f t="shared" si="11"/>
        <v>0.62916666666569654</v>
      </c>
      <c r="H101" t="str">
        <f t="shared" si="7"/>
        <v>17 min</v>
      </c>
      <c r="I101" t="s">
        <v>2</v>
      </c>
      <c r="J101" t="s">
        <v>55</v>
      </c>
      <c r="K101" t="s">
        <v>56</v>
      </c>
      <c r="L101">
        <v>8.4</v>
      </c>
      <c r="M101" t="s">
        <v>10</v>
      </c>
      <c r="N101" t="str" cm="1">
        <f t="array" ref="N101">_xlfn.IFS(
    AND(HOUR(A101)&gt;=0, HOUR(A101)&lt;10), "Morning",
    AND(HOUR(A101)&gt;=10, HOUR(A101)&lt;15), "Afternoon",
    AND(HOUR(E101)&gt;=15, HOUR(E101)&lt;19), "Evening",
    AND(HOUR(E101)&gt;=19, HOUR(E101)&lt;=23), "Night"
)</f>
        <v>Afternoon</v>
      </c>
    </row>
    <row r="102" spans="1:14" x14ac:dyDescent="0.25">
      <c r="A102" s="3">
        <v>42412.647916666669</v>
      </c>
      <c r="B102" s="2">
        <f t="shared" si="8"/>
        <v>42412</v>
      </c>
      <c r="C102" t="str">
        <f t="shared" si="9"/>
        <v>February</v>
      </c>
      <c r="D102" t="str">
        <f t="shared" si="10"/>
        <v>Friday</v>
      </c>
      <c r="E102" t="str">
        <f t="shared" si="6"/>
        <v>03:33:00 PM</v>
      </c>
      <c r="F102" s="3">
        <v>42412.67083333333</v>
      </c>
      <c r="G102" s="4">
        <f t="shared" si="11"/>
        <v>0.67083333332993789</v>
      </c>
      <c r="H102" t="str">
        <f t="shared" si="7"/>
        <v>33 min</v>
      </c>
      <c r="I102" t="s">
        <v>2</v>
      </c>
      <c r="J102" t="s">
        <v>56</v>
      </c>
      <c r="K102" t="s">
        <v>55</v>
      </c>
      <c r="L102">
        <v>11.5</v>
      </c>
      <c r="M102" t="s">
        <v>7</v>
      </c>
      <c r="N102" t="str" cm="1">
        <f t="array" ref="N102">_xlfn.IFS(
    AND(HOUR(A102)&gt;=0, HOUR(A102)&lt;10), "Morning",
    AND(HOUR(A102)&gt;=10, HOUR(A102)&lt;15), "Afternoon",
    AND(HOUR(E102)&gt;=15, HOUR(E102)&lt;19), "Evening",
    AND(HOUR(E102)&gt;=19, HOUR(E102)&lt;=23), "Night"
)</f>
        <v>Evening</v>
      </c>
    </row>
    <row r="103" spans="1:14" x14ac:dyDescent="0.25">
      <c r="A103" s="3">
        <v>42413.597916666666</v>
      </c>
      <c r="B103" s="2">
        <f t="shared" si="8"/>
        <v>42413</v>
      </c>
      <c r="C103" t="str">
        <f t="shared" si="9"/>
        <v>February</v>
      </c>
      <c r="D103" t="str">
        <f t="shared" si="10"/>
        <v>Saturday</v>
      </c>
      <c r="E103" t="str">
        <f t="shared" si="6"/>
        <v>02:21:00 PM</v>
      </c>
      <c r="F103" s="3">
        <v>42413.611805555556</v>
      </c>
      <c r="G103" s="4">
        <f t="shared" si="11"/>
        <v>0.61180555555620231</v>
      </c>
      <c r="H103" t="str">
        <f t="shared" si="7"/>
        <v>20 min</v>
      </c>
      <c r="I103" t="s">
        <v>2</v>
      </c>
      <c r="J103" t="s">
        <v>55</v>
      </c>
      <c r="K103" t="s">
        <v>56</v>
      </c>
      <c r="L103">
        <v>8.9</v>
      </c>
      <c r="M103" t="s">
        <v>10</v>
      </c>
      <c r="N103" t="str" cm="1">
        <f t="array" ref="N103">_xlfn.IFS(
    AND(HOUR(A103)&gt;=0, HOUR(A103)&lt;10), "Morning",
    AND(HOUR(A103)&gt;=10, HOUR(A103)&lt;15), "Afternoon",
    AND(HOUR(E103)&gt;=15, HOUR(E103)&lt;19), "Evening",
    AND(HOUR(E103)&gt;=19, HOUR(E103)&lt;=23), "Night"
)</f>
        <v>Afternoon</v>
      </c>
    </row>
    <row r="104" spans="1:14" x14ac:dyDescent="0.25">
      <c r="A104" s="3">
        <v>42413.989583333336</v>
      </c>
      <c r="B104" s="2">
        <f t="shared" si="8"/>
        <v>42413</v>
      </c>
      <c r="C104" t="str">
        <f t="shared" si="9"/>
        <v>February</v>
      </c>
      <c r="D104" t="str">
        <f t="shared" si="10"/>
        <v>Saturday</v>
      </c>
      <c r="E104" t="str">
        <f t="shared" si="6"/>
        <v>11:45:00 PM</v>
      </c>
      <c r="F104" s="3">
        <v>42414.000694444447</v>
      </c>
      <c r="G104" s="4">
        <f t="shared" si="11"/>
        <v>6.944444467080757E-4</v>
      </c>
      <c r="H104" t="str">
        <f t="shared" si="7"/>
        <v>16 min</v>
      </c>
      <c r="I104" t="s">
        <v>3</v>
      </c>
      <c r="J104" t="s">
        <v>97</v>
      </c>
      <c r="K104" t="s">
        <v>98</v>
      </c>
      <c r="L104">
        <v>2.7</v>
      </c>
      <c r="M104" t="s">
        <v>52</v>
      </c>
      <c r="N104" t="str" cm="1">
        <f t="array" ref="N104">_xlfn.IFS(
    AND(HOUR(A104)&gt;=0, HOUR(A104)&lt;10), "Morning",
    AND(HOUR(A104)&gt;=10, HOUR(A104)&lt;15), "Afternoon",
    AND(HOUR(E104)&gt;=15, HOUR(E104)&lt;19), "Evening",
    AND(HOUR(E104)&gt;=19, HOUR(E104)&lt;=23), "Night"
)</f>
        <v>Night</v>
      </c>
    </row>
    <row r="105" spans="1:14" x14ac:dyDescent="0.25">
      <c r="A105" s="3">
        <v>42414.034722222219</v>
      </c>
      <c r="B105" s="2">
        <f t="shared" si="8"/>
        <v>42414</v>
      </c>
      <c r="C105" t="str">
        <f t="shared" si="9"/>
        <v>February</v>
      </c>
      <c r="D105" t="str">
        <f t="shared" si="10"/>
        <v>Sunday</v>
      </c>
      <c r="E105" t="str">
        <f t="shared" si="6"/>
        <v>12:50:00 AM</v>
      </c>
      <c r="F105" s="3">
        <v>42414.041666666664</v>
      </c>
      <c r="G105" s="4">
        <f t="shared" si="11"/>
        <v>4.1666666664241347E-2</v>
      </c>
      <c r="H105" t="str">
        <f t="shared" si="7"/>
        <v>10 min</v>
      </c>
      <c r="I105" t="s">
        <v>3</v>
      </c>
      <c r="J105" t="s">
        <v>98</v>
      </c>
      <c r="K105" t="s">
        <v>97</v>
      </c>
      <c r="L105">
        <v>1.8</v>
      </c>
      <c r="M105" t="s">
        <v>52</v>
      </c>
      <c r="N105" t="str" cm="1">
        <f t="array" ref="N105">_xlfn.IFS(
    AND(HOUR(A105)&gt;=0, HOUR(A105)&lt;10), "Morning",
    AND(HOUR(A105)&gt;=10, HOUR(A105)&lt;15), "Afternoon",
    AND(HOUR(E105)&gt;=15, HOUR(E105)&lt;19), "Evening",
    AND(HOUR(E105)&gt;=19, HOUR(E105)&lt;=23), "Night"
)</f>
        <v>Morning</v>
      </c>
    </row>
    <row r="106" spans="1:14" x14ac:dyDescent="0.25">
      <c r="A106" s="3">
        <v>42414.588194444441</v>
      </c>
      <c r="B106" s="2">
        <f t="shared" si="8"/>
        <v>42414</v>
      </c>
      <c r="C106" t="str">
        <f t="shared" si="9"/>
        <v>February</v>
      </c>
      <c r="D106" t="str">
        <f t="shared" si="10"/>
        <v>Sunday</v>
      </c>
      <c r="E106" t="str">
        <f t="shared" si="6"/>
        <v>02:07:00 PM</v>
      </c>
      <c r="F106" s="3">
        <v>42414.611111111109</v>
      </c>
      <c r="G106" s="4">
        <f t="shared" si="11"/>
        <v>0.61111111110949423</v>
      </c>
      <c r="H106" t="str">
        <f t="shared" si="7"/>
        <v>33 min</v>
      </c>
      <c r="I106" t="s">
        <v>2</v>
      </c>
      <c r="J106" t="s">
        <v>97</v>
      </c>
      <c r="K106" t="s">
        <v>58</v>
      </c>
      <c r="L106">
        <v>8.1</v>
      </c>
      <c r="M106" t="s">
        <v>10</v>
      </c>
      <c r="N106" t="str" cm="1">
        <f t="array" ref="N106">_xlfn.IFS(
    AND(HOUR(A106)&gt;=0, HOUR(A106)&lt;10), "Morning",
    AND(HOUR(A106)&gt;=10, HOUR(A106)&lt;15), "Afternoon",
    AND(HOUR(E106)&gt;=15, HOUR(E106)&lt;19), "Evening",
    AND(HOUR(E106)&gt;=19, HOUR(E106)&lt;=23), "Night"
)</f>
        <v>Afternoon</v>
      </c>
    </row>
    <row r="107" spans="1:14" x14ac:dyDescent="0.25">
      <c r="A107" s="3">
        <v>42414.615277777775</v>
      </c>
      <c r="B107" s="2">
        <f t="shared" si="8"/>
        <v>42414</v>
      </c>
      <c r="C107" t="str">
        <f t="shared" si="9"/>
        <v>February</v>
      </c>
      <c r="D107" t="str">
        <f t="shared" si="10"/>
        <v>Sunday</v>
      </c>
      <c r="E107" t="str">
        <f t="shared" si="6"/>
        <v>02:46:00 PM</v>
      </c>
      <c r="F107" s="3">
        <v>42414.627083333333</v>
      </c>
      <c r="G107" s="4">
        <f t="shared" si="11"/>
        <v>0.62708333333284827</v>
      </c>
      <c r="H107" t="str">
        <f t="shared" si="7"/>
        <v>17 min</v>
      </c>
      <c r="I107" t="s">
        <v>2</v>
      </c>
      <c r="J107" t="s">
        <v>61</v>
      </c>
      <c r="K107" t="s">
        <v>99</v>
      </c>
      <c r="L107">
        <v>2</v>
      </c>
      <c r="M107" t="s">
        <v>10</v>
      </c>
      <c r="N107" t="str" cm="1">
        <f t="array" ref="N107">_xlfn.IFS(
    AND(HOUR(A107)&gt;=0, HOUR(A107)&lt;10), "Morning",
    AND(HOUR(A107)&gt;=10, HOUR(A107)&lt;15), "Afternoon",
    AND(HOUR(E107)&gt;=15, HOUR(E107)&lt;19), "Evening",
    AND(HOUR(E107)&gt;=19, HOUR(E107)&lt;=23), "Night"
)</f>
        <v>Afternoon</v>
      </c>
    </row>
    <row r="108" spans="1:14" x14ac:dyDescent="0.25">
      <c r="A108" s="3">
        <v>42414.690972222219</v>
      </c>
      <c r="B108" s="2">
        <f t="shared" si="8"/>
        <v>42414</v>
      </c>
      <c r="C108" t="str">
        <f t="shared" si="9"/>
        <v>February</v>
      </c>
      <c r="D108" t="str">
        <f t="shared" si="10"/>
        <v>Sunday</v>
      </c>
      <c r="E108" t="str">
        <f t="shared" si="6"/>
        <v>04:35:00 PM</v>
      </c>
      <c r="F108" s="3">
        <v>42414.709722222222</v>
      </c>
      <c r="G108" s="4">
        <f t="shared" si="11"/>
        <v>0.70972222222189885</v>
      </c>
      <c r="H108" t="str">
        <f t="shared" si="7"/>
        <v>27 min</v>
      </c>
      <c r="I108" t="s">
        <v>2</v>
      </c>
      <c r="J108" t="s">
        <v>58</v>
      </c>
      <c r="K108" t="s">
        <v>100</v>
      </c>
      <c r="L108">
        <v>13</v>
      </c>
      <c r="M108" t="s">
        <v>10</v>
      </c>
      <c r="N108" t="str" cm="1">
        <f t="array" ref="N108">_xlfn.IFS(
    AND(HOUR(A108)&gt;=0, HOUR(A108)&lt;10), "Morning",
    AND(HOUR(A108)&gt;=10, HOUR(A108)&lt;15), "Afternoon",
    AND(HOUR(E108)&gt;=15, HOUR(E108)&lt;19), "Evening",
    AND(HOUR(E108)&gt;=19, HOUR(E108)&lt;=23), "Night"
)</f>
        <v>Evening</v>
      </c>
    </row>
    <row r="109" spans="1:14" x14ac:dyDescent="0.25">
      <c r="A109" s="3">
        <v>42414.712500000001</v>
      </c>
      <c r="B109" s="2">
        <f t="shared" si="8"/>
        <v>42414</v>
      </c>
      <c r="C109" t="str">
        <f t="shared" si="9"/>
        <v>February</v>
      </c>
      <c r="D109" t="str">
        <f t="shared" si="10"/>
        <v>Sunday</v>
      </c>
      <c r="E109" t="str">
        <f t="shared" si="6"/>
        <v>05:06:00 PM</v>
      </c>
      <c r="F109" s="3">
        <v>42414.728472222225</v>
      </c>
      <c r="G109" s="4">
        <f t="shared" si="11"/>
        <v>0.72847222222480923</v>
      </c>
      <c r="H109" t="str">
        <f t="shared" si="7"/>
        <v>23 min</v>
      </c>
      <c r="I109" t="s">
        <v>2</v>
      </c>
      <c r="J109" t="s">
        <v>100</v>
      </c>
      <c r="K109" t="s">
        <v>57</v>
      </c>
      <c r="L109">
        <v>13.9</v>
      </c>
      <c r="M109" t="s">
        <v>10</v>
      </c>
      <c r="N109" t="str" cm="1">
        <f t="array" ref="N109">_xlfn.IFS(
    AND(HOUR(A109)&gt;=0, HOUR(A109)&lt;10), "Morning",
    AND(HOUR(A109)&gt;=10, HOUR(A109)&lt;15), "Afternoon",
    AND(HOUR(E109)&gt;=15, HOUR(E109)&lt;19), "Evening",
    AND(HOUR(E109)&gt;=19, HOUR(E109)&lt;=23), "Night"
)</f>
        <v>Evening</v>
      </c>
    </row>
    <row r="110" spans="1:14" x14ac:dyDescent="0.25">
      <c r="A110" s="3">
        <v>42416.13958333333</v>
      </c>
      <c r="B110" s="2">
        <f t="shared" si="8"/>
        <v>42416</v>
      </c>
      <c r="C110" t="str">
        <f t="shared" si="9"/>
        <v>February</v>
      </c>
      <c r="D110" t="str">
        <f t="shared" si="10"/>
        <v>Tuesday</v>
      </c>
      <c r="E110" t="str">
        <f t="shared" si="6"/>
        <v>03:21:00 AM</v>
      </c>
      <c r="F110" s="3">
        <v>42416.175694444442</v>
      </c>
      <c r="G110" s="4">
        <f t="shared" si="11"/>
        <v>0.1756944444423425</v>
      </c>
      <c r="H110" t="str">
        <f t="shared" si="7"/>
        <v>52 min</v>
      </c>
      <c r="I110" t="s">
        <v>2</v>
      </c>
      <c r="J110" t="s">
        <v>101</v>
      </c>
      <c r="K110" t="s">
        <v>102</v>
      </c>
      <c r="L110">
        <v>43.7</v>
      </c>
      <c r="M110" t="s">
        <v>7</v>
      </c>
      <c r="N110" t="str" cm="1">
        <f t="array" ref="N110">_xlfn.IFS(
    AND(HOUR(A110)&gt;=0, HOUR(A110)&lt;10), "Morning",
    AND(HOUR(A110)&gt;=10, HOUR(A110)&lt;15), "Afternoon",
    AND(HOUR(E110)&gt;=15, HOUR(E110)&lt;19), "Evening",
    AND(HOUR(E110)&gt;=19, HOUR(E110)&lt;=23), "Night"
)</f>
        <v>Morning</v>
      </c>
    </row>
    <row r="111" spans="1:14" x14ac:dyDescent="0.25">
      <c r="A111" s="3">
        <v>42416.353472222225</v>
      </c>
      <c r="B111" s="2">
        <f t="shared" si="8"/>
        <v>42416</v>
      </c>
      <c r="C111" t="str">
        <f t="shared" si="9"/>
        <v>February</v>
      </c>
      <c r="D111" t="str">
        <f t="shared" si="10"/>
        <v>Tuesday</v>
      </c>
      <c r="E111" t="str">
        <f t="shared" si="6"/>
        <v>08:29:00 AM</v>
      </c>
      <c r="F111" s="3">
        <v>42416.398611111108</v>
      </c>
      <c r="G111" s="4">
        <f t="shared" si="11"/>
        <v>0.39861111110803904</v>
      </c>
      <c r="H111" t="str">
        <f t="shared" si="7"/>
        <v>65 min</v>
      </c>
      <c r="I111" t="s">
        <v>2</v>
      </c>
      <c r="J111" t="s">
        <v>102</v>
      </c>
      <c r="K111" t="s">
        <v>103</v>
      </c>
      <c r="L111">
        <v>14.1</v>
      </c>
      <c r="M111" t="s">
        <v>52</v>
      </c>
      <c r="N111" t="str" cm="1">
        <f t="array" ref="N111">_xlfn.IFS(
    AND(HOUR(A111)&gt;=0, HOUR(A111)&lt;10), "Morning",
    AND(HOUR(A111)&gt;=10, HOUR(A111)&lt;15), "Afternoon",
    AND(HOUR(E111)&gt;=15, HOUR(E111)&lt;19), "Evening",
    AND(HOUR(E111)&gt;=19, HOUR(E111)&lt;=23), "Night"
)</f>
        <v>Morning</v>
      </c>
    </row>
    <row r="112" spans="1:14" x14ac:dyDescent="0.25">
      <c r="A112" s="3">
        <v>42416.438194444447</v>
      </c>
      <c r="B112" s="2">
        <f t="shared" si="8"/>
        <v>42416</v>
      </c>
      <c r="C112" t="str">
        <f t="shared" si="9"/>
        <v>February</v>
      </c>
      <c r="D112" t="str">
        <f t="shared" si="10"/>
        <v>Tuesday</v>
      </c>
      <c r="E112" t="str">
        <f t="shared" si="6"/>
        <v>10:31:00 AM</v>
      </c>
      <c r="F112" s="3">
        <v>42416.445138888892</v>
      </c>
      <c r="G112" s="4">
        <f t="shared" si="11"/>
        <v>0.44513888889196096</v>
      </c>
      <c r="H112" t="str">
        <f t="shared" si="7"/>
        <v>10 min</v>
      </c>
      <c r="I112" t="s">
        <v>2</v>
      </c>
      <c r="J112" t="s">
        <v>103</v>
      </c>
      <c r="K112" t="s">
        <v>103</v>
      </c>
      <c r="L112">
        <v>2.6</v>
      </c>
      <c r="M112" t="s">
        <v>52</v>
      </c>
      <c r="N112" t="str" cm="1">
        <f t="array" ref="N112">_xlfn.IFS(
    AND(HOUR(A112)&gt;=0, HOUR(A112)&lt;10), "Morning",
    AND(HOUR(A112)&gt;=10, HOUR(A112)&lt;15), "Afternoon",
    AND(HOUR(E112)&gt;=15, HOUR(E112)&lt;19), "Evening",
    AND(HOUR(E112)&gt;=19, HOUR(E112)&lt;=23), "Night"
)</f>
        <v>Afternoon</v>
      </c>
    </row>
    <row r="113" spans="1:14" x14ac:dyDescent="0.25">
      <c r="A113" s="3">
        <v>42416.480555555558</v>
      </c>
      <c r="B113" s="2">
        <f t="shared" si="8"/>
        <v>42416</v>
      </c>
      <c r="C113" t="str">
        <f t="shared" si="9"/>
        <v>February</v>
      </c>
      <c r="D113" t="str">
        <f t="shared" si="10"/>
        <v>Tuesday</v>
      </c>
      <c r="E113" t="str">
        <f t="shared" si="6"/>
        <v>11:32:00 AM</v>
      </c>
      <c r="F113" s="3">
        <v>42416.501388888886</v>
      </c>
      <c r="G113" s="4">
        <f t="shared" si="11"/>
        <v>0.50138888888614019</v>
      </c>
      <c r="H113" t="str">
        <f t="shared" si="7"/>
        <v>30 min</v>
      </c>
      <c r="I113" t="s">
        <v>2</v>
      </c>
      <c r="J113" t="s">
        <v>103</v>
      </c>
      <c r="K113" t="s">
        <v>103</v>
      </c>
      <c r="L113">
        <v>4.5</v>
      </c>
      <c r="M113" t="s">
        <v>52</v>
      </c>
      <c r="N113" t="str" cm="1">
        <f t="array" ref="N113">_xlfn.IFS(
    AND(HOUR(A113)&gt;=0, HOUR(A113)&lt;10), "Morning",
    AND(HOUR(A113)&gt;=10, HOUR(A113)&lt;15), "Afternoon",
    AND(HOUR(E113)&gt;=15, HOUR(E113)&lt;19), "Evening",
    AND(HOUR(E113)&gt;=19, HOUR(E113)&lt;=23), "Night"
)</f>
        <v>Afternoon</v>
      </c>
    </row>
    <row r="114" spans="1:14" x14ac:dyDescent="0.25">
      <c r="A114" s="3">
        <v>42416.527083333334</v>
      </c>
      <c r="B114" s="2">
        <f t="shared" si="8"/>
        <v>42416</v>
      </c>
      <c r="C114" t="str">
        <f t="shared" si="9"/>
        <v>February</v>
      </c>
      <c r="D114" t="str">
        <f t="shared" si="10"/>
        <v>Tuesday</v>
      </c>
      <c r="E114" t="str">
        <f t="shared" si="6"/>
        <v>12:39:00 PM</v>
      </c>
      <c r="F114" s="3">
        <v>42416.529166666667</v>
      </c>
      <c r="G114" s="4">
        <f t="shared" si="11"/>
        <v>0.52916666666715173</v>
      </c>
      <c r="H114" t="str">
        <f t="shared" si="7"/>
        <v>3 min</v>
      </c>
      <c r="I114" t="s">
        <v>2</v>
      </c>
      <c r="J114" t="s">
        <v>103</v>
      </c>
      <c r="K114" t="s">
        <v>103</v>
      </c>
      <c r="L114">
        <v>1.7</v>
      </c>
      <c r="M114" t="s">
        <v>52</v>
      </c>
      <c r="N114" t="str" cm="1">
        <f t="array" ref="N114">_xlfn.IFS(
    AND(HOUR(A114)&gt;=0, HOUR(A114)&lt;10), "Morning",
    AND(HOUR(A114)&gt;=10, HOUR(A114)&lt;15), "Afternoon",
    AND(HOUR(E114)&gt;=15, HOUR(E114)&lt;19), "Evening",
    AND(HOUR(E114)&gt;=19, HOUR(E114)&lt;=23), "Night"
)</f>
        <v>Afternoon</v>
      </c>
    </row>
    <row r="115" spans="1:14" x14ac:dyDescent="0.25">
      <c r="A115" s="3">
        <v>42416.571527777778</v>
      </c>
      <c r="B115" s="2">
        <f t="shared" si="8"/>
        <v>42416</v>
      </c>
      <c r="C115" t="str">
        <f t="shared" si="9"/>
        <v>February</v>
      </c>
      <c r="D115" t="str">
        <f t="shared" si="10"/>
        <v>Tuesday</v>
      </c>
      <c r="E115" t="str">
        <f t="shared" si="6"/>
        <v>01:43:00 PM</v>
      </c>
      <c r="F115" s="3">
        <v>42416.579861111109</v>
      </c>
      <c r="G115" s="4">
        <f t="shared" si="11"/>
        <v>0.57986111110949423</v>
      </c>
      <c r="H115" t="str">
        <f t="shared" si="7"/>
        <v>12 min</v>
      </c>
      <c r="I115" t="s">
        <v>2</v>
      </c>
      <c r="J115" t="s">
        <v>103</v>
      </c>
      <c r="K115" t="s">
        <v>103</v>
      </c>
      <c r="L115">
        <v>1.8</v>
      </c>
      <c r="M115" t="s">
        <v>11</v>
      </c>
      <c r="N115" t="str" cm="1">
        <f t="array" ref="N115">_xlfn.IFS(
    AND(HOUR(A115)&gt;=0, HOUR(A115)&lt;10), "Morning",
    AND(HOUR(A115)&gt;=10, HOUR(A115)&lt;15), "Afternoon",
    AND(HOUR(E115)&gt;=15, HOUR(E115)&lt;19), "Evening",
    AND(HOUR(E115)&gt;=19, HOUR(E115)&lt;=23), "Night"
)</f>
        <v>Afternoon</v>
      </c>
    </row>
    <row r="116" spans="1:14" x14ac:dyDescent="0.25">
      <c r="A116" s="3">
        <v>42416.69027777778</v>
      </c>
      <c r="B116" s="2">
        <f t="shared" si="8"/>
        <v>42416</v>
      </c>
      <c r="C116" t="str">
        <f t="shared" si="9"/>
        <v>February</v>
      </c>
      <c r="D116" t="str">
        <f t="shared" si="10"/>
        <v>Tuesday</v>
      </c>
      <c r="E116" t="str">
        <f t="shared" si="6"/>
        <v>04:34:00 PM</v>
      </c>
      <c r="F116" s="3">
        <v>42416.715277777781</v>
      </c>
      <c r="G116" s="4">
        <f t="shared" si="11"/>
        <v>0.71527777778101154</v>
      </c>
      <c r="H116" t="str">
        <f t="shared" si="7"/>
        <v>36 min</v>
      </c>
      <c r="I116" t="s">
        <v>2</v>
      </c>
      <c r="J116" t="s">
        <v>103</v>
      </c>
      <c r="K116" t="s">
        <v>103</v>
      </c>
      <c r="L116">
        <v>6</v>
      </c>
      <c r="M116" t="s">
        <v>52</v>
      </c>
      <c r="N116" t="str" cm="1">
        <f t="array" ref="N116">_xlfn.IFS(
    AND(HOUR(A116)&gt;=0, HOUR(A116)&lt;10), "Morning",
    AND(HOUR(A116)&gt;=10, HOUR(A116)&lt;15), "Afternoon",
    AND(HOUR(E116)&gt;=15, HOUR(E116)&lt;19), "Evening",
    AND(HOUR(E116)&gt;=19, HOUR(E116)&lt;=23), "Night"
)</f>
        <v>Evening</v>
      </c>
    </row>
    <row r="117" spans="1:14" x14ac:dyDescent="0.25">
      <c r="A117" s="3">
        <v>42416.720138888886</v>
      </c>
      <c r="B117" s="2">
        <f t="shared" si="8"/>
        <v>42416</v>
      </c>
      <c r="C117" t="str">
        <f t="shared" si="9"/>
        <v>February</v>
      </c>
      <c r="D117" t="str">
        <f t="shared" si="10"/>
        <v>Tuesday</v>
      </c>
      <c r="E117" t="str">
        <f t="shared" si="6"/>
        <v>05:17:00 PM</v>
      </c>
      <c r="F117" s="3">
        <v>42416.726388888892</v>
      </c>
      <c r="G117" s="4">
        <f t="shared" si="11"/>
        <v>0.72638888889196096</v>
      </c>
      <c r="H117" t="str">
        <f t="shared" si="7"/>
        <v>9 min</v>
      </c>
      <c r="I117" t="s">
        <v>2</v>
      </c>
      <c r="J117" t="s">
        <v>103</v>
      </c>
      <c r="K117" t="s">
        <v>104</v>
      </c>
      <c r="L117">
        <v>1.1000000000000001</v>
      </c>
      <c r="M117" t="s">
        <v>9</v>
      </c>
      <c r="N117" t="str" cm="1">
        <f t="array" ref="N117">_xlfn.IFS(
    AND(HOUR(A117)&gt;=0, HOUR(A117)&lt;10), "Morning",
    AND(HOUR(A117)&gt;=10, HOUR(A117)&lt;15), "Afternoon",
    AND(HOUR(E117)&gt;=15, HOUR(E117)&lt;19), "Evening",
    AND(HOUR(E117)&gt;=19, HOUR(E117)&lt;=23), "Night"
)</f>
        <v>Evening</v>
      </c>
    </row>
    <row r="118" spans="1:14" x14ac:dyDescent="0.25">
      <c r="A118" s="3">
        <v>42416.736111111109</v>
      </c>
      <c r="B118" s="2">
        <f t="shared" si="8"/>
        <v>42416</v>
      </c>
      <c r="C118" t="str">
        <f t="shared" si="9"/>
        <v>February</v>
      </c>
      <c r="D118" t="str">
        <f t="shared" si="10"/>
        <v>Tuesday</v>
      </c>
      <c r="E118" t="str">
        <f t="shared" si="6"/>
        <v>05:40:00 PM</v>
      </c>
      <c r="F118" s="3">
        <v>42416.738888888889</v>
      </c>
      <c r="G118" s="4">
        <f t="shared" si="11"/>
        <v>0.73888888888905058</v>
      </c>
      <c r="H118" t="str">
        <f t="shared" si="7"/>
        <v>4 min</v>
      </c>
      <c r="I118" t="s">
        <v>2</v>
      </c>
      <c r="J118" t="s">
        <v>104</v>
      </c>
      <c r="K118" t="s">
        <v>102</v>
      </c>
      <c r="L118">
        <v>3.6</v>
      </c>
      <c r="M118" t="s">
        <v>8</v>
      </c>
      <c r="N118" t="str" cm="1">
        <f t="array" ref="N118">_xlfn.IFS(
    AND(HOUR(A118)&gt;=0, HOUR(A118)&lt;10), "Morning",
    AND(HOUR(A118)&gt;=10, HOUR(A118)&lt;15), "Afternoon",
    AND(HOUR(E118)&gt;=15, HOUR(E118)&lt;19), "Evening",
    AND(HOUR(E118)&gt;=19, HOUR(E118)&lt;=23), "Night"
)</f>
        <v>Evening</v>
      </c>
    </row>
    <row r="119" spans="1:14" x14ac:dyDescent="0.25">
      <c r="A119" s="3">
        <v>42417.554166666669</v>
      </c>
      <c r="B119" s="2">
        <f t="shared" si="8"/>
        <v>42417</v>
      </c>
      <c r="C119" t="str">
        <f t="shared" si="9"/>
        <v>February</v>
      </c>
      <c r="D119" t="str">
        <f t="shared" si="10"/>
        <v>Wednesday</v>
      </c>
      <c r="E119" t="str">
        <f t="shared" si="6"/>
        <v>01:18:00 PM</v>
      </c>
      <c r="F119" s="3">
        <v>42417.586111111108</v>
      </c>
      <c r="G119" s="4">
        <f t="shared" si="11"/>
        <v>0.58611111110803904</v>
      </c>
      <c r="H119" t="str">
        <f t="shared" si="7"/>
        <v>46 min</v>
      </c>
      <c r="I119" t="s">
        <v>2</v>
      </c>
      <c r="J119" t="s">
        <v>102</v>
      </c>
      <c r="K119" t="s">
        <v>103</v>
      </c>
      <c r="L119">
        <v>14.7</v>
      </c>
      <c r="M119" t="s">
        <v>11</v>
      </c>
      <c r="N119" t="str" cm="1">
        <f t="array" ref="N119">_xlfn.IFS(
    AND(HOUR(A119)&gt;=0, HOUR(A119)&lt;10), "Morning",
    AND(HOUR(A119)&gt;=10, HOUR(A119)&lt;15), "Afternoon",
    AND(HOUR(E119)&gt;=15, HOUR(E119)&lt;19), "Evening",
    AND(HOUR(E119)&gt;=19, HOUR(E119)&lt;=23), "Night"
)</f>
        <v>Afternoon</v>
      </c>
    </row>
    <row r="120" spans="1:14" x14ac:dyDescent="0.25">
      <c r="A120" s="3">
        <v>42417.636805555558</v>
      </c>
      <c r="B120" s="2">
        <f t="shared" si="8"/>
        <v>42417</v>
      </c>
      <c r="C120" t="str">
        <f t="shared" si="9"/>
        <v>February</v>
      </c>
      <c r="D120" t="str">
        <f t="shared" si="10"/>
        <v>Wednesday</v>
      </c>
      <c r="E120" t="str">
        <f t="shared" si="6"/>
        <v>03:17:00 PM</v>
      </c>
      <c r="F120" s="3">
        <v>42417.640277777777</v>
      </c>
      <c r="G120" s="4">
        <f t="shared" si="11"/>
        <v>0.64027777777664596</v>
      </c>
      <c r="H120" t="str">
        <f t="shared" si="7"/>
        <v>5 min</v>
      </c>
      <c r="I120" t="s">
        <v>2</v>
      </c>
      <c r="J120" t="s">
        <v>103</v>
      </c>
      <c r="K120" t="s">
        <v>103</v>
      </c>
      <c r="L120">
        <v>1.7</v>
      </c>
      <c r="M120" t="s">
        <v>9</v>
      </c>
      <c r="N120" t="str" cm="1">
        <f t="array" ref="N120">_xlfn.IFS(
    AND(HOUR(A120)&gt;=0, HOUR(A120)&lt;10), "Morning",
    AND(HOUR(A120)&gt;=10, HOUR(A120)&lt;15), "Afternoon",
    AND(HOUR(E120)&gt;=15, HOUR(E120)&lt;19), "Evening",
    AND(HOUR(E120)&gt;=19, HOUR(E120)&lt;=23), "Night"
)</f>
        <v>Evening</v>
      </c>
    </row>
    <row r="121" spans="1:14" x14ac:dyDescent="0.25">
      <c r="A121" s="3">
        <v>42417.647916666669</v>
      </c>
      <c r="B121" s="2">
        <f t="shared" si="8"/>
        <v>42417</v>
      </c>
      <c r="C121" t="str">
        <f t="shared" si="9"/>
        <v>February</v>
      </c>
      <c r="D121" t="str">
        <f t="shared" si="10"/>
        <v>Wednesday</v>
      </c>
      <c r="E121" t="str">
        <f t="shared" si="6"/>
        <v>03:33:00 PM</v>
      </c>
      <c r="F121" s="3">
        <v>42417.678472222222</v>
      </c>
      <c r="G121" s="4">
        <f t="shared" si="11"/>
        <v>0.67847222222189885</v>
      </c>
      <c r="H121" t="str">
        <f t="shared" si="7"/>
        <v>44 min</v>
      </c>
      <c r="I121" t="s">
        <v>2</v>
      </c>
      <c r="J121" t="s">
        <v>103</v>
      </c>
      <c r="K121" t="s">
        <v>101</v>
      </c>
      <c r="L121">
        <v>21.4</v>
      </c>
      <c r="M121" t="s">
        <v>11</v>
      </c>
      <c r="N121" t="str" cm="1">
        <f t="array" ref="N121">_xlfn.IFS(
    AND(HOUR(A121)&gt;=0, HOUR(A121)&lt;10), "Morning",
    AND(HOUR(A121)&gt;=10, HOUR(A121)&lt;15), "Afternoon",
    AND(HOUR(E121)&gt;=15, HOUR(E121)&lt;19), "Evening",
    AND(HOUR(E121)&gt;=19, HOUR(E121)&lt;=23), "Night"
)</f>
        <v>Evening</v>
      </c>
    </row>
    <row r="122" spans="1:14" x14ac:dyDescent="0.25">
      <c r="A122" s="3">
        <v>42417.693055555559</v>
      </c>
      <c r="B122" s="2">
        <f t="shared" si="8"/>
        <v>42417</v>
      </c>
      <c r="C122" t="str">
        <f t="shared" si="9"/>
        <v>February</v>
      </c>
      <c r="D122" t="str">
        <f t="shared" si="10"/>
        <v>Wednesday</v>
      </c>
      <c r="E122" t="str">
        <f t="shared" si="6"/>
        <v>04:38:00 PM</v>
      </c>
      <c r="F122" s="3">
        <v>42417.696527777778</v>
      </c>
      <c r="G122" s="4">
        <f t="shared" si="11"/>
        <v>0.69652777777810115</v>
      </c>
      <c r="H122" t="str">
        <f t="shared" si="7"/>
        <v>5 min</v>
      </c>
      <c r="I122" t="s">
        <v>2</v>
      </c>
      <c r="J122" t="s">
        <v>101</v>
      </c>
      <c r="K122" t="s">
        <v>101</v>
      </c>
      <c r="L122">
        <v>0.5</v>
      </c>
      <c r="M122" t="s">
        <v>8</v>
      </c>
      <c r="N122" t="str" cm="1">
        <f t="array" ref="N122">_xlfn.IFS(
    AND(HOUR(A122)&gt;=0, HOUR(A122)&lt;10), "Morning",
    AND(HOUR(A122)&gt;=10, HOUR(A122)&lt;15), "Afternoon",
    AND(HOUR(E122)&gt;=15, HOUR(E122)&lt;19), "Evening",
    AND(HOUR(E122)&gt;=19, HOUR(E122)&lt;=23), "Night"
)</f>
        <v>Evening</v>
      </c>
    </row>
    <row r="123" spans="1:14" x14ac:dyDescent="0.25">
      <c r="A123" s="3">
        <v>42418.34652777778</v>
      </c>
      <c r="B123" s="2">
        <f t="shared" si="8"/>
        <v>42418</v>
      </c>
      <c r="C123" t="str">
        <f t="shared" si="9"/>
        <v>February</v>
      </c>
      <c r="D123" t="str">
        <f t="shared" si="10"/>
        <v>Thursday</v>
      </c>
      <c r="E123" t="str">
        <f t="shared" si="6"/>
        <v>08:19:00 AM</v>
      </c>
      <c r="F123" s="3">
        <v>42418.352083333331</v>
      </c>
      <c r="G123" s="4">
        <f t="shared" si="11"/>
        <v>0.35208333333139308</v>
      </c>
      <c r="H123" t="str">
        <f t="shared" si="7"/>
        <v>8 min</v>
      </c>
      <c r="I123" t="s">
        <v>2</v>
      </c>
      <c r="J123" t="s">
        <v>102</v>
      </c>
      <c r="K123" t="s">
        <v>102</v>
      </c>
      <c r="L123">
        <v>23.5</v>
      </c>
      <c r="M123" t="s">
        <v>11</v>
      </c>
      <c r="N123" t="str" cm="1">
        <f t="array" ref="N123">_xlfn.IFS(
    AND(HOUR(A123)&gt;=0, HOUR(A123)&lt;10), "Morning",
    AND(HOUR(A123)&gt;=10, HOUR(A123)&lt;15), "Afternoon",
    AND(HOUR(E123)&gt;=15, HOUR(E123)&lt;19), "Evening",
    AND(HOUR(E123)&gt;=19, HOUR(E123)&lt;=23), "Night"
)</f>
        <v>Morning</v>
      </c>
    </row>
    <row r="124" spans="1:14" x14ac:dyDescent="0.25">
      <c r="A124" s="3">
        <v>42418.585416666669</v>
      </c>
      <c r="B124" s="2">
        <f t="shared" si="8"/>
        <v>42418</v>
      </c>
      <c r="C124" t="str">
        <f t="shared" si="9"/>
        <v>February</v>
      </c>
      <c r="D124" t="str">
        <f t="shared" si="10"/>
        <v>Thursday</v>
      </c>
      <c r="E124" t="str">
        <f t="shared" si="6"/>
        <v>02:03:00 PM</v>
      </c>
      <c r="F124" s="3">
        <v>42418.614583333336</v>
      </c>
      <c r="G124" s="4">
        <f t="shared" si="11"/>
        <v>0.61458333333575865</v>
      </c>
      <c r="H124" t="str">
        <f t="shared" si="7"/>
        <v>42 min</v>
      </c>
      <c r="I124" t="s">
        <v>2</v>
      </c>
      <c r="J124" t="s">
        <v>102</v>
      </c>
      <c r="K124" t="s">
        <v>105</v>
      </c>
      <c r="L124">
        <v>12.7</v>
      </c>
      <c r="M124" t="s">
        <v>11</v>
      </c>
      <c r="N124" t="str" cm="1">
        <f t="array" ref="N124">_xlfn.IFS(
    AND(HOUR(A124)&gt;=0, HOUR(A124)&lt;10), "Morning",
    AND(HOUR(A124)&gt;=10, HOUR(A124)&lt;15), "Afternoon",
    AND(HOUR(E124)&gt;=15, HOUR(E124)&lt;19), "Evening",
    AND(HOUR(E124)&gt;=19, HOUR(E124)&lt;=23), "Night"
)</f>
        <v>Afternoon</v>
      </c>
    </row>
    <row r="125" spans="1:14" x14ac:dyDescent="0.25">
      <c r="A125" s="3">
        <v>42418.636111111111</v>
      </c>
      <c r="B125" s="2">
        <f t="shared" si="8"/>
        <v>42418</v>
      </c>
      <c r="C125" t="str">
        <f t="shared" si="9"/>
        <v>February</v>
      </c>
      <c r="D125" t="str">
        <f t="shared" si="10"/>
        <v>Thursday</v>
      </c>
      <c r="E125" t="str">
        <f t="shared" si="6"/>
        <v>03:16:00 PM</v>
      </c>
      <c r="F125" s="3">
        <v>42418.646527777775</v>
      </c>
      <c r="G125" s="4">
        <f t="shared" si="11"/>
        <v>0.64652777777519077</v>
      </c>
      <c r="H125" t="str">
        <f t="shared" si="7"/>
        <v>15 min</v>
      </c>
      <c r="I125" t="s">
        <v>2</v>
      </c>
      <c r="J125" t="s">
        <v>105</v>
      </c>
      <c r="K125" t="s">
        <v>102</v>
      </c>
      <c r="L125">
        <v>6</v>
      </c>
      <c r="M125" t="s">
        <v>11</v>
      </c>
      <c r="N125" t="str" cm="1">
        <f t="array" ref="N125">_xlfn.IFS(
    AND(HOUR(A125)&gt;=0, HOUR(A125)&lt;10), "Morning",
    AND(HOUR(A125)&gt;=10, HOUR(A125)&lt;15), "Afternoon",
    AND(HOUR(E125)&gt;=15, HOUR(E125)&lt;19), "Evening",
    AND(HOUR(E125)&gt;=19, HOUR(E125)&lt;=23), "Night"
)</f>
        <v>Evening</v>
      </c>
    </row>
    <row r="126" spans="1:14" x14ac:dyDescent="0.25">
      <c r="A126" s="3">
        <v>42418.780555555553</v>
      </c>
      <c r="B126" s="2">
        <f t="shared" si="8"/>
        <v>42418</v>
      </c>
      <c r="C126" t="str">
        <f t="shared" si="9"/>
        <v>February</v>
      </c>
      <c r="D126" t="str">
        <f t="shared" si="10"/>
        <v>Thursday</v>
      </c>
      <c r="E126" t="str">
        <f t="shared" si="6"/>
        <v>06:44:00 PM</v>
      </c>
      <c r="F126" s="3">
        <v>42418.790277777778</v>
      </c>
      <c r="G126" s="4">
        <f t="shared" si="11"/>
        <v>0.79027777777810115</v>
      </c>
      <c r="H126" t="str">
        <f t="shared" si="7"/>
        <v>14 min</v>
      </c>
      <c r="I126" t="s">
        <v>2</v>
      </c>
      <c r="J126" t="s">
        <v>102</v>
      </c>
      <c r="K126" t="s">
        <v>105</v>
      </c>
      <c r="L126">
        <v>5.2</v>
      </c>
      <c r="M126" t="s">
        <v>7</v>
      </c>
      <c r="N126" t="str" cm="1">
        <f t="array" ref="N126">_xlfn.IFS(
    AND(HOUR(A126)&gt;=0, HOUR(A126)&lt;10), "Morning",
    AND(HOUR(A126)&gt;=10, HOUR(A126)&lt;15), "Afternoon",
    AND(HOUR(E126)&gt;=15, HOUR(E126)&lt;19), "Evening",
    AND(HOUR(E126)&gt;=19, HOUR(E126)&lt;=23), "Night"
)</f>
        <v>Evening</v>
      </c>
    </row>
    <row r="127" spans="1:14" x14ac:dyDescent="0.25">
      <c r="A127" s="3">
        <v>42418.810416666667</v>
      </c>
      <c r="B127" s="2">
        <f t="shared" si="8"/>
        <v>42418</v>
      </c>
      <c r="C127" t="str">
        <f t="shared" si="9"/>
        <v>February</v>
      </c>
      <c r="D127" t="str">
        <f t="shared" si="10"/>
        <v>Thursday</v>
      </c>
      <c r="E127" t="str">
        <f t="shared" si="6"/>
        <v>07:27:00 PM</v>
      </c>
      <c r="F127" s="3">
        <v>42418.838888888888</v>
      </c>
      <c r="G127" s="4">
        <f t="shared" si="11"/>
        <v>0.83888888888759539</v>
      </c>
      <c r="H127" t="str">
        <f t="shared" si="7"/>
        <v>41 min</v>
      </c>
      <c r="I127" t="s">
        <v>2</v>
      </c>
      <c r="J127" t="s">
        <v>105</v>
      </c>
      <c r="K127" t="s">
        <v>102</v>
      </c>
      <c r="L127">
        <v>10</v>
      </c>
      <c r="M127" t="s">
        <v>10</v>
      </c>
      <c r="N127" t="str" cm="1">
        <f t="array" ref="N127">_xlfn.IFS(
    AND(HOUR(A127)&gt;=0, HOUR(A127)&lt;10), "Morning",
    AND(HOUR(A127)&gt;=10, HOUR(A127)&lt;15), "Afternoon",
    AND(HOUR(E127)&gt;=15, HOUR(E127)&lt;19), "Evening",
    AND(HOUR(E127)&gt;=19, HOUR(E127)&lt;=23), "Night"
)</f>
        <v>Night</v>
      </c>
    </row>
    <row r="128" spans="1:14" x14ac:dyDescent="0.25">
      <c r="A128" s="3">
        <v>42419.376388888886</v>
      </c>
      <c r="B128" s="2">
        <f t="shared" si="8"/>
        <v>42419</v>
      </c>
      <c r="C128" t="str">
        <f t="shared" si="9"/>
        <v>February</v>
      </c>
      <c r="D128" t="str">
        <f t="shared" si="10"/>
        <v>Friday</v>
      </c>
      <c r="E128" t="str">
        <f t="shared" si="6"/>
        <v>09:02:00 AM</v>
      </c>
      <c r="F128" s="3">
        <v>42419.384722222225</v>
      </c>
      <c r="G128" s="4">
        <f t="shared" si="11"/>
        <v>0.38472222222480923</v>
      </c>
      <c r="H128" t="str">
        <f t="shared" si="7"/>
        <v>12 min</v>
      </c>
      <c r="I128" t="s">
        <v>2</v>
      </c>
      <c r="J128" t="s">
        <v>102</v>
      </c>
      <c r="K128" t="s">
        <v>102</v>
      </c>
      <c r="L128">
        <v>18.3</v>
      </c>
      <c r="M128" t="s">
        <v>10</v>
      </c>
      <c r="N128" t="str" cm="1">
        <f t="array" ref="N128">_xlfn.IFS(
    AND(HOUR(A128)&gt;=0, HOUR(A128)&lt;10), "Morning",
    AND(HOUR(A128)&gt;=10, HOUR(A128)&lt;15), "Afternoon",
    AND(HOUR(E128)&gt;=15, HOUR(E128)&lt;19), "Evening",
    AND(HOUR(E128)&gt;=19, HOUR(E128)&lt;=23), "Night"
)</f>
        <v>Morning</v>
      </c>
    </row>
    <row r="129" spans="1:14" x14ac:dyDescent="0.25">
      <c r="A129" s="3">
        <v>42419.38958333333</v>
      </c>
      <c r="B129" s="2">
        <f t="shared" si="8"/>
        <v>42419</v>
      </c>
      <c r="C129" t="str">
        <f t="shared" si="9"/>
        <v>February</v>
      </c>
      <c r="D129" t="str">
        <f t="shared" si="10"/>
        <v>Friday</v>
      </c>
      <c r="E129" t="str">
        <f t="shared" si="6"/>
        <v>09:21:00 AM</v>
      </c>
      <c r="F129" s="3">
        <v>42419.410416666666</v>
      </c>
      <c r="G129" s="4">
        <f t="shared" si="11"/>
        <v>0.41041666666569654</v>
      </c>
      <c r="H129" t="str">
        <f t="shared" si="7"/>
        <v>30 min</v>
      </c>
      <c r="I129" t="s">
        <v>2</v>
      </c>
      <c r="J129" t="s">
        <v>102</v>
      </c>
      <c r="K129" t="s">
        <v>102</v>
      </c>
      <c r="L129">
        <v>11.2</v>
      </c>
      <c r="M129" t="s">
        <v>10</v>
      </c>
      <c r="N129" t="str" cm="1">
        <f t="array" ref="N129">_xlfn.IFS(
    AND(HOUR(A129)&gt;=0, HOUR(A129)&lt;10), "Morning",
    AND(HOUR(A129)&gt;=10, HOUR(A129)&lt;15), "Afternoon",
    AND(HOUR(E129)&gt;=15, HOUR(E129)&lt;19), "Evening",
    AND(HOUR(E129)&gt;=19, HOUR(E129)&lt;=23), "Night"
)</f>
        <v>Morning</v>
      </c>
    </row>
    <row r="130" spans="1:14" x14ac:dyDescent="0.25">
      <c r="A130" s="3">
        <v>42419.431250000001</v>
      </c>
      <c r="B130" s="2">
        <f t="shared" si="8"/>
        <v>42419</v>
      </c>
      <c r="C130" t="str">
        <f t="shared" si="9"/>
        <v>February</v>
      </c>
      <c r="D130" t="str">
        <f t="shared" si="10"/>
        <v>Friday</v>
      </c>
      <c r="E130" t="str">
        <f t="shared" ref="E130:E193" si="12">TEXT(A130, "hh:mm:ss AM/PM")</f>
        <v>10:21:00 AM</v>
      </c>
      <c r="F130" s="3">
        <v>42419.45</v>
      </c>
      <c r="G130" s="4">
        <f t="shared" si="11"/>
        <v>0.44999999999708962</v>
      </c>
      <c r="H130" t="str">
        <f t="shared" ref="H130:H193" si="13">HOUR(IF(G130&lt;E130, G130+1-E130, G130-E130))*60 + MINUTE(IF(G130&lt;E130, G130+1-E130, G130-E130)) &amp; " min"</f>
        <v>27 min</v>
      </c>
      <c r="I130" t="s">
        <v>2</v>
      </c>
      <c r="J130" t="s">
        <v>102</v>
      </c>
      <c r="K130" t="s">
        <v>105</v>
      </c>
      <c r="L130">
        <v>7.6</v>
      </c>
      <c r="M130" t="s">
        <v>10</v>
      </c>
      <c r="N130" t="str" cm="1">
        <f t="array" ref="N130">_xlfn.IFS(
    AND(HOUR(A130)&gt;=0, HOUR(A130)&lt;10), "Morning",
    AND(HOUR(A130)&gt;=10, HOUR(A130)&lt;15), "Afternoon",
    AND(HOUR(E130)&gt;=15, HOUR(E130)&lt;19), "Evening",
    AND(HOUR(E130)&gt;=19, HOUR(E130)&lt;=23), "Night"
)</f>
        <v>Afternoon</v>
      </c>
    </row>
    <row r="131" spans="1:14" x14ac:dyDescent="0.25">
      <c r="A131" s="3">
        <v>42419.472222222219</v>
      </c>
      <c r="B131" s="2">
        <f t="shared" ref="B131:B194" si="14">INT(A131)</f>
        <v>42419</v>
      </c>
      <c r="C131" t="str">
        <f t="shared" ref="C131:C194" si="15">TEXT(B131, "mmmm")</f>
        <v>February</v>
      </c>
      <c r="D131" t="str">
        <f t="shared" ref="D131:D194" si="16">TEXT(B131, "dddd")</f>
        <v>Friday</v>
      </c>
      <c r="E131" t="str">
        <f t="shared" si="12"/>
        <v>11:20:00 AM</v>
      </c>
      <c r="F131" s="3">
        <v>42419.476388888892</v>
      </c>
      <c r="G131" s="4">
        <f t="shared" ref="G131:G194" si="17">F131-INT(F131)</f>
        <v>0.47638888889196096</v>
      </c>
      <c r="H131" t="str">
        <f t="shared" si="13"/>
        <v>6 min</v>
      </c>
      <c r="I131" t="s">
        <v>3</v>
      </c>
      <c r="J131" t="s">
        <v>105</v>
      </c>
      <c r="K131" t="s">
        <v>105</v>
      </c>
      <c r="L131">
        <v>1.5</v>
      </c>
      <c r="M131" t="s">
        <v>52</v>
      </c>
      <c r="N131" t="str" cm="1">
        <f t="array" ref="N131">_xlfn.IFS(
    AND(HOUR(A131)&gt;=0, HOUR(A131)&lt;10), "Morning",
    AND(HOUR(A131)&gt;=10, HOUR(A131)&lt;15), "Afternoon",
    AND(HOUR(E131)&gt;=15, HOUR(E131)&lt;19), "Evening",
    AND(HOUR(E131)&gt;=19, HOUR(E131)&lt;=23), "Night"
)</f>
        <v>Afternoon</v>
      </c>
    </row>
    <row r="132" spans="1:14" x14ac:dyDescent="0.25">
      <c r="A132" s="3">
        <v>42419.489583333336</v>
      </c>
      <c r="B132" s="2">
        <f t="shared" si="14"/>
        <v>42419</v>
      </c>
      <c r="C132" t="str">
        <f t="shared" si="15"/>
        <v>February</v>
      </c>
      <c r="D132" t="str">
        <f t="shared" si="16"/>
        <v>Friday</v>
      </c>
      <c r="E132" t="str">
        <f t="shared" si="12"/>
        <v>11:45:00 AM</v>
      </c>
      <c r="F132" s="3">
        <v>42419.493055555555</v>
      </c>
      <c r="G132" s="4">
        <f t="shared" si="17"/>
        <v>0.49305555555474712</v>
      </c>
      <c r="H132" t="str">
        <f t="shared" si="13"/>
        <v>5 min</v>
      </c>
      <c r="I132" t="s">
        <v>3</v>
      </c>
      <c r="J132" t="s">
        <v>105</v>
      </c>
      <c r="K132" t="s">
        <v>105</v>
      </c>
      <c r="L132">
        <v>1</v>
      </c>
      <c r="M132" t="s">
        <v>52</v>
      </c>
      <c r="N132" t="str" cm="1">
        <f t="array" ref="N132">_xlfn.IFS(
    AND(HOUR(A132)&gt;=0, HOUR(A132)&lt;10), "Morning",
    AND(HOUR(A132)&gt;=10, HOUR(A132)&lt;15), "Afternoon",
    AND(HOUR(E132)&gt;=15, HOUR(E132)&lt;19), "Evening",
    AND(HOUR(E132)&gt;=19, HOUR(E132)&lt;=23), "Night"
)</f>
        <v>Afternoon</v>
      </c>
    </row>
    <row r="133" spans="1:14" x14ac:dyDescent="0.25">
      <c r="A133" s="3">
        <v>42419.506249999999</v>
      </c>
      <c r="B133" s="2">
        <f t="shared" si="14"/>
        <v>42419</v>
      </c>
      <c r="C133" t="str">
        <f t="shared" si="15"/>
        <v>February</v>
      </c>
      <c r="D133" t="str">
        <f t="shared" si="16"/>
        <v>Friday</v>
      </c>
      <c r="E133" t="str">
        <f t="shared" si="12"/>
        <v>12:09:00 PM</v>
      </c>
      <c r="F133" s="3">
        <v>42419.518750000003</v>
      </c>
      <c r="G133" s="4">
        <f t="shared" si="17"/>
        <v>0.51875000000291038</v>
      </c>
      <c r="H133" t="str">
        <f t="shared" si="13"/>
        <v>18 min</v>
      </c>
      <c r="I133" t="s">
        <v>2</v>
      </c>
      <c r="J133" t="s">
        <v>105</v>
      </c>
      <c r="K133" t="s">
        <v>102</v>
      </c>
      <c r="L133">
        <v>7.3</v>
      </c>
      <c r="M133" t="s">
        <v>11</v>
      </c>
      <c r="N133" t="str" cm="1">
        <f t="array" ref="N133">_xlfn.IFS(
    AND(HOUR(A133)&gt;=0, HOUR(A133)&lt;10), "Morning",
    AND(HOUR(A133)&gt;=10, HOUR(A133)&lt;15), "Afternoon",
    AND(HOUR(E133)&gt;=15, HOUR(E133)&lt;19), "Evening",
    AND(HOUR(E133)&gt;=19, HOUR(E133)&lt;=23), "Night"
)</f>
        <v>Afternoon</v>
      </c>
    </row>
    <row r="134" spans="1:14" x14ac:dyDescent="0.25">
      <c r="A134" s="3">
        <v>42419.68472222222</v>
      </c>
      <c r="B134" s="2">
        <f t="shared" si="14"/>
        <v>42419</v>
      </c>
      <c r="C134" t="str">
        <f t="shared" si="15"/>
        <v>February</v>
      </c>
      <c r="D134" t="str">
        <f t="shared" si="16"/>
        <v>Friday</v>
      </c>
      <c r="E134" t="str">
        <f t="shared" si="12"/>
        <v>04:26:00 PM</v>
      </c>
      <c r="F134" s="3">
        <v>42419.697916666664</v>
      </c>
      <c r="G134" s="4">
        <f t="shared" si="17"/>
        <v>0.69791666666424135</v>
      </c>
      <c r="H134" t="str">
        <f t="shared" si="13"/>
        <v>19 min</v>
      </c>
      <c r="I134" t="s">
        <v>2</v>
      </c>
      <c r="J134" t="s">
        <v>102</v>
      </c>
      <c r="K134" t="s">
        <v>105</v>
      </c>
      <c r="L134">
        <v>3.5</v>
      </c>
      <c r="M134" t="s">
        <v>52</v>
      </c>
      <c r="N134" t="str" cm="1">
        <f t="array" ref="N134">_xlfn.IFS(
    AND(HOUR(A134)&gt;=0, HOUR(A134)&lt;10), "Morning",
    AND(HOUR(A134)&gt;=10, HOUR(A134)&lt;15), "Afternoon",
    AND(HOUR(E134)&gt;=15, HOUR(E134)&lt;19), "Evening",
    AND(HOUR(E134)&gt;=19, HOUR(E134)&lt;=23), "Night"
)</f>
        <v>Evening</v>
      </c>
    </row>
    <row r="135" spans="1:14" x14ac:dyDescent="0.25">
      <c r="A135" s="3">
        <v>42419.714583333334</v>
      </c>
      <c r="B135" s="2">
        <f t="shared" si="14"/>
        <v>42419</v>
      </c>
      <c r="C135" t="str">
        <f t="shared" si="15"/>
        <v>February</v>
      </c>
      <c r="D135" t="str">
        <f t="shared" si="16"/>
        <v>Friday</v>
      </c>
      <c r="E135" t="str">
        <f t="shared" si="12"/>
        <v>05:09:00 PM</v>
      </c>
      <c r="F135" s="3">
        <v>42419.722222222219</v>
      </c>
      <c r="G135" s="4">
        <f t="shared" si="17"/>
        <v>0.72222222221898846</v>
      </c>
      <c r="H135" t="str">
        <f t="shared" si="13"/>
        <v>11 min</v>
      </c>
      <c r="I135" t="s">
        <v>2</v>
      </c>
      <c r="J135" t="s">
        <v>105</v>
      </c>
      <c r="K135" t="s">
        <v>105</v>
      </c>
      <c r="L135">
        <v>4.2</v>
      </c>
      <c r="M135" t="s">
        <v>52</v>
      </c>
      <c r="N135" t="str" cm="1">
        <f t="array" ref="N135">_xlfn.IFS(
    AND(HOUR(A135)&gt;=0, HOUR(A135)&lt;10), "Morning",
    AND(HOUR(A135)&gt;=10, HOUR(A135)&lt;15), "Afternoon",
    AND(HOUR(E135)&gt;=15, HOUR(E135)&lt;19), "Evening",
    AND(HOUR(E135)&gt;=19, HOUR(E135)&lt;=23), "Night"
)</f>
        <v>Evening</v>
      </c>
    </row>
    <row r="136" spans="1:14" x14ac:dyDescent="0.25">
      <c r="A136" s="3">
        <v>42419.838888888888</v>
      </c>
      <c r="B136" s="2">
        <f t="shared" si="14"/>
        <v>42419</v>
      </c>
      <c r="C136" t="str">
        <f t="shared" si="15"/>
        <v>February</v>
      </c>
      <c r="D136" t="str">
        <f t="shared" si="16"/>
        <v>Friday</v>
      </c>
      <c r="E136" t="str">
        <f t="shared" si="12"/>
        <v>08:08:00 PM</v>
      </c>
      <c r="F136" s="3">
        <v>42419.854166666664</v>
      </c>
      <c r="G136" s="4">
        <f t="shared" si="17"/>
        <v>0.85416666666424135</v>
      </c>
      <c r="H136" t="str">
        <f t="shared" si="13"/>
        <v>22 min</v>
      </c>
      <c r="I136" t="s">
        <v>3</v>
      </c>
      <c r="J136" t="s">
        <v>105</v>
      </c>
      <c r="K136" t="s">
        <v>102</v>
      </c>
      <c r="L136">
        <v>13.6</v>
      </c>
      <c r="M136" t="s">
        <v>52</v>
      </c>
      <c r="N136" t="str" cm="1">
        <f t="array" ref="N136">_xlfn.IFS(
    AND(HOUR(A136)&gt;=0, HOUR(A136)&lt;10), "Morning",
    AND(HOUR(A136)&gt;=10, HOUR(A136)&lt;15), "Afternoon",
    AND(HOUR(E136)&gt;=15, HOUR(E136)&lt;19), "Evening",
    AND(HOUR(E136)&gt;=19, HOUR(E136)&lt;=23), "Night"
)</f>
        <v>Night</v>
      </c>
    </row>
    <row r="137" spans="1:14" x14ac:dyDescent="0.25">
      <c r="A137" s="3">
        <v>42419.856944444444</v>
      </c>
      <c r="B137" s="2">
        <f t="shared" si="14"/>
        <v>42419</v>
      </c>
      <c r="C137" t="str">
        <f t="shared" si="15"/>
        <v>February</v>
      </c>
      <c r="D137" t="str">
        <f t="shared" si="16"/>
        <v>Friday</v>
      </c>
      <c r="E137" t="str">
        <f t="shared" si="12"/>
        <v>08:34:00 PM</v>
      </c>
      <c r="F137" s="3">
        <v>42419.868750000001</v>
      </c>
      <c r="G137" s="4">
        <f t="shared" si="17"/>
        <v>0.86875000000145519</v>
      </c>
      <c r="H137" t="str">
        <f t="shared" si="13"/>
        <v>17 min</v>
      </c>
      <c r="I137" t="s">
        <v>3</v>
      </c>
      <c r="J137" t="s">
        <v>102</v>
      </c>
      <c r="K137" t="s">
        <v>102</v>
      </c>
      <c r="L137">
        <v>2.5</v>
      </c>
      <c r="M137" t="s">
        <v>52</v>
      </c>
      <c r="N137" t="str" cm="1">
        <f t="array" ref="N137">_xlfn.IFS(
    AND(HOUR(A137)&gt;=0, HOUR(A137)&lt;10), "Morning",
    AND(HOUR(A137)&gt;=10, HOUR(A137)&lt;15), "Afternoon",
    AND(HOUR(E137)&gt;=15, HOUR(E137)&lt;19), "Evening",
    AND(HOUR(E137)&gt;=19, HOUR(E137)&lt;=23), "Night"
)</f>
        <v>Night</v>
      </c>
    </row>
    <row r="138" spans="1:14" x14ac:dyDescent="0.25">
      <c r="A138" s="3">
        <v>42420.332638888889</v>
      </c>
      <c r="B138" s="2">
        <f t="shared" si="14"/>
        <v>42420</v>
      </c>
      <c r="C138" t="str">
        <f t="shared" si="15"/>
        <v>February</v>
      </c>
      <c r="D138" t="str">
        <f t="shared" si="16"/>
        <v>Saturday</v>
      </c>
      <c r="E138" t="str">
        <f t="shared" si="12"/>
        <v>07:59:00 AM</v>
      </c>
      <c r="F138" s="3">
        <v>42420.355555555558</v>
      </c>
      <c r="G138" s="4">
        <f t="shared" si="17"/>
        <v>0.3555555555576575</v>
      </c>
      <c r="H138" t="str">
        <f t="shared" si="13"/>
        <v>33 min</v>
      </c>
      <c r="I138" t="s">
        <v>3</v>
      </c>
      <c r="J138" t="s">
        <v>102</v>
      </c>
      <c r="K138" t="s">
        <v>105</v>
      </c>
      <c r="L138">
        <v>14.4</v>
      </c>
      <c r="M138" t="s">
        <v>52</v>
      </c>
      <c r="N138" t="str" cm="1">
        <f t="array" ref="N138">_xlfn.IFS(
    AND(HOUR(A138)&gt;=0, HOUR(A138)&lt;10), "Morning",
    AND(HOUR(A138)&gt;=10, HOUR(A138)&lt;15), "Afternoon",
    AND(HOUR(E138)&gt;=15, HOUR(E138)&lt;19), "Evening",
    AND(HOUR(E138)&gt;=19, HOUR(E138)&lt;=23), "Night"
)</f>
        <v>Morning</v>
      </c>
    </row>
    <row r="139" spans="1:14" x14ac:dyDescent="0.25">
      <c r="A139" s="3">
        <v>42420.45</v>
      </c>
      <c r="B139" s="2">
        <f t="shared" si="14"/>
        <v>42420</v>
      </c>
      <c r="C139" t="str">
        <f t="shared" si="15"/>
        <v>February</v>
      </c>
      <c r="D139" t="str">
        <f t="shared" si="16"/>
        <v>Saturday</v>
      </c>
      <c r="E139" t="str">
        <f t="shared" si="12"/>
        <v>10:48:00 AM</v>
      </c>
      <c r="F139" s="3">
        <v>42420.455555555556</v>
      </c>
      <c r="G139" s="4">
        <f t="shared" si="17"/>
        <v>0.45555555555620231</v>
      </c>
      <c r="H139" t="str">
        <f t="shared" si="13"/>
        <v>8 min</v>
      </c>
      <c r="I139" t="s">
        <v>3</v>
      </c>
      <c r="J139" t="s">
        <v>105</v>
      </c>
      <c r="K139" t="s">
        <v>105</v>
      </c>
      <c r="L139">
        <v>3</v>
      </c>
      <c r="M139" t="s">
        <v>52</v>
      </c>
      <c r="N139" t="str" cm="1">
        <f t="array" ref="N139">_xlfn.IFS(
    AND(HOUR(A139)&gt;=0, HOUR(A139)&lt;10), "Morning",
    AND(HOUR(A139)&gt;=10, HOUR(A139)&lt;15), "Afternoon",
    AND(HOUR(E139)&gt;=15, HOUR(E139)&lt;19), "Evening",
    AND(HOUR(E139)&gt;=19, HOUR(E139)&lt;=23), "Night"
)</f>
        <v>Afternoon</v>
      </c>
    </row>
    <row r="140" spans="1:14" x14ac:dyDescent="0.25">
      <c r="A140" s="3">
        <v>42420.489583333336</v>
      </c>
      <c r="B140" s="2">
        <f t="shared" si="14"/>
        <v>42420</v>
      </c>
      <c r="C140" t="str">
        <f t="shared" si="15"/>
        <v>February</v>
      </c>
      <c r="D140" t="str">
        <f t="shared" si="16"/>
        <v>Saturday</v>
      </c>
      <c r="E140" t="str">
        <f t="shared" si="12"/>
        <v>11:45:00 AM</v>
      </c>
      <c r="F140" s="3">
        <v>42420.495138888888</v>
      </c>
      <c r="G140" s="4">
        <f t="shared" si="17"/>
        <v>0.49513888888759539</v>
      </c>
      <c r="H140" t="str">
        <f t="shared" si="13"/>
        <v>8 min</v>
      </c>
      <c r="I140" t="s">
        <v>3</v>
      </c>
      <c r="J140" t="s">
        <v>105</v>
      </c>
      <c r="K140" t="s">
        <v>105</v>
      </c>
      <c r="L140">
        <v>1.5</v>
      </c>
      <c r="M140" t="s">
        <v>52</v>
      </c>
      <c r="N140" t="str" cm="1">
        <f t="array" ref="N140">_xlfn.IFS(
    AND(HOUR(A140)&gt;=0, HOUR(A140)&lt;10), "Morning",
    AND(HOUR(A140)&gt;=10, HOUR(A140)&lt;15), "Afternoon",
    AND(HOUR(E140)&gt;=15, HOUR(E140)&lt;19), "Evening",
    AND(HOUR(E140)&gt;=19, HOUR(E140)&lt;=23), "Night"
)</f>
        <v>Afternoon</v>
      </c>
    </row>
    <row r="141" spans="1:14" x14ac:dyDescent="0.25">
      <c r="A141" s="3">
        <v>42420.52847222222</v>
      </c>
      <c r="B141" s="2">
        <f t="shared" si="14"/>
        <v>42420</v>
      </c>
      <c r="C141" t="str">
        <f t="shared" si="15"/>
        <v>February</v>
      </c>
      <c r="D141" t="str">
        <f t="shared" si="16"/>
        <v>Saturday</v>
      </c>
      <c r="E141" t="str">
        <f t="shared" si="12"/>
        <v>12:41:00 PM</v>
      </c>
      <c r="F141" s="3">
        <v>42420.553472222222</v>
      </c>
      <c r="G141" s="4">
        <f t="shared" si="17"/>
        <v>0.55347222222189885</v>
      </c>
      <c r="H141" t="str">
        <f t="shared" si="13"/>
        <v>36 min</v>
      </c>
      <c r="I141" t="s">
        <v>2</v>
      </c>
      <c r="J141" t="s">
        <v>105</v>
      </c>
      <c r="K141" t="s">
        <v>106</v>
      </c>
      <c r="L141">
        <v>18.399999999999999</v>
      </c>
      <c r="M141" t="s">
        <v>52</v>
      </c>
      <c r="N141" t="str" cm="1">
        <f t="array" ref="N141">_xlfn.IFS(
    AND(HOUR(A141)&gt;=0, HOUR(A141)&lt;10), "Morning",
    AND(HOUR(A141)&gt;=10, HOUR(A141)&lt;15), "Afternoon",
    AND(HOUR(E141)&gt;=15, HOUR(E141)&lt;19), "Evening",
    AND(HOUR(E141)&gt;=19, HOUR(E141)&lt;=23), "Night"
)</f>
        <v>Afternoon</v>
      </c>
    </row>
    <row r="142" spans="1:14" x14ac:dyDescent="0.25">
      <c r="A142" s="3">
        <v>42420.618055555555</v>
      </c>
      <c r="B142" s="2">
        <f t="shared" si="14"/>
        <v>42420</v>
      </c>
      <c r="C142" t="str">
        <f t="shared" si="15"/>
        <v>February</v>
      </c>
      <c r="D142" t="str">
        <f t="shared" si="16"/>
        <v>Saturday</v>
      </c>
      <c r="E142" t="str">
        <f t="shared" si="12"/>
        <v>02:50:00 PM</v>
      </c>
      <c r="F142" s="3">
        <v>42420.662499999999</v>
      </c>
      <c r="G142" s="4">
        <f t="shared" si="17"/>
        <v>0.66249999999854481</v>
      </c>
      <c r="H142" t="str">
        <f t="shared" si="13"/>
        <v>64 min</v>
      </c>
      <c r="I142" t="s">
        <v>2</v>
      </c>
      <c r="J142" t="s">
        <v>106</v>
      </c>
      <c r="K142" t="s">
        <v>106</v>
      </c>
      <c r="L142">
        <v>23.1</v>
      </c>
      <c r="M142" t="s">
        <v>10</v>
      </c>
      <c r="N142" t="str" cm="1">
        <f t="array" ref="N142">_xlfn.IFS(
    AND(HOUR(A142)&gt;=0, HOUR(A142)&lt;10), "Morning",
    AND(HOUR(A142)&gt;=10, HOUR(A142)&lt;15), "Afternoon",
    AND(HOUR(E142)&gt;=15, HOUR(E142)&lt;19), "Evening",
    AND(HOUR(E142)&gt;=19, HOUR(E142)&lt;=23), "Night"
)</f>
        <v>Afternoon</v>
      </c>
    </row>
    <row r="143" spans="1:14" x14ac:dyDescent="0.25">
      <c r="A143" s="3">
        <v>42420.707638888889</v>
      </c>
      <c r="B143" s="2">
        <f t="shared" si="14"/>
        <v>42420</v>
      </c>
      <c r="C143" t="str">
        <f t="shared" si="15"/>
        <v>February</v>
      </c>
      <c r="D143" t="str">
        <f t="shared" si="16"/>
        <v>Saturday</v>
      </c>
      <c r="E143" t="str">
        <f t="shared" si="12"/>
        <v>04:59:00 PM</v>
      </c>
      <c r="F143" s="3">
        <v>42420.745833333334</v>
      </c>
      <c r="G143" s="4">
        <f t="shared" si="17"/>
        <v>0.74583333333430346</v>
      </c>
      <c r="H143" t="str">
        <f t="shared" si="13"/>
        <v>55 min</v>
      </c>
      <c r="I143" t="s">
        <v>3</v>
      </c>
      <c r="J143" t="s">
        <v>106</v>
      </c>
      <c r="K143" t="s">
        <v>102</v>
      </c>
      <c r="L143">
        <v>16.5</v>
      </c>
      <c r="M143" t="s">
        <v>52</v>
      </c>
      <c r="N143" t="str" cm="1">
        <f t="array" ref="N143">_xlfn.IFS(
    AND(HOUR(A143)&gt;=0, HOUR(A143)&lt;10), "Morning",
    AND(HOUR(A143)&gt;=10, HOUR(A143)&lt;15), "Afternoon",
    AND(HOUR(E143)&gt;=15, HOUR(E143)&lt;19), "Evening",
    AND(HOUR(E143)&gt;=19, HOUR(E143)&lt;=23), "Night"
)</f>
        <v>Evening</v>
      </c>
    </row>
    <row r="144" spans="1:14" x14ac:dyDescent="0.25">
      <c r="A144" s="3">
        <v>42420.75</v>
      </c>
      <c r="B144" s="2">
        <f t="shared" si="14"/>
        <v>42420</v>
      </c>
      <c r="C144" t="str">
        <f t="shared" si="15"/>
        <v>February</v>
      </c>
      <c r="D144" t="str">
        <f t="shared" si="16"/>
        <v>Saturday</v>
      </c>
      <c r="E144" t="str">
        <f t="shared" si="12"/>
        <v>06:00:00 PM</v>
      </c>
      <c r="F144" s="3">
        <v>42420.752083333333</v>
      </c>
      <c r="G144" s="4">
        <f t="shared" si="17"/>
        <v>0.75208333333284827</v>
      </c>
      <c r="H144" t="str">
        <f t="shared" si="13"/>
        <v>3 min</v>
      </c>
      <c r="I144" t="s">
        <v>2</v>
      </c>
      <c r="J144" t="s">
        <v>102</v>
      </c>
      <c r="K144" t="s">
        <v>102</v>
      </c>
      <c r="L144">
        <v>3.2</v>
      </c>
      <c r="M144" t="s">
        <v>8</v>
      </c>
      <c r="N144" t="str" cm="1">
        <f t="array" ref="N144">_xlfn.IFS(
    AND(HOUR(A144)&gt;=0, HOUR(A144)&lt;10), "Morning",
    AND(HOUR(A144)&gt;=10, HOUR(A144)&lt;15), "Afternoon",
    AND(HOUR(E144)&gt;=15, HOUR(E144)&lt;19), "Evening",
    AND(HOUR(E144)&gt;=19, HOUR(E144)&lt;=23), "Night"
)</f>
        <v>Evening</v>
      </c>
    </row>
    <row r="145" spans="1:14" x14ac:dyDescent="0.25">
      <c r="A145" s="3">
        <v>42420.811111111114</v>
      </c>
      <c r="B145" s="2">
        <f t="shared" si="14"/>
        <v>42420</v>
      </c>
      <c r="C145" t="str">
        <f t="shared" si="15"/>
        <v>February</v>
      </c>
      <c r="D145" t="str">
        <f t="shared" si="16"/>
        <v>Saturday</v>
      </c>
      <c r="E145" t="str">
        <f t="shared" si="12"/>
        <v>07:28:00 PM</v>
      </c>
      <c r="F145" s="3">
        <v>42420.825694444444</v>
      </c>
      <c r="G145" s="4">
        <f t="shared" si="17"/>
        <v>0.82569444444379769</v>
      </c>
      <c r="H145" t="str">
        <f t="shared" si="13"/>
        <v>21 min</v>
      </c>
      <c r="I145" t="s">
        <v>2</v>
      </c>
      <c r="J145" t="s">
        <v>102</v>
      </c>
      <c r="K145" t="s">
        <v>102</v>
      </c>
      <c r="L145">
        <v>7.7</v>
      </c>
      <c r="M145" t="s">
        <v>8</v>
      </c>
      <c r="N145" t="str" cm="1">
        <f t="array" ref="N145">_xlfn.IFS(
    AND(HOUR(A145)&gt;=0, HOUR(A145)&lt;10), "Morning",
    AND(HOUR(A145)&gt;=10, HOUR(A145)&lt;15), "Afternoon",
    AND(HOUR(E145)&gt;=15, HOUR(E145)&lt;19), "Evening",
    AND(HOUR(E145)&gt;=19, HOUR(E145)&lt;=23), "Night"
)</f>
        <v>Night</v>
      </c>
    </row>
    <row r="146" spans="1:14" x14ac:dyDescent="0.25">
      <c r="A146" s="3">
        <v>42421.379861111112</v>
      </c>
      <c r="B146" s="2">
        <f t="shared" si="14"/>
        <v>42421</v>
      </c>
      <c r="C146" t="str">
        <f t="shared" si="15"/>
        <v>February</v>
      </c>
      <c r="D146" t="str">
        <f t="shared" si="16"/>
        <v>Sunday</v>
      </c>
      <c r="E146" t="str">
        <f t="shared" si="12"/>
        <v>09:07:00 AM</v>
      </c>
      <c r="F146" s="3">
        <v>42421.406944444447</v>
      </c>
      <c r="G146" s="4">
        <f t="shared" si="17"/>
        <v>0.40694444444670808</v>
      </c>
      <c r="H146" t="str">
        <f t="shared" si="13"/>
        <v>39 min</v>
      </c>
      <c r="I146" t="s">
        <v>2</v>
      </c>
      <c r="J146" t="s">
        <v>102</v>
      </c>
      <c r="K146" t="s">
        <v>105</v>
      </c>
      <c r="L146">
        <v>14.5</v>
      </c>
      <c r="M146" t="s">
        <v>52</v>
      </c>
      <c r="N146" t="str" cm="1">
        <f t="array" ref="N146">_xlfn.IFS(
    AND(HOUR(A146)&gt;=0, HOUR(A146)&lt;10), "Morning",
    AND(HOUR(A146)&gt;=10, HOUR(A146)&lt;15), "Afternoon",
    AND(HOUR(E146)&gt;=15, HOUR(E146)&lt;19), "Evening",
    AND(HOUR(E146)&gt;=19, HOUR(E146)&lt;=23), "Night"
)</f>
        <v>Morning</v>
      </c>
    </row>
    <row r="147" spans="1:14" x14ac:dyDescent="0.25">
      <c r="A147" s="3">
        <v>42421.48541666667</v>
      </c>
      <c r="B147" s="2">
        <f t="shared" si="14"/>
        <v>42421</v>
      </c>
      <c r="C147" t="str">
        <f t="shared" si="15"/>
        <v>February</v>
      </c>
      <c r="D147" t="str">
        <f t="shared" si="16"/>
        <v>Sunday</v>
      </c>
      <c r="E147" t="str">
        <f t="shared" si="12"/>
        <v>11:39:00 AM</v>
      </c>
      <c r="F147" s="3">
        <v>42421.488194444442</v>
      </c>
      <c r="G147" s="4">
        <f t="shared" si="17"/>
        <v>0.4881944444423425</v>
      </c>
      <c r="H147" t="str">
        <f t="shared" si="13"/>
        <v>4 min</v>
      </c>
      <c r="I147" t="s">
        <v>2</v>
      </c>
      <c r="J147" t="s">
        <v>102</v>
      </c>
      <c r="K147" t="s">
        <v>105</v>
      </c>
      <c r="L147">
        <v>2.4</v>
      </c>
      <c r="M147" t="s">
        <v>8</v>
      </c>
      <c r="N147" t="str" cm="1">
        <f t="array" ref="N147">_xlfn.IFS(
    AND(HOUR(A147)&gt;=0, HOUR(A147)&lt;10), "Morning",
    AND(HOUR(A147)&gt;=10, HOUR(A147)&lt;15), "Afternoon",
    AND(HOUR(E147)&gt;=15, HOUR(E147)&lt;19), "Evening",
    AND(HOUR(E147)&gt;=19, HOUR(E147)&lt;=23), "Night"
)</f>
        <v>Afternoon</v>
      </c>
    </row>
    <row r="148" spans="1:14" x14ac:dyDescent="0.25">
      <c r="A148" s="3">
        <v>42421.490972222222</v>
      </c>
      <c r="B148" s="2">
        <f t="shared" si="14"/>
        <v>42421</v>
      </c>
      <c r="C148" t="str">
        <f t="shared" si="15"/>
        <v>February</v>
      </c>
      <c r="D148" t="str">
        <f t="shared" si="16"/>
        <v>Sunday</v>
      </c>
      <c r="E148" t="str">
        <f t="shared" si="12"/>
        <v>11:47:00 AM</v>
      </c>
      <c r="F148" s="3">
        <v>42421.500694444447</v>
      </c>
      <c r="G148" s="4">
        <f t="shared" si="17"/>
        <v>0.50069444444670808</v>
      </c>
      <c r="H148" t="str">
        <f t="shared" si="13"/>
        <v>14 min</v>
      </c>
      <c r="I148" t="s">
        <v>2</v>
      </c>
      <c r="J148" t="s">
        <v>105</v>
      </c>
      <c r="K148" t="s">
        <v>105</v>
      </c>
      <c r="L148">
        <v>4.5999999999999996</v>
      </c>
      <c r="M148" t="s">
        <v>8</v>
      </c>
      <c r="N148" t="str" cm="1">
        <f t="array" ref="N148">_xlfn.IFS(
    AND(HOUR(A148)&gt;=0, HOUR(A148)&lt;10), "Morning",
    AND(HOUR(A148)&gt;=10, HOUR(A148)&lt;15), "Afternoon",
    AND(HOUR(E148)&gt;=15, HOUR(E148)&lt;19), "Evening",
    AND(HOUR(E148)&gt;=19, HOUR(E148)&lt;=23), "Night"
)</f>
        <v>Afternoon</v>
      </c>
    </row>
    <row r="149" spans="1:14" x14ac:dyDescent="0.25">
      <c r="A149" s="3">
        <v>42421.509027777778</v>
      </c>
      <c r="B149" s="2">
        <f t="shared" si="14"/>
        <v>42421</v>
      </c>
      <c r="C149" t="str">
        <f t="shared" si="15"/>
        <v>February</v>
      </c>
      <c r="D149" t="str">
        <f t="shared" si="16"/>
        <v>Sunday</v>
      </c>
      <c r="E149" t="str">
        <f t="shared" si="12"/>
        <v>12:13:00 PM</v>
      </c>
      <c r="F149" s="3">
        <v>42421.524305555555</v>
      </c>
      <c r="G149" s="4">
        <f t="shared" si="17"/>
        <v>0.52430555555474712</v>
      </c>
      <c r="H149" t="str">
        <f t="shared" si="13"/>
        <v>22 min</v>
      </c>
      <c r="I149" t="s">
        <v>2</v>
      </c>
      <c r="J149" t="s">
        <v>105</v>
      </c>
      <c r="K149" t="s">
        <v>102</v>
      </c>
      <c r="L149">
        <v>8.8000000000000007</v>
      </c>
      <c r="M149" t="s">
        <v>9</v>
      </c>
      <c r="N149" t="str" cm="1">
        <f t="array" ref="N149">_xlfn.IFS(
    AND(HOUR(A149)&gt;=0, HOUR(A149)&lt;10), "Morning",
    AND(HOUR(A149)&gt;=10, HOUR(A149)&lt;15), "Afternoon",
    AND(HOUR(E149)&gt;=15, HOUR(E149)&lt;19), "Evening",
    AND(HOUR(E149)&gt;=19, HOUR(E149)&lt;=23), "Night"
)</f>
        <v>Afternoon</v>
      </c>
    </row>
    <row r="150" spans="1:14" x14ac:dyDescent="0.25">
      <c r="A150" s="3">
        <v>42421.535416666666</v>
      </c>
      <c r="B150" s="2">
        <f t="shared" si="14"/>
        <v>42421</v>
      </c>
      <c r="C150" t="str">
        <f t="shared" si="15"/>
        <v>February</v>
      </c>
      <c r="D150" t="str">
        <f t="shared" si="16"/>
        <v>Sunday</v>
      </c>
      <c r="E150" t="str">
        <f t="shared" si="12"/>
        <v>12:51:00 PM</v>
      </c>
      <c r="F150" s="3">
        <v>42421.55</v>
      </c>
      <c r="G150" s="4">
        <f t="shared" si="17"/>
        <v>0.55000000000291038</v>
      </c>
      <c r="H150" t="str">
        <f t="shared" si="13"/>
        <v>21 min</v>
      </c>
      <c r="I150" t="s">
        <v>2</v>
      </c>
      <c r="J150" t="s">
        <v>102</v>
      </c>
      <c r="K150" t="s">
        <v>102</v>
      </c>
      <c r="L150">
        <v>8.3000000000000007</v>
      </c>
      <c r="M150" t="s">
        <v>11</v>
      </c>
      <c r="N150" t="str" cm="1">
        <f t="array" ref="N150">_xlfn.IFS(
    AND(HOUR(A150)&gt;=0, HOUR(A150)&lt;10), "Morning",
    AND(HOUR(A150)&gt;=10, HOUR(A150)&lt;15), "Afternoon",
    AND(HOUR(E150)&gt;=15, HOUR(E150)&lt;19), "Evening",
    AND(HOUR(E150)&gt;=19, HOUR(E150)&lt;=23), "Night"
)</f>
        <v>Afternoon</v>
      </c>
    </row>
    <row r="151" spans="1:14" x14ac:dyDescent="0.25">
      <c r="A151" s="3">
        <v>42421.564583333333</v>
      </c>
      <c r="B151" s="2">
        <f t="shared" si="14"/>
        <v>42421</v>
      </c>
      <c r="C151" t="str">
        <f t="shared" si="15"/>
        <v>February</v>
      </c>
      <c r="D151" t="str">
        <f t="shared" si="16"/>
        <v>Sunday</v>
      </c>
      <c r="E151" t="str">
        <f t="shared" si="12"/>
        <v>01:33:00 PM</v>
      </c>
      <c r="F151" s="3">
        <v>42421.604166666664</v>
      </c>
      <c r="G151" s="4">
        <f t="shared" si="17"/>
        <v>0.60416666666424135</v>
      </c>
      <c r="H151" t="str">
        <f t="shared" si="13"/>
        <v>57 min</v>
      </c>
      <c r="I151" t="s">
        <v>2</v>
      </c>
      <c r="J151" t="s">
        <v>102</v>
      </c>
      <c r="K151" t="s">
        <v>102</v>
      </c>
      <c r="L151">
        <v>22.7</v>
      </c>
      <c r="M151" t="s">
        <v>11</v>
      </c>
      <c r="N151" t="str" cm="1">
        <f t="array" ref="N151">_xlfn.IFS(
    AND(HOUR(A151)&gt;=0, HOUR(A151)&lt;10), "Morning",
    AND(HOUR(A151)&gt;=10, HOUR(A151)&lt;15), "Afternoon",
    AND(HOUR(E151)&gt;=15, HOUR(E151)&lt;19), "Evening",
    AND(HOUR(E151)&gt;=19, HOUR(E151)&lt;=23), "Night"
)</f>
        <v>Afternoon</v>
      </c>
    </row>
    <row r="152" spans="1:14" x14ac:dyDescent="0.25">
      <c r="A152" s="3">
        <v>42421.60833333333</v>
      </c>
      <c r="B152" s="2">
        <f t="shared" si="14"/>
        <v>42421</v>
      </c>
      <c r="C152" t="str">
        <f t="shared" si="15"/>
        <v>February</v>
      </c>
      <c r="D152" t="str">
        <f t="shared" si="16"/>
        <v>Sunday</v>
      </c>
      <c r="E152" t="str">
        <f t="shared" si="12"/>
        <v>02:36:00 PM</v>
      </c>
      <c r="F152" s="3">
        <v>42421.627083333333</v>
      </c>
      <c r="G152" s="4">
        <f t="shared" si="17"/>
        <v>0.62708333333284827</v>
      </c>
      <c r="H152" t="str">
        <f t="shared" si="13"/>
        <v>27 min</v>
      </c>
      <c r="I152" t="s">
        <v>2</v>
      </c>
      <c r="J152" t="s">
        <v>102</v>
      </c>
      <c r="K152" t="s">
        <v>105</v>
      </c>
      <c r="L152">
        <v>13</v>
      </c>
      <c r="M152" t="s">
        <v>11</v>
      </c>
      <c r="N152" t="str" cm="1">
        <f t="array" ref="N152">_xlfn.IFS(
    AND(HOUR(A152)&gt;=0, HOUR(A152)&lt;10), "Morning",
    AND(HOUR(A152)&gt;=10, HOUR(A152)&lt;15), "Afternoon",
    AND(HOUR(E152)&gt;=15, HOUR(E152)&lt;19), "Evening",
    AND(HOUR(E152)&gt;=19, HOUR(E152)&lt;=23), "Night"
)</f>
        <v>Afternoon</v>
      </c>
    </row>
    <row r="153" spans="1:14" x14ac:dyDescent="0.25">
      <c r="A153" s="3">
        <v>42421.634722222225</v>
      </c>
      <c r="B153" s="2">
        <f t="shared" si="14"/>
        <v>42421</v>
      </c>
      <c r="C153" t="str">
        <f t="shared" si="15"/>
        <v>February</v>
      </c>
      <c r="D153" t="str">
        <f t="shared" si="16"/>
        <v>Sunday</v>
      </c>
      <c r="E153" t="str">
        <f t="shared" si="12"/>
        <v>03:14:00 PM</v>
      </c>
      <c r="F153" s="3">
        <v>42421.646527777775</v>
      </c>
      <c r="G153" s="4">
        <f t="shared" si="17"/>
        <v>0.64652777777519077</v>
      </c>
      <c r="H153" t="str">
        <f t="shared" si="13"/>
        <v>17 min</v>
      </c>
      <c r="I153" t="s">
        <v>2</v>
      </c>
      <c r="J153" t="s">
        <v>105</v>
      </c>
      <c r="K153" t="s">
        <v>107</v>
      </c>
      <c r="L153">
        <v>8.1</v>
      </c>
      <c r="M153" t="s">
        <v>11</v>
      </c>
      <c r="N153" t="str" cm="1">
        <f t="array" ref="N153">_xlfn.IFS(
    AND(HOUR(A153)&gt;=0, HOUR(A153)&lt;10), "Morning",
    AND(HOUR(A153)&gt;=10, HOUR(A153)&lt;15), "Afternoon",
    AND(HOUR(E153)&gt;=15, HOUR(E153)&lt;19), "Evening",
    AND(HOUR(E153)&gt;=19, HOUR(E153)&lt;=23), "Night"
)</f>
        <v>Evening</v>
      </c>
    </row>
    <row r="154" spans="1:14" x14ac:dyDescent="0.25">
      <c r="A154" s="3">
        <v>42421.65</v>
      </c>
      <c r="B154" s="2">
        <f t="shared" si="14"/>
        <v>42421</v>
      </c>
      <c r="C154" t="str">
        <f t="shared" si="15"/>
        <v>February</v>
      </c>
      <c r="D154" t="str">
        <f t="shared" si="16"/>
        <v>Sunday</v>
      </c>
      <c r="E154" t="str">
        <f t="shared" si="12"/>
        <v>03:36:00 PM</v>
      </c>
      <c r="F154" s="3">
        <v>42421.65347222222</v>
      </c>
      <c r="G154" s="4">
        <f t="shared" si="17"/>
        <v>0.65347222222044365</v>
      </c>
      <c r="H154" t="str">
        <f t="shared" si="13"/>
        <v>5 min</v>
      </c>
      <c r="I154" t="s">
        <v>2</v>
      </c>
      <c r="J154" t="s">
        <v>107</v>
      </c>
      <c r="K154" t="s">
        <v>102</v>
      </c>
      <c r="L154">
        <v>2.2000000000000002</v>
      </c>
      <c r="M154" t="s">
        <v>9</v>
      </c>
      <c r="N154" t="str" cm="1">
        <f t="array" ref="N154">_xlfn.IFS(
    AND(HOUR(A154)&gt;=0, HOUR(A154)&lt;10), "Morning",
    AND(HOUR(A154)&gt;=10, HOUR(A154)&lt;15), "Afternoon",
    AND(HOUR(E154)&gt;=15, HOUR(E154)&lt;19), "Evening",
    AND(HOUR(E154)&gt;=19, HOUR(E154)&lt;=23), "Night"
)</f>
        <v>Evening</v>
      </c>
    </row>
    <row r="155" spans="1:14" x14ac:dyDescent="0.25">
      <c r="A155" s="3">
        <v>42421.669444444444</v>
      </c>
      <c r="B155" s="2">
        <f t="shared" si="14"/>
        <v>42421</v>
      </c>
      <c r="C155" t="str">
        <f t="shared" si="15"/>
        <v>February</v>
      </c>
      <c r="D155" t="str">
        <f t="shared" si="16"/>
        <v>Sunday</v>
      </c>
      <c r="E155" t="str">
        <f t="shared" si="12"/>
        <v>04:04:00 PM</v>
      </c>
      <c r="F155" s="3">
        <v>42421.688888888886</v>
      </c>
      <c r="G155" s="4">
        <f t="shared" si="17"/>
        <v>0.68888888888614019</v>
      </c>
      <c r="H155" t="str">
        <f t="shared" si="13"/>
        <v>28 min</v>
      </c>
      <c r="I155" t="s">
        <v>2</v>
      </c>
      <c r="J155" t="s">
        <v>102</v>
      </c>
      <c r="K155" t="s">
        <v>102</v>
      </c>
      <c r="L155">
        <v>9.6999999999999993</v>
      </c>
      <c r="M155" t="s">
        <v>52</v>
      </c>
      <c r="N155" t="str" cm="1">
        <f t="array" ref="N155">_xlfn.IFS(
    AND(HOUR(A155)&gt;=0, HOUR(A155)&lt;10), "Morning",
    AND(HOUR(A155)&gt;=10, HOUR(A155)&lt;15), "Afternoon",
    AND(HOUR(E155)&gt;=15, HOUR(E155)&lt;19), "Evening",
    AND(HOUR(E155)&gt;=19, HOUR(E155)&lt;=23), "Night"
)</f>
        <v>Evening</v>
      </c>
    </row>
    <row r="156" spans="1:14" x14ac:dyDescent="0.25">
      <c r="A156" s="3">
        <v>42421.96875</v>
      </c>
      <c r="B156" s="2">
        <f t="shared" si="14"/>
        <v>42421</v>
      </c>
      <c r="C156" t="str">
        <f t="shared" si="15"/>
        <v>February</v>
      </c>
      <c r="D156" t="str">
        <f t="shared" si="16"/>
        <v>Sunday</v>
      </c>
      <c r="E156" t="str">
        <f t="shared" si="12"/>
        <v>11:15:00 PM</v>
      </c>
      <c r="F156" s="3">
        <v>42421.994444444441</v>
      </c>
      <c r="G156" s="4">
        <f t="shared" si="17"/>
        <v>0.99444444444088731</v>
      </c>
      <c r="H156" t="str">
        <f t="shared" si="13"/>
        <v>37 min</v>
      </c>
      <c r="I156" t="s">
        <v>2</v>
      </c>
      <c r="J156" t="s">
        <v>102</v>
      </c>
      <c r="K156" t="s">
        <v>106</v>
      </c>
      <c r="L156">
        <v>20</v>
      </c>
      <c r="M156" t="s">
        <v>10</v>
      </c>
      <c r="N156" t="str" cm="1">
        <f t="array" ref="N156">_xlfn.IFS(
    AND(HOUR(A156)&gt;=0, HOUR(A156)&lt;10), "Morning",
    AND(HOUR(A156)&gt;=10, HOUR(A156)&lt;15), "Afternoon",
    AND(HOUR(E156)&gt;=15, HOUR(E156)&lt;19), "Evening",
    AND(HOUR(E156)&gt;=19, HOUR(E156)&lt;=23), "Night"
)</f>
        <v>Night</v>
      </c>
    </row>
    <row r="157" spans="1:14" x14ac:dyDescent="0.25">
      <c r="A157" s="3">
        <v>42422.912499999999</v>
      </c>
      <c r="B157" s="2">
        <f t="shared" si="14"/>
        <v>42422</v>
      </c>
      <c r="C157" t="str">
        <f t="shared" si="15"/>
        <v>February</v>
      </c>
      <c r="D157" t="str">
        <f t="shared" si="16"/>
        <v>Monday</v>
      </c>
      <c r="E157" t="str">
        <f t="shared" si="12"/>
        <v>09:54:00 PM</v>
      </c>
      <c r="F157" s="3">
        <v>42422.92291666667</v>
      </c>
      <c r="G157" s="4">
        <f t="shared" si="17"/>
        <v>0.92291666667006211</v>
      </c>
      <c r="H157" t="str">
        <f t="shared" si="13"/>
        <v>15 min</v>
      </c>
      <c r="I157" t="s">
        <v>2</v>
      </c>
      <c r="J157" t="s">
        <v>56</v>
      </c>
      <c r="K157" t="s">
        <v>55</v>
      </c>
      <c r="L157">
        <v>8.1</v>
      </c>
      <c r="M157" t="s">
        <v>7</v>
      </c>
      <c r="N157" t="str" cm="1">
        <f t="array" ref="N157">_xlfn.IFS(
    AND(HOUR(A157)&gt;=0, HOUR(A157)&lt;10), "Morning",
    AND(HOUR(A157)&gt;=10, HOUR(A157)&lt;15), "Afternoon",
    AND(HOUR(E157)&gt;=15, HOUR(E157)&lt;19), "Evening",
    AND(HOUR(E157)&gt;=19, HOUR(E157)&lt;=23), "Night"
)</f>
        <v>Night</v>
      </c>
    </row>
    <row r="158" spans="1:14" x14ac:dyDescent="0.25">
      <c r="A158" s="3">
        <v>42424.604166666664</v>
      </c>
      <c r="B158" s="2">
        <f t="shared" si="14"/>
        <v>42424</v>
      </c>
      <c r="C158" t="str">
        <f t="shared" si="15"/>
        <v>February</v>
      </c>
      <c r="D158" t="str">
        <f t="shared" si="16"/>
        <v>Wednesday</v>
      </c>
      <c r="E158" t="str">
        <f t="shared" si="12"/>
        <v>02:30:00 PM</v>
      </c>
      <c r="F158" s="3">
        <v>42424.607638888891</v>
      </c>
      <c r="G158" s="4">
        <f t="shared" si="17"/>
        <v>0.60763888889050577</v>
      </c>
      <c r="H158" t="str">
        <f t="shared" si="13"/>
        <v>5 min</v>
      </c>
      <c r="I158" t="s">
        <v>2</v>
      </c>
      <c r="J158" t="s">
        <v>77</v>
      </c>
      <c r="K158" t="s">
        <v>94</v>
      </c>
      <c r="L158">
        <v>1.5</v>
      </c>
      <c r="M158" t="s">
        <v>52</v>
      </c>
      <c r="N158" t="str" cm="1">
        <f t="array" ref="N158">_xlfn.IFS(
    AND(HOUR(A158)&gt;=0, HOUR(A158)&lt;10), "Morning",
    AND(HOUR(A158)&gt;=10, HOUR(A158)&lt;15), "Afternoon",
    AND(HOUR(E158)&gt;=15, HOUR(E158)&lt;19), "Evening",
    AND(HOUR(E158)&gt;=19, HOUR(E158)&lt;=23), "Night"
)</f>
        <v>Afternoon</v>
      </c>
    </row>
    <row r="159" spans="1:14" x14ac:dyDescent="0.25">
      <c r="A159" s="3">
        <v>42424.638194444444</v>
      </c>
      <c r="B159" s="2">
        <f t="shared" si="14"/>
        <v>42424</v>
      </c>
      <c r="C159" t="str">
        <f t="shared" si="15"/>
        <v>February</v>
      </c>
      <c r="D159" t="str">
        <f t="shared" si="16"/>
        <v>Wednesday</v>
      </c>
      <c r="E159" t="str">
        <f t="shared" si="12"/>
        <v>03:19:00 PM</v>
      </c>
      <c r="F159" s="3">
        <v>42424.642361111109</v>
      </c>
      <c r="G159" s="4">
        <f t="shared" si="17"/>
        <v>0.64236111110949423</v>
      </c>
      <c r="H159" t="str">
        <f t="shared" si="13"/>
        <v>6 min</v>
      </c>
      <c r="I159" t="s">
        <v>2</v>
      </c>
      <c r="J159" t="s">
        <v>94</v>
      </c>
      <c r="K159" t="s">
        <v>77</v>
      </c>
      <c r="L159">
        <v>1.7</v>
      </c>
      <c r="M159" t="s">
        <v>8</v>
      </c>
      <c r="N159" t="str" cm="1">
        <f t="array" ref="N159">_xlfn.IFS(
    AND(HOUR(A159)&gt;=0, HOUR(A159)&lt;10), "Morning",
    AND(HOUR(A159)&gt;=10, HOUR(A159)&lt;15), "Afternoon",
    AND(HOUR(E159)&gt;=15, HOUR(E159)&lt;19), "Evening",
    AND(HOUR(E159)&gt;=19, HOUR(E159)&lt;=23), "Night"
)</f>
        <v>Evening</v>
      </c>
    </row>
    <row r="160" spans="1:14" x14ac:dyDescent="0.25">
      <c r="A160" s="3">
        <v>42425.685416666667</v>
      </c>
      <c r="B160" s="2">
        <f t="shared" si="14"/>
        <v>42425</v>
      </c>
      <c r="C160" t="str">
        <f t="shared" si="15"/>
        <v>February</v>
      </c>
      <c r="D160" t="str">
        <f t="shared" si="16"/>
        <v>Thursday</v>
      </c>
      <c r="E160" t="str">
        <f t="shared" si="12"/>
        <v>04:27:00 PM</v>
      </c>
      <c r="F160" s="3">
        <v>42425.690972222219</v>
      </c>
      <c r="G160" s="4">
        <f t="shared" si="17"/>
        <v>0.69097222221898846</v>
      </c>
      <c r="H160" t="str">
        <f t="shared" si="13"/>
        <v>8 min</v>
      </c>
      <c r="I160" t="s">
        <v>2</v>
      </c>
      <c r="J160" t="s">
        <v>77</v>
      </c>
      <c r="K160" t="s">
        <v>108</v>
      </c>
      <c r="L160">
        <v>3.1</v>
      </c>
      <c r="M160" t="s">
        <v>8</v>
      </c>
      <c r="N160" t="str" cm="1">
        <f t="array" ref="N160">_xlfn.IFS(
    AND(HOUR(A160)&gt;=0, HOUR(A160)&lt;10), "Morning",
    AND(HOUR(A160)&gt;=10, HOUR(A160)&lt;15), "Afternoon",
    AND(HOUR(E160)&gt;=15, HOUR(E160)&lt;19), "Evening",
    AND(HOUR(E160)&gt;=19, HOUR(E160)&lt;=23), "Night"
)</f>
        <v>Evening</v>
      </c>
    </row>
    <row r="161" spans="1:14" x14ac:dyDescent="0.25">
      <c r="A161" s="3">
        <v>42425.699305555558</v>
      </c>
      <c r="B161" s="2">
        <f t="shared" si="14"/>
        <v>42425</v>
      </c>
      <c r="C161" t="str">
        <f t="shared" si="15"/>
        <v>February</v>
      </c>
      <c r="D161" t="str">
        <f t="shared" si="16"/>
        <v>Thursday</v>
      </c>
      <c r="E161" t="str">
        <f t="shared" si="12"/>
        <v>04:47:00 PM</v>
      </c>
      <c r="F161" s="3">
        <v>42425.709722222222</v>
      </c>
      <c r="G161" s="4">
        <f t="shared" si="17"/>
        <v>0.70972222222189885</v>
      </c>
      <c r="H161" t="str">
        <f t="shared" si="13"/>
        <v>15 min</v>
      </c>
      <c r="I161" t="s">
        <v>2</v>
      </c>
      <c r="J161" t="s">
        <v>108</v>
      </c>
      <c r="K161" t="s">
        <v>77</v>
      </c>
      <c r="L161">
        <v>3.2</v>
      </c>
      <c r="M161" t="s">
        <v>8</v>
      </c>
      <c r="N161" t="str" cm="1">
        <f t="array" ref="N161">_xlfn.IFS(
    AND(HOUR(A161)&gt;=0, HOUR(A161)&lt;10), "Morning",
    AND(HOUR(A161)&gt;=10, HOUR(A161)&lt;15), "Afternoon",
    AND(HOUR(E161)&gt;=15, HOUR(E161)&lt;19), "Evening",
    AND(HOUR(E161)&gt;=19, HOUR(E161)&lt;=23), "Night"
)</f>
        <v>Evening</v>
      </c>
    </row>
    <row r="162" spans="1:14" x14ac:dyDescent="0.25">
      <c r="A162" s="3">
        <v>42425.719444444447</v>
      </c>
      <c r="B162" s="2">
        <f t="shared" si="14"/>
        <v>42425</v>
      </c>
      <c r="C162" t="str">
        <f t="shared" si="15"/>
        <v>February</v>
      </c>
      <c r="D162" t="str">
        <f t="shared" si="16"/>
        <v>Thursday</v>
      </c>
      <c r="E162" t="str">
        <f t="shared" si="12"/>
        <v>05:16:00 PM</v>
      </c>
      <c r="F162" s="3">
        <v>42425.73333333333</v>
      </c>
      <c r="G162" s="4">
        <f t="shared" si="17"/>
        <v>0.73333333332993789</v>
      </c>
      <c r="H162" t="str">
        <f t="shared" si="13"/>
        <v>20 min</v>
      </c>
      <c r="I162" t="s">
        <v>2</v>
      </c>
      <c r="J162" t="s">
        <v>77</v>
      </c>
      <c r="K162" t="s">
        <v>93</v>
      </c>
      <c r="L162">
        <v>6</v>
      </c>
      <c r="M162" t="s">
        <v>9</v>
      </c>
      <c r="N162" t="str" cm="1">
        <f t="array" ref="N162">_xlfn.IFS(
    AND(HOUR(A162)&gt;=0, HOUR(A162)&lt;10), "Morning",
    AND(HOUR(A162)&gt;=10, HOUR(A162)&lt;15), "Afternoon",
    AND(HOUR(E162)&gt;=15, HOUR(E162)&lt;19), "Evening",
    AND(HOUR(E162)&gt;=19, HOUR(E162)&lt;=23), "Night"
)</f>
        <v>Evening</v>
      </c>
    </row>
    <row r="163" spans="1:14" x14ac:dyDescent="0.25">
      <c r="A163" s="3">
        <v>42425.765277777777</v>
      </c>
      <c r="B163" s="2">
        <f t="shared" si="14"/>
        <v>42425</v>
      </c>
      <c r="C163" t="str">
        <f t="shared" si="15"/>
        <v>February</v>
      </c>
      <c r="D163" t="str">
        <f t="shared" si="16"/>
        <v>Thursday</v>
      </c>
      <c r="E163" t="str">
        <f t="shared" si="12"/>
        <v>06:22:00 PM</v>
      </c>
      <c r="F163" s="3">
        <v>42425.777083333334</v>
      </c>
      <c r="G163" s="4">
        <f t="shared" si="17"/>
        <v>0.77708333333430346</v>
      </c>
      <c r="H163" t="str">
        <f t="shared" si="13"/>
        <v>17 min</v>
      </c>
      <c r="I163" t="s">
        <v>2</v>
      </c>
      <c r="J163" t="s">
        <v>93</v>
      </c>
      <c r="K163" t="s">
        <v>77</v>
      </c>
      <c r="L163">
        <v>5.8</v>
      </c>
      <c r="M163" t="s">
        <v>9</v>
      </c>
      <c r="N163" t="str" cm="1">
        <f t="array" ref="N163">_xlfn.IFS(
    AND(HOUR(A163)&gt;=0, HOUR(A163)&lt;10), "Morning",
    AND(HOUR(A163)&gt;=10, HOUR(A163)&lt;15), "Afternoon",
    AND(HOUR(E163)&gt;=15, HOUR(E163)&lt;19), "Evening",
    AND(HOUR(E163)&gt;=19, HOUR(E163)&lt;=23), "Night"
)</f>
        <v>Evening</v>
      </c>
    </row>
    <row r="164" spans="1:14" x14ac:dyDescent="0.25">
      <c r="A164" s="3">
        <v>42426.379166666666</v>
      </c>
      <c r="B164" s="2">
        <f t="shared" si="14"/>
        <v>42426</v>
      </c>
      <c r="C164" t="str">
        <f t="shared" si="15"/>
        <v>February</v>
      </c>
      <c r="D164" t="str">
        <f t="shared" si="16"/>
        <v>Friday</v>
      </c>
      <c r="E164" t="str">
        <f t="shared" si="12"/>
        <v>09:06:00 AM</v>
      </c>
      <c r="F164" s="3">
        <v>42426.395138888889</v>
      </c>
      <c r="G164" s="4">
        <f t="shared" si="17"/>
        <v>0.39513888888905058</v>
      </c>
      <c r="H164" t="str">
        <f t="shared" si="13"/>
        <v>23 min</v>
      </c>
      <c r="I164" t="s">
        <v>2</v>
      </c>
      <c r="J164" t="s">
        <v>77</v>
      </c>
      <c r="K164" t="s">
        <v>83</v>
      </c>
      <c r="L164">
        <v>6.3</v>
      </c>
      <c r="M164" t="s">
        <v>52</v>
      </c>
      <c r="N164" t="str" cm="1">
        <f t="array" ref="N164">_xlfn.IFS(
    AND(HOUR(A164)&gt;=0, HOUR(A164)&lt;10), "Morning",
    AND(HOUR(A164)&gt;=10, HOUR(A164)&lt;15), "Afternoon",
    AND(HOUR(E164)&gt;=15, HOUR(E164)&lt;19), "Evening",
    AND(HOUR(E164)&gt;=19, HOUR(E164)&lt;=23), "Night"
)</f>
        <v>Morning</v>
      </c>
    </row>
    <row r="165" spans="1:14" x14ac:dyDescent="0.25">
      <c r="A165" s="3">
        <v>42426.461805555555</v>
      </c>
      <c r="B165" s="2">
        <f t="shared" si="14"/>
        <v>42426</v>
      </c>
      <c r="C165" t="str">
        <f t="shared" si="15"/>
        <v>February</v>
      </c>
      <c r="D165" t="str">
        <f t="shared" si="16"/>
        <v>Friday</v>
      </c>
      <c r="E165" t="str">
        <f t="shared" si="12"/>
        <v>11:05:00 AM</v>
      </c>
      <c r="F165" s="3">
        <v>42426.46597222222</v>
      </c>
      <c r="G165" s="4">
        <f t="shared" si="17"/>
        <v>0.46597222222044365</v>
      </c>
      <c r="H165" t="str">
        <f t="shared" si="13"/>
        <v>6 min</v>
      </c>
      <c r="I165" t="s">
        <v>3</v>
      </c>
      <c r="J165" t="s">
        <v>83</v>
      </c>
      <c r="K165" t="s">
        <v>77</v>
      </c>
      <c r="L165">
        <v>1.7</v>
      </c>
      <c r="M165" t="s">
        <v>52</v>
      </c>
      <c r="N165" t="str" cm="1">
        <f t="array" ref="N165">_xlfn.IFS(
    AND(HOUR(A165)&gt;=0, HOUR(A165)&lt;10), "Morning",
    AND(HOUR(A165)&gt;=10, HOUR(A165)&lt;15), "Afternoon",
    AND(HOUR(E165)&gt;=15, HOUR(E165)&lt;19), "Evening",
    AND(HOUR(E165)&gt;=19, HOUR(E165)&lt;=23), "Night"
)</f>
        <v>Afternoon</v>
      </c>
    </row>
    <row r="166" spans="1:14" x14ac:dyDescent="0.25">
      <c r="A166" s="3">
        <v>42426.482638888891</v>
      </c>
      <c r="B166" s="2">
        <f t="shared" si="14"/>
        <v>42426</v>
      </c>
      <c r="C166" t="str">
        <f t="shared" si="15"/>
        <v>February</v>
      </c>
      <c r="D166" t="str">
        <f t="shared" si="16"/>
        <v>Friday</v>
      </c>
      <c r="E166" t="str">
        <f t="shared" si="12"/>
        <v>11:35:00 AM</v>
      </c>
      <c r="F166" s="3">
        <v>42426.499305555553</v>
      </c>
      <c r="G166" s="4">
        <f t="shared" si="17"/>
        <v>0.49930555555329192</v>
      </c>
      <c r="H166" t="str">
        <f t="shared" si="13"/>
        <v>24 min</v>
      </c>
      <c r="I166" t="s">
        <v>2</v>
      </c>
      <c r="J166" t="s">
        <v>55</v>
      </c>
      <c r="K166" t="s">
        <v>75</v>
      </c>
      <c r="L166">
        <v>10.6</v>
      </c>
      <c r="M166" t="s">
        <v>10</v>
      </c>
      <c r="N166" t="str" cm="1">
        <f t="array" ref="N166">_xlfn.IFS(
    AND(HOUR(A166)&gt;=0, HOUR(A166)&lt;10), "Morning",
    AND(HOUR(A166)&gt;=10, HOUR(A166)&lt;15), "Afternoon",
    AND(HOUR(E166)&gt;=15, HOUR(E166)&lt;19), "Evening",
    AND(HOUR(E166)&gt;=19, HOUR(E166)&lt;=23), "Night"
)</f>
        <v>Afternoon</v>
      </c>
    </row>
    <row r="167" spans="1:14" x14ac:dyDescent="0.25">
      <c r="A167" s="3">
        <v>42426.542361111111</v>
      </c>
      <c r="B167" s="2">
        <f t="shared" si="14"/>
        <v>42426</v>
      </c>
      <c r="C167" t="str">
        <f t="shared" si="15"/>
        <v>February</v>
      </c>
      <c r="D167" t="str">
        <f t="shared" si="16"/>
        <v>Friday</v>
      </c>
      <c r="E167" t="str">
        <f t="shared" si="12"/>
        <v>01:01:00 PM</v>
      </c>
      <c r="F167" s="3">
        <v>42426.558333333334</v>
      </c>
      <c r="G167" s="4">
        <f t="shared" si="17"/>
        <v>0.55833333333430346</v>
      </c>
      <c r="H167" t="str">
        <f t="shared" si="13"/>
        <v>23 min</v>
      </c>
      <c r="I167" t="s">
        <v>2</v>
      </c>
      <c r="J167" t="s">
        <v>75</v>
      </c>
      <c r="K167" t="s">
        <v>55</v>
      </c>
      <c r="L167">
        <v>9.9</v>
      </c>
      <c r="M167" t="s">
        <v>10</v>
      </c>
      <c r="N167" t="str" cm="1">
        <f t="array" ref="N167">_xlfn.IFS(
    AND(HOUR(A167)&gt;=0, HOUR(A167)&lt;10), "Morning",
    AND(HOUR(A167)&gt;=10, HOUR(A167)&lt;15), "Afternoon",
    AND(HOUR(E167)&gt;=15, HOUR(E167)&lt;19), "Evening",
    AND(HOUR(E167)&gt;=19, HOUR(E167)&lt;=23), "Night"
)</f>
        <v>Afternoon</v>
      </c>
    </row>
    <row r="168" spans="1:14" x14ac:dyDescent="0.25">
      <c r="A168" s="3">
        <v>42426.609722222223</v>
      </c>
      <c r="B168" s="2">
        <f t="shared" si="14"/>
        <v>42426</v>
      </c>
      <c r="C168" t="str">
        <f t="shared" si="15"/>
        <v>February</v>
      </c>
      <c r="D168" t="str">
        <f t="shared" si="16"/>
        <v>Friday</v>
      </c>
      <c r="E168" t="str">
        <f t="shared" si="12"/>
        <v>02:38:00 PM</v>
      </c>
      <c r="F168" s="3">
        <v>42426.615277777775</v>
      </c>
      <c r="G168" s="4">
        <f t="shared" si="17"/>
        <v>0.61527777777519077</v>
      </c>
      <c r="H168" t="str">
        <f t="shared" si="13"/>
        <v>8 min</v>
      </c>
      <c r="I168" t="s">
        <v>3</v>
      </c>
      <c r="J168" t="s">
        <v>77</v>
      </c>
      <c r="K168" t="s">
        <v>83</v>
      </c>
      <c r="L168">
        <v>1.9</v>
      </c>
      <c r="M168" t="s">
        <v>52</v>
      </c>
      <c r="N168" t="str" cm="1">
        <f t="array" ref="N168">_xlfn.IFS(
    AND(HOUR(A168)&gt;=0, HOUR(A168)&lt;10), "Morning",
    AND(HOUR(A168)&gt;=10, HOUR(A168)&lt;15), "Afternoon",
    AND(HOUR(E168)&gt;=15, HOUR(E168)&lt;19), "Evening",
    AND(HOUR(E168)&gt;=19, HOUR(E168)&lt;=23), "Night"
)</f>
        <v>Afternoon</v>
      </c>
    </row>
    <row r="169" spans="1:14" x14ac:dyDescent="0.25">
      <c r="A169" s="3">
        <v>42426.625</v>
      </c>
      <c r="B169" s="2">
        <f t="shared" si="14"/>
        <v>42426</v>
      </c>
      <c r="C169" t="str">
        <f t="shared" si="15"/>
        <v>February</v>
      </c>
      <c r="D169" t="str">
        <f t="shared" si="16"/>
        <v>Friday</v>
      </c>
      <c r="E169" t="str">
        <f t="shared" si="12"/>
        <v>03:00:00 PM</v>
      </c>
      <c r="F169" s="3">
        <v>42426.637499999997</v>
      </c>
      <c r="G169" s="4">
        <f t="shared" si="17"/>
        <v>0.63749999999708962</v>
      </c>
      <c r="H169" t="str">
        <f t="shared" si="13"/>
        <v>18 min</v>
      </c>
      <c r="I169" t="s">
        <v>3</v>
      </c>
      <c r="J169" t="s">
        <v>83</v>
      </c>
      <c r="K169" t="s">
        <v>82</v>
      </c>
      <c r="L169">
        <v>4.2</v>
      </c>
      <c r="M169" t="s">
        <v>52</v>
      </c>
      <c r="N169" t="str" cm="1">
        <f t="array" ref="N169">_xlfn.IFS(
    AND(HOUR(A169)&gt;=0, HOUR(A169)&lt;10), "Morning",
    AND(HOUR(A169)&gt;=10, HOUR(A169)&lt;15), "Afternoon",
    AND(HOUR(E169)&gt;=15, HOUR(E169)&lt;19), "Evening",
    AND(HOUR(E169)&gt;=19, HOUR(E169)&lt;=23), "Night"
)</f>
        <v>Evening</v>
      </c>
    </row>
    <row r="170" spans="1:14" x14ac:dyDescent="0.25">
      <c r="A170" s="3">
        <v>42426.709027777775</v>
      </c>
      <c r="B170" s="2">
        <f t="shared" si="14"/>
        <v>42426</v>
      </c>
      <c r="C170" t="str">
        <f t="shared" si="15"/>
        <v>February</v>
      </c>
      <c r="D170" t="str">
        <f t="shared" si="16"/>
        <v>Friday</v>
      </c>
      <c r="E170" t="str">
        <f t="shared" si="12"/>
        <v>05:01:00 PM</v>
      </c>
      <c r="F170" s="3">
        <v>42426.716666666667</v>
      </c>
      <c r="G170" s="4">
        <f t="shared" si="17"/>
        <v>0.71666666666715173</v>
      </c>
      <c r="H170" t="str">
        <f t="shared" si="13"/>
        <v>11 min</v>
      </c>
      <c r="I170" t="s">
        <v>3</v>
      </c>
      <c r="J170" t="s">
        <v>82</v>
      </c>
      <c r="K170" t="s">
        <v>77</v>
      </c>
      <c r="L170">
        <v>2</v>
      </c>
      <c r="M170" t="s">
        <v>52</v>
      </c>
      <c r="N170" t="str" cm="1">
        <f t="array" ref="N170">_xlfn.IFS(
    AND(HOUR(A170)&gt;=0, HOUR(A170)&lt;10), "Morning",
    AND(HOUR(A170)&gt;=10, HOUR(A170)&lt;15), "Afternoon",
    AND(HOUR(E170)&gt;=15, HOUR(E170)&lt;19), "Evening",
    AND(HOUR(E170)&gt;=19, HOUR(E170)&lt;=23), "Night"
)</f>
        <v>Evening</v>
      </c>
    </row>
    <row r="171" spans="1:14" x14ac:dyDescent="0.25">
      <c r="A171" s="3">
        <v>42428.223611111112</v>
      </c>
      <c r="B171" s="2">
        <f t="shared" si="14"/>
        <v>42428</v>
      </c>
      <c r="C171" t="str">
        <f t="shared" si="15"/>
        <v>February</v>
      </c>
      <c r="D171" t="str">
        <f t="shared" si="16"/>
        <v>Sunday</v>
      </c>
      <c r="E171" t="str">
        <f t="shared" si="12"/>
        <v>05:22:00 AM</v>
      </c>
      <c r="F171" s="3">
        <v>42428.234722222223</v>
      </c>
      <c r="G171" s="4">
        <f t="shared" si="17"/>
        <v>0.23472222222335404</v>
      </c>
      <c r="H171" t="str">
        <f t="shared" si="13"/>
        <v>16 min</v>
      </c>
      <c r="I171" t="s">
        <v>2</v>
      </c>
      <c r="J171" t="s">
        <v>77</v>
      </c>
      <c r="K171" t="s">
        <v>109</v>
      </c>
      <c r="L171">
        <v>7.7</v>
      </c>
      <c r="M171" t="s">
        <v>10</v>
      </c>
      <c r="N171" t="str" cm="1">
        <f t="array" ref="N171">_xlfn.IFS(
    AND(HOUR(A171)&gt;=0, HOUR(A171)&lt;10), "Morning",
    AND(HOUR(A171)&gt;=10, HOUR(A171)&lt;15), "Afternoon",
    AND(HOUR(E171)&gt;=15, HOUR(E171)&lt;19), "Evening",
    AND(HOUR(E171)&gt;=19, HOUR(E171)&lt;=23), "Night"
)</f>
        <v>Morning</v>
      </c>
    </row>
    <row r="172" spans="1:14" x14ac:dyDescent="0.25">
      <c r="A172" s="3">
        <v>42428.393055555556</v>
      </c>
      <c r="B172" s="2">
        <f t="shared" si="14"/>
        <v>42428</v>
      </c>
      <c r="C172" t="str">
        <f t="shared" si="15"/>
        <v>February</v>
      </c>
      <c r="D172" t="str">
        <f t="shared" si="16"/>
        <v>Sunday</v>
      </c>
      <c r="E172" t="str">
        <f t="shared" si="12"/>
        <v>09:26:00 AM</v>
      </c>
      <c r="F172" s="3">
        <v>42428.404166666667</v>
      </c>
      <c r="G172" s="4">
        <f t="shared" si="17"/>
        <v>0.40416666666715173</v>
      </c>
      <c r="H172" t="str">
        <f t="shared" si="13"/>
        <v>16 min</v>
      </c>
      <c r="I172" t="s">
        <v>2</v>
      </c>
      <c r="J172" t="s">
        <v>109</v>
      </c>
      <c r="K172" t="s">
        <v>77</v>
      </c>
      <c r="L172">
        <v>6.8</v>
      </c>
      <c r="M172" t="s">
        <v>10</v>
      </c>
      <c r="N172" t="str" cm="1">
        <f t="array" ref="N172">_xlfn.IFS(
    AND(HOUR(A172)&gt;=0, HOUR(A172)&lt;10), "Morning",
    AND(HOUR(A172)&gt;=10, HOUR(A172)&lt;15), "Afternoon",
    AND(HOUR(E172)&gt;=15, HOUR(E172)&lt;19), "Evening",
    AND(HOUR(E172)&gt;=19, HOUR(E172)&lt;=23), "Night"
)</f>
        <v>Morning</v>
      </c>
    </row>
    <row r="173" spans="1:14" x14ac:dyDescent="0.25">
      <c r="A173" s="3">
        <v>42429.463194444441</v>
      </c>
      <c r="B173" s="2">
        <f t="shared" si="14"/>
        <v>42429</v>
      </c>
      <c r="C173" t="str">
        <f t="shared" si="15"/>
        <v>February</v>
      </c>
      <c r="D173" t="str">
        <f t="shared" si="16"/>
        <v>Monday</v>
      </c>
      <c r="E173" t="str">
        <f t="shared" si="12"/>
        <v>11:07:00 AM</v>
      </c>
      <c r="F173" s="3">
        <v>42429.468055555553</v>
      </c>
      <c r="G173" s="4">
        <f t="shared" si="17"/>
        <v>0.46805555555329192</v>
      </c>
      <c r="H173" t="str">
        <f t="shared" si="13"/>
        <v>7 min</v>
      </c>
      <c r="I173" t="s">
        <v>3</v>
      </c>
      <c r="J173" t="s">
        <v>77</v>
      </c>
      <c r="K173" t="s">
        <v>83</v>
      </c>
      <c r="L173">
        <v>2.1</v>
      </c>
      <c r="M173" t="s">
        <v>52</v>
      </c>
      <c r="N173" t="str" cm="1">
        <f t="array" ref="N173">_xlfn.IFS(
    AND(HOUR(A173)&gt;=0, HOUR(A173)&lt;10), "Morning",
    AND(HOUR(A173)&gt;=10, HOUR(A173)&lt;15), "Afternoon",
    AND(HOUR(E173)&gt;=15, HOUR(E173)&lt;19), "Evening",
    AND(HOUR(E173)&gt;=19, HOUR(E173)&lt;=23), "Night"
)</f>
        <v>Afternoon</v>
      </c>
    </row>
    <row r="174" spans="1:14" x14ac:dyDescent="0.25">
      <c r="A174" s="3">
        <v>42429.479166666664</v>
      </c>
      <c r="B174" s="2">
        <f t="shared" si="14"/>
        <v>42429</v>
      </c>
      <c r="C174" t="str">
        <f t="shared" si="15"/>
        <v>February</v>
      </c>
      <c r="D174" t="str">
        <f t="shared" si="16"/>
        <v>Monday</v>
      </c>
      <c r="E174" t="str">
        <f t="shared" si="12"/>
        <v>11:30:00 AM</v>
      </c>
      <c r="F174" s="3">
        <v>42429.486111111109</v>
      </c>
      <c r="G174" s="4">
        <f t="shared" si="17"/>
        <v>0.48611111110949423</v>
      </c>
      <c r="H174" t="str">
        <f t="shared" si="13"/>
        <v>10 min</v>
      </c>
      <c r="I174" t="s">
        <v>2</v>
      </c>
      <c r="J174" t="s">
        <v>55</v>
      </c>
      <c r="K174" t="s">
        <v>87</v>
      </c>
      <c r="L174">
        <v>3.8</v>
      </c>
      <c r="M174" t="s">
        <v>10</v>
      </c>
      <c r="N174" t="str" cm="1">
        <f t="array" ref="N174">_xlfn.IFS(
    AND(HOUR(A174)&gt;=0, HOUR(A174)&lt;10), "Morning",
    AND(HOUR(A174)&gt;=10, HOUR(A174)&lt;15), "Afternoon",
    AND(HOUR(E174)&gt;=15, HOUR(E174)&lt;19), "Evening",
    AND(HOUR(E174)&gt;=19, HOUR(E174)&lt;=23), "Night"
)</f>
        <v>Afternoon</v>
      </c>
    </row>
    <row r="175" spans="1:14" x14ac:dyDescent="0.25">
      <c r="A175" s="3">
        <v>42429.525000000001</v>
      </c>
      <c r="B175" s="2">
        <f t="shared" si="14"/>
        <v>42429</v>
      </c>
      <c r="C175" t="str">
        <f t="shared" si="15"/>
        <v>February</v>
      </c>
      <c r="D175" t="str">
        <f t="shared" si="16"/>
        <v>Monday</v>
      </c>
      <c r="E175" t="str">
        <f t="shared" si="12"/>
        <v>12:36:00 PM</v>
      </c>
      <c r="F175" s="3">
        <v>42429.533333333333</v>
      </c>
      <c r="G175" s="4">
        <f t="shared" si="17"/>
        <v>0.53333333333284827</v>
      </c>
      <c r="H175" t="str">
        <f t="shared" si="13"/>
        <v>12 min</v>
      </c>
      <c r="I175" t="s">
        <v>2</v>
      </c>
      <c r="J175" t="s">
        <v>87</v>
      </c>
      <c r="K175" t="s">
        <v>55</v>
      </c>
      <c r="L175">
        <v>5.6</v>
      </c>
      <c r="M175" t="s">
        <v>10</v>
      </c>
      <c r="N175" t="str" cm="1">
        <f t="array" ref="N175">_xlfn.IFS(
    AND(HOUR(A175)&gt;=0, HOUR(A175)&lt;10), "Morning",
    AND(HOUR(A175)&gt;=10, HOUR(A175)&lt;15), "Afternoon",
    AND(HOUR(E175)&gt;=15, HOUR(E175)&lt;19), "Evening",
    AND(HOUR(E175)&gt;=19, HOUR(E175)&lt;=23), "Night"
)</f>
        <v>Afternoon</v>
      </c>
    </row>
    <row r="176" spans="1:14" x14ac:dyDescent="0.25">
      <c r="A176" s="3">
        <v>42429.621527777781</v>
      </c>
      <c r="B176" s="2">
        <f t="shared" si="14"/>
        <v>42429</v>
      </c>
      <c r="C176" t="str">
        <f t="shared" si="15"/>
        <v>February</v>
      </c>
      <c r="D176" t="str">
        <f t="shared" si="16"/>
        <v>Monday</v>
      </c>
      <c r="E176" t="str">
        <f t="shared" si="12"/>
        <v>02:55:00 PM</v>
      </c>
      <c r="F176" s="3">
        <v>42429.627083333333</v>
      </c>
      <c r="G176" s="4">
        <f t="shared" si="17"/>
        <v>0.62708333333284827</v>
      </c>
      <c r="H176" t="str">
        <f t="shared" si="13"/>
        <v>8 min</v>
      </c>
      <c r="I176" t="s">
        <v>2</v>
      </c>
      <c r="J176" t="s">
        <v>77</v>
      </c>
      <c r="K176" t="s">
        <v>82</v>
      </c>
      <c r="L176">
        <v>2.6</v>
      </c>
      <c r="M176" t="s">
        <v>52</v>
      </c>
      <c r="N176" t="str" cm="1">
        <f t="array" ref="N176">_xlfn.IFS(
    AND(HOUR(A176)&gt;=0, HOUR(A176)&lt;10), "Morning",
    AND(HOUR(A176)&gt;=10, HOUR(A176)&lt;15), "Afternoon",
    AND(HOUR(E176)&gt;=15, HOUR(E176)&lt;19), "Evening",
    AND(HOUR(E176)&gt;=19, HOUR(E176)&lt;=23), "Night"
)</f>
        <v>Afternoon</v>
      </c>
    </row>
    <row r="177" spans="1:14" x14ac:dyDescent="0.25">
      <c r="A177" s="3">
        <v>42429.694444444445</v>
      </c>
      <c r="B177" s="2">
        <f t="shared" si="14"/>
        <v>42429</v>
      </c>
      <c r="C177" t="str">
        <f t="shared" si="15"/>
        <v>February</v>
      </c>
      <c r="D177" t="str">
        <f t="shared" si="16"/>
        <v>Monday</v>
      </c>
      <c r="E177" t="str">
        <f t="shared" si="12"/>
        <v>04:40:00 PM</v>
      </c>
      <c r="F177" s="3">
        <v>42429.708333333336</v>
      </c>
      <c r="G177" s="4">
        <f t="shared" si="17"/>
        <v>0.70833333333575865</v>
      </c>
      <c r="H177" t="str">
        <f t="shared" si="13"/>
        <v>20 min</v>
      </c>
      <c r="I177" t="s">
        <v>2</v>
      </c>
      <c r="J177" t="s">
        <v>82</v>
      </c>
      <c r="K177" t="s">
        <v>77</v>
      </c>
      <c r="L177">
        <v>6.6</v>
      </c>
      <c r="M177" t="s">
        <v>7</v>
      </c>
      <c r="N177" t="str" cm="1">
        <f t="array" ref="N177">_xlfn.IFS(
    AND(HOUR(A177)&gt;=0, HOUR(A177)&lt;10), "Morning",
    AND(HOUR(A177)&gt;=10, HOUR(A177)&lt;15), "Afternoon",
    AND(HOUR(E177)&gt;=15, HOUR(E177)&lt;19), "Evening",
    AND(HOUR(E177)&gt;=19, HOUR(E177)&lt;=23), "Night"
)</f>
        <v>Evening</v>
      </c>
    </row>
    <row r="178" spans="1:14" x14ac:dyDescent="0.25">
      <c r="A178" s="3">
        <v>42430.782638888886</v>
      </c>
      <c r="B178" s="2">
        <f t="shared" si="14"/>
        <v>42430</v>
      </c>
      <c r="C178" t="str">
        <f t="shared" si="15"/>
        <v>March</v>
      </c>
      <c r="D178" t="str">
        <f t="shared" si="16"/>
        <v>Tuesday</v>
      </c>
      <c r="E178" t="str">
        <f t="shared" si="12"/>
        <v>06:47:00 PM</v>
      </c>
      <c r="F178" s="3">
        <v>42430.798611111109</v>
      </c>
      <c r="G178" s="4">
        <f t="shared" si="17"/>
        <v>0.79861111110949423</v>
      </c>
      <c r="H178" t="str">
        <f t="shared" si="13"/>
        <v>23 min</v>
      </c>
      <c r="I178" t="s">
        <v>2</v>
      </c>
      <c r="J178" t="s">
        <v>77</v>
      </c>
      <c r="K178" t="s">
        <v>110</v>
      </c>
      <c r="L178">
        <v>8</v>
      </c>
      <c r="M178" t="s">
        <v>9</v>
      </c>
      <c r="N178" t="str" cm="1">
        <f t="array" ref="N178">_xlfn.IFS(
    AND(HOUR(A178)&gt;=0, HOUR(A178)&lt;10), "Morning",
    AND(HOUR(A178)&gt;=10, HOUR(A178)&lt;15), "Afternoon",
    AND(HOUR(E178)&gt;=15, HOUR(E178)&lt;19), "Evening",
    AND(HOUR(E178)&gt;=19, HOUR(E178)&lt;=23), "Night"
)</f>
        <v>Evening</v>
      </c>
    </row>
    <row r="179" spans="1:14" x14ac:dyDescent="0.25">
      <c r="A179" s="3">
        <v>42430.893750000003</v>
      </c>
      <c r="B179" s="2">
        <f t="shared" si="14"/>
        <v>42430</v>
      </c>
      <c r="C179" t="str">
        <f t="shared" si="15"/>
        <v>March</v>
      </c>
      <c r="D179" t="str">
        <f t="shared" si="16"/>
        <v>Tuesday</v>
      </c>
      <c r="E179" t="str">
        <f t="shared" si="12"/>
        <v>09:27:00 PM</v>
      </c>
      <c r="F179" s="3">
        <v>42430.90625</v>
      </c>
      <c r="G179" s="4">
        <f t="shared" si="17"/>
        <v>0.90625</v>
      </c>
      <c r="H179" t="str">
        <f t="shared" si="13"/>
        <v>18 min</v>
      </c>
      <c r="I179" t="s">
        <v>2</v>
      </c>
      <c r="J179" t="s">
        <v>110</v>
      </c>
      <c r="K179" t="s">
        <v>77</v>
      </c>
      <c r="L179">
        <v>8</v>
      </c>
      <c r="M179" t="s">
        <v>10</v>
      </c>
      <c r="N179" t="str" cm="1">
        <f t="array" ref="N179">_xlfn.IFS(
    AND(HOUR(A179)&gt;=0, HOUR(A179)&lt;10), "Morning",
    AND(HOUR(A179)&gt;=10, HOUR(A179)&lt;15), "Afternoon",
    AND(HOUR(E179)&gt;=15, HOUR(E179)&lt;19), "Evening",
    AND(HOUR(E179)&gt;=19, HOUR(E179)&lt;=23), "Night"
)</f>
        <v>Night</v>
      </c>
    </row>
    <row r="180" spans="1:14" x14ac:dyDescent="0.25">
      <c r="A180" s="3">
        <v>42432.40625</v>
      </c>
      <c r="B180" s="2">
        <f t="shared" si="14"/>
        <v>42432</v>
      </c>
      <c r="C180" t="str">
        <f t="shared" si="15"/>
        <v>March</v>
      </c>
      <c r="D180" t="str">
        <f t="shared" si="16"/>
        <v>Thursday</v>
      </c>
      <c r="E180" t="str">
        <f t="shared" si="12"/>
        <v>09:45:00 AM</v>
      </c>
      <c r="F180" s="3">
        <v>42432.411111111112</v>
      </c>
      <c r="G180" s="4">
        <f t="shared" si="17"/>
        <v>0.41111111111240461</v>
      </c>
      <c r="H180" t="str">
        <f t="shared" si="13"/>
        <v>7 min</v>
      </c>
      <c r="I180" t="s">
        <v>3</v>
      </c>
      <c r="J180" t="s">
        <v>77</v>
      </c>
      <c r="K180" t="s">
        <v>83</v>
      </c>
      <c r="L180">
        <v>2.2000000000000002</v>
      </c>
      <c r="M180" t="s">
        <v>52</v>
      </c>
      <c r="N180" t="str" cm="1">
        <f t="array" ref="N180">_xlfn.IFS(
    AND(HOUR(A180)&gt;=0, HOUR(A180)&lt;10), "Morning",
    AND(HOUR(A180)&gt;=10, HOUR(A180)&lt;15), "Afternoon",
    AND(HOUR(E180)&gt;=15, HOUR(E180)&lt;19), "Evening",
    AND(HOUR(E180)&gt;=19, HOUR(E180)&lt;=23), "Night"
)</f>
        <v>Morning</v>
      </c>
    </row>
    <row r="181" spans="1:14" x14ac:dyDescent="0.25">
      <c r="A181" s="3">
        <v>42432.461111111108</v>
      </c>
      <c r="B181" s="2">
        <f t="shared" si="14"/>
        <v>42432</v>
      </c>
      <c r="C181" t="str">
        <f t="shared" si="15"/>
        <v>March</v>
      </c>
      <c r="D181" t="str">
        <f t="shared" si="16"/>
        <v>Thursday</v>
      </c>
      <c r="E181" t="str">
        <f t="shared" si="12"/>
        <v>11:04:00 AM</v>
      </c>
      <c r="F181" s="3">
        <v>42432.465277777781</v>
      </c>
      <c r="G181" s="4">
        <f t="shared" si="17"/>
        <v>0.46527777778101154</v>
      </c>
      <c r="H181" t="str">
        <f t="shared" si="13"/>
        <v>6 min</v>
      </c>
      <c r="I181" t="s">
        <v>2</v>
      </c>
      <c r="J181" t="s">
        <v>83</v>
      </c>
      <c r="K181" t="s">
        <v>77</v>
      </c>
      <c r="L181">
        <v>2.2999999999999998</v>
      </c>
      <c r="M181" t="s">
        <v>8</v>
      </c>
      <c r="N181" t="str" cm="1">
        <f t="array" ref="N181">_xlfn.IFS(
    AND(HOUR(A181)&gt;=0, HOUR(A181)&lt;10), "Morning",
    AND(HOUR(A181)&gt;=10, HOUR(A181)&lt;15), "Afternoon",
    AND(HOUR(E181)&gt;=15, HOUR(E181)&lt;19), "Evening",
    AND(HOUR(E181)&gt;=19, HOUR(E181)&lt;=23), "Night"
)</f>
        <v>Afternoon</v>
      </c>
    </row>
    <row r="182" spans="1:14" x14ac:dyDescent="0.25">
      <c r="A182" s="3">
        <v>42432.613888888889</v>
      </c>
      <c r="B182" s="2">
        <f t="shared" si="14"/>
        <v>42432</v>
      </c>
      <c r="C182" t="str">
        <f t="shared" si="15"/>
        <v>March</v>
      </c>
      <c r="D182" t="str">
        <f t="shared" si="16"/>
        <v>Thursday</v>
      </c>
      <c r="E182" t="str">
        <f t="shared" si="12"/>
        <v>02:44:00 PM</v>
      </c>
      <c r="F182" s="3">
        <v>42432.623611111114</v>
      </c>
      <c r="G182" s="4">
        <f t="shared" si="17"/>
        <v>0.62361111111385981</v>
      </c>
      <c r="H182" t="str">
        <f t="shared" si="13"/>
        <v>14 min</v>
      </c>
      <c r="I182" t="s">
        <v>2</v>
      </c>
      <c r="J182" t="s">
        <v>77</v>
      </c>
      <c r="K182" t="s">
        <v>89</v>
      </c>
      <c r="L182">
        <v>5.2</v>
      </c>
      <c r="M182" t="s">
        <v>9</v>
      </c>
      <c r="N182" t="str" cm="1">
        <f t="array" ref="N182">_xlfn.IFS(
    AND(HOUR(A182)&gt;=0, HOUR(A182)&lt;10), "Morning",
    AND(HOUR(A182)&gt;=10, HOUR(A182)&lt;15), "Afternoon",
    AND(HOUR(E182)&gt;=15, HOUR(E182)&lt;19), "Evening",
    AND(HOUR(E182)&gt;=19, HOUR(E182)&lt;=23), "Night"
)</f>
        <v>Afternoon</v>
      </c>
    </row>
    <row r="183" spans="1:14" x14ac:dyDescent="0.25">
      <c r="A183" s="3">
        <v>42432.643750000003</v>
      </c>
      <c r="B183" s="2">
        <f t="shared" si="14"/>
        <v>42432</v>
      </c>
      <c r="C183" t="str">
        <f t="shared" si="15"/>
        <v>March</v>
      </c>
      <c r="D183" t="str">
        <f t="shared" si="16"/>
        <v>Thursday</v>
      </c>
      <c r="E183" t="str">
        <f t="shared" si="12"/>
        <v>03:27:00 PM</v>
      </c>
      <c r="F183" s="3">
        <v>42432.658333333333</v>
      </c>
      <c r="G183" s="4">
        <f t="shared" si="17"/>
        <v>0.65833333333284827</v>
      </c>
      <c r="H183" t="str">
        <f t="shared" si="13"/>
        <v>21 min</v>
      </c>
      <c r="I183" t="s">
        <v>2</v>
      </c>
      <c r="J183" t="s">
        <v>55</v>
      </c>
      <c r="K183" t="s">
        <v>79</v>
      </c>
      <c r="L183">
        <v>7.6</v>
      </c>
      <c r="M183" t="s">
        <v>7</v>
      </c>
      <c r="N183" t="str" cm="1">
        <f t="array" ref="N183">_xlfn.IFS(
    AND(HOUR(A183)&gt;=0, HOUR(A183)&lt;10), "Morning",
    AND(HOUR(A183)&gt;=10, HOUR(A183)&lt;15), "Afternoon",
    AND(HOUR(E183)&gt;=15, HOUR(E183)&lt;19), "Evening",
    AND(HOUR(E183)&gt;=19, HOUR(E183)&lt;=23), "Night"
)</f>
        <v>Evening</v>
      </c>
    </row>
    <row r="184" spans="1:14" x14ac:dyDescent="0.25">
      <c r="A184" s="3">
        <v>42432.668055555558</v>
      </c>
      <c r="B184" s="2">
        <f t="shared" si="14"/>
        <v>42432</v>
      </c>
      <c r="C184" t="str">
        <f t="shared" si="15"/>
        <v>March</v>
      </c>
      <c r="D184" t="str">
        <f t="shared" si="16"/>
        <v>Thursday</v>
      </c>
      <c r="E184" t="str">
        <f t="shared" si="12"/>
        <v>04:02:00 PM</v>
      </c>
      <c r="F184" s="3">
        <v>42432.695833333331</v>
      </c>
      <c r="G184" s="4">
        <f t="shared" si="17"/>
        <v>0.69583333333139308</v>
      </c>
      <c r="H184" t="str">
        <f t="shared" si="13"/>
        <v>40 min</v>
      </c>
      <c r="I184" t="s">
        <v>2</v>
      </c>
      <c r="J184" t="s">
        <v>79</v>
      </c>
      <c r="K184" t="s">
        <v>55</v>
      </c>
      <c r="L184">
        <v>17.3</v>
      </c>
      <c r="M184" t="s">
        <v>10</v>
      </c>
      <c r="N184" t="str" cm="1">
        <f t="array" ref="N184">_xlfn.IFS(
    AND(HOUR(A184)&gt;=0, HOUR(A184)&lt;10), "Morning",
    AND(HOUR(A184)&gt;=10, HOUR(A184)&lt;15), "Afternoon",
    AND(HOUR(E184)&gt;=15, HOUR(E184)&lt;19), "Evening",
    AND(HOUR(E184)&gt;=19, HOUR(E184)&lt;=23), "Night"
)</f>
        <v>Evening</v>
      </c>
    </row>
    <row r="185" spans="1:14" x14ac:dyDescent="0.25">
      <c r="A185" s="3">
        <v>42433.324305555558</v>
      </c>
      <c r="B185" s="2">
        <f t="shared" si="14"/>
        <v>42433</v>
      </c>
      <c r="C185" t="str">
        <f t="shared" si="15"/>
        <v>March</v>
      </c>
      <c r="D185" t="str">
        <f t="shared" si="16"/>
        <v>Friday</v>
      </c>
      <c r="E185" t="str">
        <f t="shared" si="12"/>
        <v>07:47:00 AM</v>
      </c>
      <c r="F185" s="3">
        <v>42433.337500000001</v>
      </c>
      <c r="G185" s="4">
        <f t="shared" si="17"/>
        <v>0.33750000000145519</v>
      </c>
      <c r="H185" t="str">
        <f t="shared" si="13"/>
        <v>19 min</v>
      </c>
      <c r="I185" t="s">
        <v>2</v>
      </c>
      <c r="J185" t="s">
        <v>55</v>
      </c>
      <c r="K185" t="s">
        <v>75</v>
      </c>
      <c r="L185">
        <v>9.9</v>
      </c>
      <c r="M185" t="s">
        <v>10</v>
      </c>
      <c r="N185" t="str" cm="1">
        <f t="array" ref="N185">_xlfn.IFS(
    AND(HOUR(A185)&gt;=0, HOUR(A185)&lt;10), "Morning",
    AND(HOUR(A185)&gt;=10, HOUR(A185)&lt;15), "Afternoon",
    AND(HOUR(E185)&gt;=15, HOUR(E185)&lt;19), "Evening",
    AND(HOUR(E185)&gt;=19, HOUR(E185)&lt;=23), "Night"
)</f>
        <v>Morning</v>
      </c>
    </row>
    <row r="186" spans="1:14" x14ac:dyDescent="0.25">
      <c r="A186" s="3">
        <v>42433.406944444447</v>
      </c>
      <c r="B186" s="2">
        <f t="shared" si="14"/>
        <v>42433</v>
      </c>
      <c r="C186" t="str">
        <f t="shared" si="15"/>
        <v>March</v>
      </c>
      <c r="D186" t="str">
        <f t="shared" si="16"/>
        <v>Friday</v>
      </c>
      <c r="E186" t="str">
        <f t="shared" si="12"/>
        <v>09:46:00 AM</v>
      </c>
      <c r="F186" s="3">
        <v>42433.418749999997</v>
      </c>
      <c r="G186" s="4">
        <f t="shared" si="17"/>
        <v>0.41874999999708962</v>
      </c>
      <c r="H186" t="str">
        <f t="shared" si="13"/>
        <v>17 min</v>
      </c>
      <c r="I186" t="s">
        <v>2</v>
      </c>
      <c r="J186" t="s">
        <v>75</v>
      </c>
      <c r="K186" t="s">
        <v>55</v>
      </c>
      <c r="L186">
        <v>9.9</v>
      </c>
      <c r="M186" t="s">
        <v>7</v>
      </c>
      <c r="N186" t="str" cm="1">
        <f t="array" ref="N186">_xlfn.IFS(
    AND(HOUR(A186)&gt;=0, HOUR(A186)&lt;10), "Morning",
    AND(HOUR(A186)&gt;=10, HOUR(A186)&lt;15), "Afternoon",
    AND(HOUR(E186)&gt;=15, HOUR(E186)&lt;19), "Evening",
    AND(HOUR(E186)&gt;=19, HOUR(E186)&lt;=23), "Night"
)</f>
        <v>Morning</v>
      </c>
    </row>
    <row r="187" spans="1:14" x14ac:dyDescent="0.25">
      <c r="A187" s="3">
        <v>42433.490277777775</v>
      </c>
      <c r="B187" s="2">
        <f t="shared" si="14"/>
        <v>42433</v>
      </c>
      <c r="C187" t="str">
        <f t="shared" si="15"/>
        <v>March</v>
      </c>
      <c r="D187" t="str">
        <f t="shared" si="16"/>
        <v>Friday</v>
      </c>
      <c r="E187" t="str">
        <f t="shared" si="12"/>
        <v>11:46:00 AM</v>
      </c>
      <c r="F187" s="3">
        <v>42433.504166666666</v>
      </c>
      <c r="G187" s="4">
        <f t="shared" si="17"/>
        <v>0.50416666666569654</v>
      </c>
      <c r="H187" t="str">
        <f t="shared" si="13"/>
        <v>20 min</v>
      </c>
      <c r="I187" t="s">
        <v>2</v>
      </c>
      <c r="J187" t="s">
        <v>55</v>
      </c>
      <c r="K187" t="s">
        <v>75</v>
      </c>
      <c r="L187">
        <v>10.4</v>
      </c>
      <c r="M187" t="s">
        <v>10</v>
      </c>
      <c r="N187" t="str" cm="1">
        <f t="array" ref="N187">_xlfn.IFS(
    AND(HOUR(A187)&gt;=0, HOUR(A187)&lt;10), "Morning",
    AND(HOUR(A187)&gt;=10, HOUR(A187)&lt;15), "Afternoon",
    AND(HOUR(E187)&gt;=15, HOUR(E187)&lt;19), "Evening",
    AND(HOUR(E187)&gt;=19, HOUR(E187)&lt;=23), "Night"
)</f>
        <v>Afternoon</v>
      </c>
    </row>
    <row r="188" spans="1:14" x14ac:dyDescent="0.25">
      <c r="A188" s="3">
        <v>42433.543749999997</v>
      </c>
      <c r="B188" s="2">
        <f t="shared" si="14"/>
        <v>42433</v>
      </c>
      <c r="C188" t="str">
        <f t="shared" si="15"/>
        <v>March</v>
      </c>
      <c r="D188" t="str">
        <f t="shared" si="16"/>
        <v>Friday</v>
      </c>
      <c r="E188" t="str">
        <f t="shared" si="12"/>
        <v>01:03:00 PM</v>
      </c>
      <c r="F188" s="3">
        <v>42433.559027777781</v>
      </c>
      <c r="G188" s="4">
        <f t="shared" si="17"/>
        <v>0.55902777778101154</v>
      </c>
      <c r="H188" t="str">
        <f t="shared" si="13"/>
        <v>22 min</v>
      </c>
      <c r="I188" t="s">
        <v>2</v>
      </c>
      <c r="J188" t="s">
        <v>75</v>
      </c>
      <c r="K188" t="s">
        <v>55</v>
      </c>
      <c r="L188">
        <v>10.9</v>
      </c>
      <c r="M188" t="s">
        <v>10</v>
      </c>
      <c r="N188" t="str" cm="1">
        <f t="array" ref="N188">_xlfn.IFS(
    AND(HOUR(A188)&gt;=0, HOUR(A188)&lt;10), "Morning",
    AND(HOUR(A188)&gt;=10, HOUR(A188)&lt;15), "Afternoon",
    AND(HOUR(E188)&gt;=15, HOUR(E188)&lt;19), "Evening",
    AND(HOUR(E188)&gt;=19, HOUR(E188)&lt;=23), "Night"
)</f>
        <v>Afternoon</v>
      </c>
    </row>
    <row r="189" spans="1:14" x14ac:dyDescent="0.25">
      <c r="A189" s="3">
        <v>42433.569444444445</v>
      </c>
      <c r="B189" s="2">
        <f t="shared" si="14"/>
        <v>42433</v>
      </c>
      <c r="C189" t="str">
        <f t="shared" si="15"/>
        <v>March</v>
      </c>
      <c r="D189" t="str">
        <f t="shared" si="16"/>
        <v>Friday</v>
      </c>
      <c r="E189" t="str">
        <f t="shared" si="12"/>
        <v>01:40:00 PM</v>
      </c>
      <c r="F189" s="3">
        <v>42433.589583333334</v>
      </c>
      <c r="G189" s="4">
        <f t="shared" si="17"/>
        <v>0.58958333333430346</v>
      </c>
      <c r="H189" t="str">
        <f t="shared" si="13"/>
        <v>29 min</v>
      </c>
      <c r="I189" t="s">
        <v>2</v>
      </c>
      <c r="J189" t="s">
        <v>55</v>
      </c>
      <c r="K189" t="s">
        <v>79</v>
      </c>
      <c r="L189">
        <v>15.7</v>
      </c>
      <c r="M189" t="s">
        <v>7</v>
      </c>
      <c r="N189" t="str" cm="1">
        <f t="array" ref="N189">_xlfn.IFS(
    AND(HOUR(A189)&gt;=0, HOUR(A189)&lt;10), "Morning",
    AND(HOUR(A189)&gt;=10, HOUR(A189)&lt;15), "Afternoon",
    AND(HOUR(E189)&gt;=15, HOUR(E189)&lt;19), "Evening",
    AND(HOUR(E189)&gt;=19, HOUR(E189)&lt;=23), "Night"
)</f>
        <v>Afternoon</v>
      </c>
    </row>
    <row r="190" spans="1:14" x14ac:dyDescent="0.25">
      <c r="A190" s="3">
        <v>42433.663888888892</v>
      </c>
      <c r="B190" s="2">
        <f t="shared" si="14"/>
        <v>42433</v>
      </c>
      <c r="C190" t="str">
        <f t="shared" si="15"/>
        <v>March</v>
      </c>
      <c r="D190" t="str">
        <f t="shared" si="16"/>
        <v>Friday</v>
      </c>
      <c r="E190" t="str">
        <f t="shared" si="12"/>
        <v>03:56:00 PM</v>
      </c>
      <c r="F190" s="3">
        <v>42433.672222222223</v>
      </c>
      <c r="G190" s="4">
        <f t="shared" si="17"/>
        <v>0.67222222222335404</v>
      </c>
      <c r="H190" t="str">
        <f t="shared" si="13"/>
        <v>12 min</v>
      </c>
      <c r="I190" t="s">
        <v>2</v>
      </c>
      <c r="J190" t="s">
        <v>79</v>
      </c>
      <c r="K190" t="s">
        <v>79</v>
      </c>
      <c r="L190">
        <v>4.9000000000000004</v>
      </c>
      <c r="M190" t="s">
        <v>9</v>
      </c>
      <c r="N190" t="str" cm="1">
        <f t="array" ref="N190">_xlfn.IFS(
    AND(HOUR(A190)&gt;=0, HOUR(A190)&lt;10), "Morning",
    AND(HOUR(A190)&gt;=10, HOUR(A190)&lt;15), "Afternoon",
    AND(HOUR(E190)&gt;=15, HOUR(E190)&lt;19), "Evening",
    AND(HOUR(E190)&gt;=19, HOUR(E190)&lt;=23), "Night"
)</f>
        <v>Evening</v>
      </c>
    </row>
    <row r="191" spans="1:14" x14ac:dyDescent="0.25">
      <c r="A191" s="3">
        <v>42433.677777777775</v>
      </c>
      <c r="B191" s="2">
        <f t="shared" si="14"/>
        <v>42433</v>
      </c>
      <c r="C191" t="str">
        <f t="shared" si="15"/>
        <v>March</v>
      </c>
      <c r="D191" t="str">
        <f t="shared" si="16"/>
        <v>Friday</v>
      </c>
      <c r="E191" t="str">
        <f t="shared" si="12"/>
        <v>04:16:00 PM</v>
      </c>
      <c r="F191" s="3">
        <v>42433.681944444441</v>
      </c>
      <c r="G191" s="4">
        <f t="shared" si="17"/>
        <v>0.68194444444088731</v>
      </c>
      <c r="H191" t="str">
        <f t="shared" si="13"/>
        <v>6 min</v>
      </c>
      <c r="I191" t="s">
        <v>2</v>
      </c>
      <c r="J191" t="s">
        <v>80</v>
      </c>
      <c r="K191" t="s">
        <v>111</v>
      </c>
      <c r="L191">
        <v>0.8</v>
      </c>
      <c r="M191" t="s">
        <v>8</v>
      </c>
      <c r="N191" t="str" cm="1">
        <f t="array" ref="N191">_xlfn.IFS(
    AND(HOUR(A191)&gt;=0, HOUR(A191)&lt;10), "Morning",
    AND(HOUR(A191)&gt;=10, HOUR(A191)&lt;15), "Afternoon",
    AND(HOUR(E191)&gt;=15, HOUR(E191)&lt;19), "Evening",
    AND(HOUR(E191)&gt;=19, HOUR(E191)&lt;=23), "Night"
)</f>
        <v>Evening</v>
      </c>
    </row>
    <row r="192" spans="1:14" x14ac:dyDescent="0.25">
      <c r="A192" s="3">
        <v>42433.696527777778</v>
      </c>
      <c r="B192" s="2">
        <f t="shared" si="14"/>
        <v>42433</v>
      </c>
      <c r="C192" t="str">
        <f t="shared" si="15"/>
        <v>March</v>
      </c>
      <c r="D192" t="str">
        <f t="shared" si="16"/>
        <v>Friday</v>
      </c>
      <c r="E192" t="str">
        <f t="shared" si="12"/>
        <v>04:43:00 PM</v>
      </c>
      <c r="F192" s="3">
        <v>42433.716666666667</v>
      </c>
      <c r="G192" s="4">
        <f t="shared" si="17"/>
        <v>0.71666666666715173</v>
      </c>
      <c r="H192" t="str">
        <f t="shared" si="13"/>
        <v>29 min</v>
      </c>
      <c r="I192" t="s">
        <v>2</v>
      </c>
      <c r="J192" t="s">
        <v>79</v>
      </c>
      <c r="K192" t="s">
        <v>55</v>
      </c>
      <c r="L192">
        <v>13.5</v>
      </c>
      <c r="M192" t="s">
        <v>10</v>
      </c>
      <c r="N192" t="str" cm="1">
        <f t="array" ref="N192">_xlfn.IFS(
    AND(HOUR(A192)&gt;=0, HOUR(A192)&lt;10), "Morning",
    AND(HOUR(A192)&gt;=10, HOUR(A192)&lt;15), "Afternoon",
    AND(HOUR(E192)&gt;=15, HOUR(E192)&lt;19), "Evening",
    AND(HOUR(E192)&gt;=19, HOUR(E192)&lt;=23), "Night"
)</f>
        <v>Evening</v>
      </c>
    </row>
    <row r="193" spans="1:14" x14ac:dyDescent="0.25">
      <c r="A193" s="3">
        <v>42433.793055555558</v>
      </c>
      <c r="B193" s="2">
        <f t="shared" si="14"/>
        <v>42433</v>
      </c>
      <c r="C193" t="str">
        <f t="shared" si="15"/>
        <v>March</v>
      </c>
      <c r="D193" t="str">
        <f t="shared" si="16"/>
        <v>Friday</v>
      </c>
      <c r="E193" t="str">
        <f t="shared" si="12"/>
        <v>07:02:00 PM</v>
      </c>
      <c r="F193" s="3">
        <v>42433.797222222223</v>
      </c>
      <c r="G193" s="4">
        <f t="shared" si="17"/>
        <v>0.79722222222335404</v>
      </c>
      <c r="H193" t="str">
        <f t="shared" si="13"/>
        <v>6 min</v>
      </c>
      <c r="I193" t="s">
        <v>2</v>
      </c>
      <c r="J193" t="s">
        <v>55</v>
      </c>
      <c r="K193" t="s">
        <v>56</v>
      </c>
      <c r="L193">
        <v>1.9</v>
      </c>
      <c r="M193" t="s">
        <v>11</v>
      </c>
      <c r="N193" t="str" cm="1">
        <f t="array" ref="N193">_xlfn.IFS(
    AND(HOUR(A193)&gt;=0, HOUR(A193)&lt;10), "Morning",
    AND(HOUR(A193)&gt;=10, HOUR(A193)&lt;15), "Afternoon",
    AND(HOUR(E193)&gt;=15, HOUR(E193)&lt;19), "Evening",
    AND(HOUR(E193)&gt;=19, HOUR(E193)&lt;=23), "Night"
)</f>
        <v>Night</v>
      </c>
    </row>
    <row r="194" spans="1:14" x14ac:dyDescent="0.25">
      <c r="A194" s="3">
        <v>42433.802777777775</v>
      </c>
      <c r="B194" s="2">
        <f t="shared" si="14"/>
        <v>42433</v>
      </c>
      <c r="C194" t="str">
        <f t="shared" si="15"/>
        <v>March</v>
      </c>
      <c r="D194" t="str">
        <f t="shared" si="16"/>
        <v>Friday</v>
      </c>
      <c r="E194" t="str">
        <f t="shared" ref="E194:E257" si="18">TEXT(A194, "hh:mm:ss AM/PM")</f>
        <v>07:16:00 PM</v>
      </c>
      <c r="F194" s="3">
        <v>42433.809027777781</v>
      </c>
      <c r="G194" s="4">
        <f t="shared" si="17"/>
        <v>0.80902777778101154</v>
      </c>
      <c r="H194" t="str">
        <f t="shared" ref="H194:H257" si="19">HOUR(IF(G194&lt;E194, G194+1-E194, G194-E194))*60 + MINUTE(IF(G194&lt;E194, G194+1-E194, G194-E194)) &amp; " min"</f>
        <v>9 min</v>
      </c>
      <c r="I194" t="s">
        <v>2</v>
      </c>
      <c r="J194" t="s">
        <v>56</v>
      </c>
      <c r="K194" t="s">
        <v>55</v>
      </c>
      <c r="L194">
        <v>2</v>
      </c>
      <c r="M194" t="s">
        <v>9</v>
      </c>
      <c r="N194" t="str" cm="1">
        <f t="array" ref="N194">_xlfn.IFS(
    AND(HOUR(A194)&gt;=0, HOUR(A194)&lt;10), "Morning",
    AND(HOUR(A194)&gt;=10, HOUR(A194)&lt;15), "Afternoon",
    AND(HOUR(E194)&gt;=15, HOUR(E194)&lt;19), "Evening",
    AND(HOUR(E194)&gt;=19, HOUR(E194)&lt;=23), "Night"
)</f>
        <v>Night</v>
      </c>
    </row>
    <row r="195" spans="1:14" x14ac:dyDescent="0.25">
      <c r="A195" s="3">
        <v>42434.488888888889</v>
      </c>
      <c r="B195" s="2">
        <f t="shared" ref="B195:B258" si="20">INT(A195)</f>
        <v>42434</v>
      </c>
      <c r="C195" t="str">
        <f t="shared" ref="C195:C258" si="21">TEXT(B195, "mmmm")</f>
        <v>March</v>
      </c>
      <c r="D195" t="str">
        <f t="shared" ref="D195:D258" si="22">TEXT(B195, "dddd")</f>
        <v>Saturday</v>
      </c>
      <c r="E195" t="str">
        <f t="shared" si="18"/>
        <v>11:44:00 AM</v>
      </c>
      <c r="F195" s="3">
        <v>42434.499305555553</v>
      </c>
      <c r="G195" s="4">
        <f t="shared" ref="G195:G258" si="23">F195-INT(F195)</f>
        <v>0.49930555555329192</v>
      </c>
      <c r="H195" t="str">
        <f t="shared" si="19"/>
        <v>15 min</v>
      </c>
      <c r="I195" t="s">
        <v>2</v>
      </c>
      <c r="J195" t="s">
        <v>55</v>
      </c>
      <c r="K195" t="s">
        <v>56</v>
      </c>
      <c r="L195">
        <v>6.5</v>
      </c>
      <c r="M195" t="s">
        <v>9</v>
      </c>
      <c r="N195" t="str" cm="1">
        <f t="array" ref="N195">_xlfn.IFS(
    AND(HOUR(A195)&gt;=0, HOUR(A195)&lt;10), "Morning",
    AND(HOUR(A195)&gt;=10, HOUR(A195)&lt;15), "Afternoon",
    AND(HOUR(E195)&gt;=15, HOUR(E195)&lt;19), "Evening",
    AND(HOUR(E195)&gt;=19, HOUR(E195)&lt;=23), "Night"
)</f>
        <v>Afternoon</v>
      </c>
    </row>
    <row r="196" spans="1:14" x14ac:dyDescent="0.25">
      <c r="A196" s="3">
        <v>42434.539583333331</v>
      </c>
      <c r="B196" s="2">
        <f t="shared" si="20"/>
        <v>42434</v>
      </c>
      <c r="C196" t="str">
        <f t="shared" si="21"/>
        <v>March</v>
      </c>
      <c r="D196" t="str">
        <f t="shared" si="22"/>
        <v>Saturday</v>
      </c>
      <c r="E196" t="str">
        <f t="shared" si="18"/>
        <v>12:57:00 PM</v>
      </c>
      <c r="F196" s="3">
        <v>42434.55</v>
      </c>
      <c r="G196" s="4">
        <f t="shared" si="23"/>
        <v>0.55000000000291038</v>
      </c>
      <c r="H196" t="str">
        <f t="shared" si="19"/>
        <v>15 min</v>
      </c>
      <c r="I196" t="s">
        <v>3</v>
      </c>
      <c r="J196" t="s">
        <v>112</v>
      </c>
      <c r="K196" t="s">
        <v>112</v>
      </c>
      <c r="L196">
        <v>4.2</v>
      </c>
      <c r="M196" t="s">
        <v>52</v>
      </c>
      <c r="N196" t="str" cm="1">
        <f t="array" ref="N196">_xlfn.IFS(
    AND(HOUR(A196)&gt;=0, HOUR(A196)&lt;10), "Morning",
    AND(HOUR(A196)&gt;=10, HOUR(A196)&lt;15), "Afternoon",
    AND(HOUR(E196)&gt;=15, HOUR(E196)&lt;19), "Evening",
    AND(HOUR(E196)&gt;=19, HOUR(E196)&lt;=23), "Night"
)</f>
        <v>Afternoon</v>
      </c>
    </row>
    <row r="197" spans="1:14" x14ac:dyDescent="0.25">
      <c r="A197" s="3">
        <v>42434.588888888888</v>
      </c>
      <c r="B197" s="2">
        <f t="shared" si="20"/>
        <v>42434</v>
      </c>
      <c r="C197" t="str">
        <f t="shared" si="21"/>
        <v>March</v>
      </c>
      <c r="D197" t="str">
        <f t="shared" si="22"/>
        <v>Saturday</v>
      </c>
      <c r="E197" t="str">
        <f t="shared" si="18"/>
        <v>02:08:00 PM</v>
      </c>
      <c r="F197" s="3">
        <v>42434.595833333333</v>
      </c>
      <c r="G197" s="4">
        <f t="shared" si="23"/>
        <v>0.59583333333284827</v>
      </c>
      <c r="H197" t="str">
        <f t="shared" si="19"/>
        <v>10 min</v>
      </c>
      <c r="I197" t="s">
        <v>3</v>
      </c>
      <c r="J197" t="s">
        <v>56</v>
      </c>
      <c r="K197" t="s">
        <v>55</v>
      </c>
      <c r="L197">
        <v>3.5</v>
      </c>
      <c r="M197" t="s">
        <v>52</v>
      </c>
      <c r="N197" t="str" cm="1">
        <f t="array" ref="N197">_xlfn.IFS(
    AND(HOUR(A197)&gt;=0, HOUR(A197)&lt;10), "Morning",
    AND(HOUR(A197)&gt;=10, HOUR(A197)&lt;15), "Afternoon",
    AND(HOUR(E197)&gt;=15, HOUR(E197)&lt;19), "Evening",
    AND(HOUR(E197)&gt;=19, HOUR(E197)&lt;=23), "Night"
)</f>
        <v>Afternoon</v>
      </c>
    </row>
    <row r="198" spans="1:14" x14ac:dyDescent="0.25">
      <c r="A198" s="3">
        <v>42434.61041666667</v>
      </c>
      <c r="B198" s="2">
        <f t="shared" si="20"/>
        <v>42434</v>
      </c>
      <c r="C198" t="str">
        <f t="shared" si="21"/>
        <v>March</v>
      </c>
      <c r="D198" t="str">
        <f t="shared" si="22"/>
        <v>Saturday</v>
      </c>
      <c r="E198" t="str">
        <f t="shared" si="18"/>
        <v>02:39:00 PM</v>
      </c>
      <c r="F198" s="3">
        <v>42434.625694444447</v>
      </c>
      <c r="G198" s="4">
        <f t="shared" si="23"/>
        <v>0.62569444444670808</v>
      </c>
      <c r="H198" t="str">
        <f t="shared" si="19"/>
        <v>22 min</v>
      </c>
      <c r="I198" t="s">
        <v>2</v>
      </c>
      <c r="J198" t="s">
        <v>77</v>
      </c>
      <c r="K198" t="s">
        <v>110</v>
      </c>
      <c r="L198">
        <v>7.8</v>
      </c>
      <c r="M198" t="s">
        <v>9</v>
      </c>
      <c r="N198" t="str" cm="1">
        <f t="array" ref="N198">_xlfn.IFS(
    AND(HOUR(A198)&gt;=0, HOUR(A198)&lt;10), "Morning",
    AND(HOUR(A198)&gt;=10, HOUR(A198)&lt;15), "Afternoon",
    AND(HOUR(E198)&gt;=15, HOUR(E198)&lt;19), "Evening",
    AND(HOUR(E198)&gt;=19, HOUR(E198)&lt;=23), "Night"
)</f>
        <v>Afternoon</v>
      </c>
    </row>
    <row r="199" spans="1:14" x14ac:dyDescent="0.25">
      <c r="A199" s="3">
        <v>42434.702777777777</v>
      </c>
      <c r="B199" s="2">
        <f t="shared" si="20"/>
        <v>42434</v>
      </c>
      <c r="C199" t="str">
        <f t="shared" si="21"/>
        <v>March</v>
      </c>
      <c r="D199" t="str">
        <f t="shared" si="22"/>
        <v>Saturday</v>
      </c>
      <c r="E199" t="str">
        <f t="shared" si="18"/>
        <v>04:52:00 PM</v>
      </c>
      <c r="F199" s="3">
        <v>42434.717361111114</v>
      </c>
      <c r="G199" s="4">
        <f t="shared" si="23"/>
        <v>0.71736111111385981</v>
      </c>
      <c r="H199" t="str">
        <f t="shared" si="19"/>
        <v>21 min</v>
      </c>
      <c r="I199" t="s">
        <v>2</v>
      </c>
      <c r="J199" t="s">
        <v>55</v>
      </c>
      <c r="K199" t="s">
        <v>56</v>
      </c>
      <c r="L199">
        <v>7.8</v>
      </c>
      <c r="M199" t="s">
        <v>9</v>
      </c>
      <c r="N199" t="str" cm="1">
        <f t="array" ref="N199">_xlfn.IFS(
    AND(HOUR(A199)&gt;=0, HOUR(A199)&lt;10), "Morning",
    AND(HOUR(A199)&gt;=10, HOUR(A199)&lt;15), "Afternoon",
    AND(HOUR(E199)&gt;=15, HOUR(E199)&lt;19), "Evening",
    AND(HOUR(E199)&gt;=19, HOUR(E199)&lt;=23), "Night"
)</f>
        <v>Evening</v>
      </c>
    </row>
    <row r="200" spans="1:14" x14ac:dyDescent="0.25">
      <c r="A200" s="3">
        <v>42434.724305555559</v>
      </c>
      <c r="B200" s="2">
        <f t="shared" si="20"/>
        <v>42434</v>
      </c>
      <c r="C200" t="str">
        <f t="shared" si="21"/>
        <v>March</v>
      </c>
      <c r="D200" t="str">
        <f t="shared" si="22"/>
        <v>Saturday</v>
      </c>
      <c r="E200" t="str">
        <f t="shared" si="18"/>
        <v>05:23:00 PM</v>
      </c>
      <c r="F200" s="3">
        <v>42434.731944444444</v>
      </c>
      <c r="G200" s="4">
        <f t="shared" si="23"/>
        <v>0.73194444444379769</v>
      </c>
      <c r="H200" t="str">
        <f t="shared" si="19"/>
        <v>11 min</v>
      </c>
      <c r="I200" t="s">
        <v>2</v>
      </c>
      <c r="J200" t="s">
        <v>56</v>
      </c>
      <c r="K200" t="s">
        <v>55</v>
      </c>
      <c r="L200">
        <v>3.9</v>
      </c>
      <c r="M200" t="s">
        <v>9</v>
      </c>
      <c r="N200" t="str" cm="1">
        <f t="array" ref="N200">_xlfn.IFS(
    AND(HOUR(A200)&gt;=0, HOUR(A200)&lt;10), "Morning",
    AND(HOUR(A200)&gt;=10, HOUR(A200)&lt;15), "Afternoon",
    AND(HOUR(E200)&gt;=15, HOUR(E200)&lt;19), "Evening",
    AND(HOUR(E200)&gt;=19, HOUR(E200)&lt;=23), "Night"
)</f>
        <v>Evening</v>
      </c>
    </row>
    <row r="201" spans="1:14" x14ac:dyDescent="0.25">
      <c r="A201" s="3">
        <v>42436.381944444445</v>
      </c>
      <c r="B201" s="2">
        <f t="shared" si="20"/>
        <v>42436</v>
      </c>
      <c r="C201" t="str">
        <f t="shared" si="21"/>
        <v>March</v>
      </c>
      <c r="D201" t="str">
        <f t="shared" si="22"/>
        <v>Monday</v>
      </c>
      <c r="E201" t="str">
        <f t="shared" si="18"/>
        <v>09:10:00 AM</v>
      </c>
      <c r="F201" s="3">
        <v>42436.388888888891</v>
      </c>
      <c r="G201" s="4">
        <f t="shared" si="23"/>
        <v>0.38888888889050577</v>
      </c>
      <c r="H201" t="str">
        <f t="shared" si="19"/>
        <v>10 min</v>
      </c>
      <c r="I201" t="s">
        <v>2</v>
      </c>
      <c r="J201" t="s">
        <v>77</v>
      </c>
      <c r="K201" t="s">
        <v>92</v>
      </c>
      <c r="L201">
        <v>2.8</v>
      </c>
      <c r="M201" t="s">
        <v>8</v>
      </c>
      <c r="N201" t="str" cm="1">
        <f t="array" ref="N201">_xlfn.IFS(
    AND(HOUR(A201)&gt;=0, HOUR(A201)&lt;10), "Morning",
    AND(HOUR(A201)&gt;=10, HOUR(A201)&lt;15), "Afternoon",
    AND(HOUR(E201)&gt;=15, HOUR(E201)&lt;19), "Evening",
    AND(HOUR(E201)&gt;=19, HOUR(E201)&lt;=23), "Night"
)</f>
        <v>Morning</v>
      </c>
    </row>
    <row r="202" spans="1:14" x14ac:dyDescent="0.25">
      <c r="A202" s="3">
        <v>42436.390972222223</v>
      </c>
      <c r="B202" s="2">
        <f t="shared" si="20"/>
        <v>42436</v>
      </c>
      <c r="C202" t="str">
        <f t="shared" si="21"/>
        <v>March</v>
      </c>
      <c r="D202" t="str">
        <f t="shared" si="22"/>
        <v>Monday</v>
      </c>
      <c r="E202" t="str">
        <f t="shared" si="18"/>
        <v>09:23:00 AM</v>
      </c>
      <c r="F202" s="3">
        <v>42436.407638888886</v>
      </c>
      <c r="G202" s="4">
        <f t="shared" si="23"/>
        <v>0.40763888888614019</v>
      </c>
      <c r="H202" t="str">
        <f t="shared" si="19"/>
        <v>24 min</v>
      </c>
      <c r="I202" t="s">
        <v>2</v>
      </c>
      <c r="J202" t="s">
        <v>55</v>
      </c>
      <c r="K202" t="s">
        <v>79</v>
      </c>
      <c r="L202">
        <v>12.4</v>
      </c>
      <c r="M202" t="s">
        <v>7</v>
      </c>
      <c r="N202" t="str" cm="1">
        <f t="array" ref="N202">_xlfn.IFS(
    AND(HOUR(A202)&gt;=0, HOUR(A202)&lt;10), "Morning",
    AND(HOUR(A202)&gt;=10, HOUR(A202)&lt;15), "Afternoon",
    AND(HOUR(E202)&gt;=15, HOUR(E202)&lt;19), "Evening",
    AND(HOUR(E202)&gt;=19, HOUR(E202)&lt;=23), "Night"
)</f>
        <v>Morning</v>
      </c>
    </row>
    <row r="203" spans="1:14" x14ac:dyDescent="0.25">
      <c r="A203" s="3">
        <v>42436.506944444445</v>
      </c>
      <c r="B203" s="2">
        <f t="shared" si="20"/>
        <v>42436</v>
      </c>
      <c r="C203" t="str">
        <f t="shared" si="21"/>
        <v>March</v>
      </c>
      <c r="D203" t="str">
        <f t="shared" si="22"/>
        <v>Monday</v>
      </c>
      <c r="E203" t="str">
        <f t="shared" si="18"/>
        <v>12:10:00 PM</v>
      </c>
      <c r="F203" s="3">
        <v>42436.518055555556</v>
      </c>
      <c r="G203" s="4">
        <f t="shared" si="23"/>
        <v>0.51805555555620231</v>
      </c>
      <c r="H203" t="str">
        <f t="shared" si="19"/>
        <v>16 min</v>
      </c>
      <c r="I203" t="s">
        <v>2</v>
      </c>
      <c r="J203" t="s">
        <v>80</v>
      </c>
      <c r="K203" t="s">
        <v>85</v>
      </c>
      <c r="L203">
        <v>5.9</v>
      </c>
      <c r="M203" t="s">
        <v>7</v>
      </c>
      <c r="N203" t="str" cm="1">
        <f t="array" ref="N203">_xlfn.IFS(
    AND(HOUR(A203)&gt;=0, HOUR(A203)&lt;10), "Morning",
    AND(HOUR(A203)&gt;=10, HOUR(A203)&lt;15), "Afternoon",
    AND(HOUR(E203)&gt;=15, HOUR(E203)&lt;19), "Evening",
    AND(HOUR(E203)&gt;=19, HOUR(E203)&lt;=23), "Night"
)</f>
        <v>Afternoon</v>
      </c>
    </row>
    <row r="204" spans="1:14" x14ac:dyDescent="0.25">
      <c r="A204" s="3">
        <v>42436.581250000003</v>
      </c>
      <c r="B204" s="2">
        <f t="shared" si="20"/>
        <v>42436</v>
      </c>
      <c r="C204" t="str">
        <f t="shared" si="21"/>
        <v>March</v>
      </c>
      <c r="D204" t="str">
        <f t="shared" si="22"/>
        <v>Monday</v>
      </c>
      <c r="E204" t="str">
        <f t="shared" si="18"/>
        <v>01:57:00 PM</v>
      </c>
      <c r="F204" s="3">
        <v>42436.595833333333</v>
      </c>
      <c r="G204" s="4">
        <f t="shared" si="23"/>
        <v>0.59583333333284827</v>
      </c>
      <c r="H204" t="str">
        <f t="shared" si="19"/>
        <v>21 min</v>
      </c>
      <c r="I204" t="s">
        <v>2</v>
      </c>
      <c r="J204" t="s">
        <v>85</v>
      </c>
      <c r="K204" t="s">
        <v>86</v>
      </c>
      <c r="L204">
        <v>9.4</v>
      </c>
      <c r="M204" t="s">
        <v>10</v>
      </c>
      <c r="N204" t="str" cm="1">
        <f t="array" ref="N204">_xlfn.IFS(
    AND(HOUR(A204)&gt;=0, HOUR(A204)&lt;10), "Morning",
    AND(HOUR(A204)&gt;=10, HOUR(A204)&lt;15), "Afternoon",
    AND(HOUR(E204)&gt;=15, HOUR(E204)&lt;19), "Evening",
    AND(HOUR(E204)&gt;=19, HOUR(E204)&lt;=23), "Night"
)</f>
        <v>Afternoon</v>
      </c>
    </row>
    <row r="205" spans="1:14" x14ac:dyDescent="0.25">
      <c r="A205" s="3">
        <v>42436.638194444444</v>
      </c>
      <c r="B205" s="2">
        <f t="shared" si="20"/>
        <v>42436</v>
      </c>
      <c r="C205" t="str">
        <f t="shared" si="21"/>
        <v>March</v>
      </c>
      <c r="D205" t="str">
        <f t="shared" si="22"/>
        <v>Monday</v>
      </c>
      <c r="E205" t="str">
        <f t="shared" si="18"/>
        <v>03:19:00 PM</v>
      </c>
      <c r="F205" s="3">
        <v>42436.65625</v>
      </c>
      <c r="G205" s="4">
        <f t="shared" si="23"/>
        <v>0.65625</v>
      </c>
      <c r="H205" t="str">
        <f t="shared" si="19"/>
        <v>26 min</v>
      </c>
      <c r="I205" t="s">
        <v>2</v>
      </c>
      <c r="J205" t="s">
        <v>79</v>
      </c>
      <c r="K205" t="s">
        <v>55</v>
      </c>
      <c r="L205">
        <v>11.9</v>
      </c>
      <c r="M205" t="s">
        <v>6</v>
      </c>
      <c r="N205" t="str" cm="1">
        <f t="array" ref="N205">_xlfn.IFS(
    AND(HOUR(A205)&gt;=0, HOUR(A205)&lt;10), "Morning",
    AND(HOUR(A205)&gt;=10, HOUR(A205)&lt;15), "Afternoon",
    AND(HOUR(E205)&gt;=15, HOUR(E205)&lt;19), "Evening",
    AND(HOUR(E205)&gt;=19, HOUR(E205)&lt;=23), "Night"
)</f>
        <v>Evening</v>
      </c>
    </row>
    <row r="206" spans="1:14" x14ac:dyDescent="0.25">
      <c r="A206" s="3">
        <v>42437.609722222223</v>
      </c>
      <c r="B206" s="2">
        <f t="shared" si="20"/>
        <v>42437</v>
      </c>
      <c r="C206" t="str">
        <f t="shared" si="21"/>
        <v>March</v>
      </c>
      <c r="D206" t="str">
        <f t="shared" si="22"/>
        <v>Tuesday</v>
      </c>
      <c r="E206" t="str">
        <f t="shared" si="18"/>
        <v>02:38:00 PM</v>
      </c>
      <c r="F206" s="3">
        <v>42437.621527777781</v>
      </c>
      <c r="G206" s="4">
        <f t="shared" si="23"/>
        <v>0.62152777778101154</v>
      </c>
      <c r="H206" t="str">
        <f t="shared" si="19"/>
        <v>17 min</v>
      </c>
      <c r="I206" t="s">
        <v>2</v>
      </c>
      <c r="J206" t="s">
        <v>77</v>
      </c>
      <c r="K206" t="s">
        <v>109</v>
      </c>
      <c r="L206">
        <v>7.2</v>
      </c>
      <c r="M206" t="s">
        <v>6</v>
      </c>
      <c r="N206" t="str" cm="1">
        <f t="array" ref="N206">_xlfn.IFS(
    AND(HOUR(A206)&gt;=0, HOUR(A206)&lt;10), "Morning",
    AND(HOUR(A206)&gt;=10, HOUR(A206)&lt;15), "Afternoon",
    AND(HOUR(E206)&gt;=15, HOUR(E206)&lt;19), "Evening",
    AND(HOUR(E206)&gt;=19, HOUR(E206)&lt;=23), "Night"
)</f>
        <v>Afternoon</v>
      </c>
    </row>
    <row r="207" spans="1:14" x14ac:dyDescent="0.25">
      <c r="A207" s="3">
        <v>42437.649305555555</v>
      </c>
      <c r="B207" s="2">
        <f t="shared" si="20"/>
        <v>42437</v>
      </c>
      <c r="C207" t="str">
        <f t="shared" si="21"/>
        <v>March</v>
      </c>
      <c r="D207" t="str">
        <f t="shared" si="22"/>
        <v>Tuesday</v>
      </c>
      <c r="E207" t="str">
        <f t="shared" si="18"/>
        <v>03:35:00 PM</v>
      </c>
      <c r="F207" s="3">
        <v>42437.666666666664</v>
      </c>
      <c r="G207" s="4">
        <f t="shared" si="23"/>
        <v>0.66666666666424135</v>
      </c>
      <c r="H207" t="str">
        <f t="shared" si="19"/>
        <v>25 min</v>
      </c>
      <c r="I207" t="s">
        <v>2</v>
      </c>
      <c r="J207" t="s">
        <v>109</v>
      </c>
      <c r="K207" t="s">
        <v>77</v>
      </c>
      <c r="L207">
        <v>7.6</v>
      </c>
      <c r="M207" t="s">
        <v>9</v>
      </c>
      <c r="N207" t="str" cm="1">
        <f t="array" ref="N207">_xlfn.IFS(
    AND(HOUR(A207)&gt;=0, HOUR(A207)&lt;10), "Morning",
    AND(HOUR(A207)&gt;=10, HOUR(A207)&lt;15), "Afternoon",
    AND(HOUR(E207)&gt;=15, HOUR(E207)&lt;19), "Evening",
    AND(HOUR(E207)&gt;=19, HOUR(E207)&lt;=23), "Night"
)</f>
        <v>Evening</v>
      </c>
    </row>
    <row r="208" spans="1:14" x14ac:dyDescent="0.25">
      <c r="A208" s="3">
        <v>42437.675694444442</v>
      </c>
      <c r="B208" s="2">
        <f t="shared" si="20"/>
        <v>42437</v>
      </c>
      <c r="C208" t="str">
        <f t="shared" si="21"/>
        <v>March</v>
      </c>
      <c r="D208" t="str">
        <f t="shared" si="22"/>
        <v>Tuesday</v>
      </c>
      <c r="E208" t="str">
        <f t="shared" si="18"/>
        <v>04:13:00 PM</v>
      </c>
      <c r="F208" s="3">
        <v>42437.684027777781</v>
      </c>
      <c r="G208" s="4">
        <f t="shared" si="23"/>
        <v>0.68402777778101154</v>
      </c>
      <c r="H208" t="str">
        <f t="shared" si="19"/>
        <v>12 min</v>
      </c>
      <c r="I208" t="s">
        <v>3</v>
      </c>
      <c r="J208" t="s">
        <v>77</v>
      </c>
      <c r="K208" t="s">
        <v>77</v>
      </c>
      <c r="L208">
        <v>1.6</v>
      </c>
      <c r="M208" t="s">
        <v>52</v>
      </c>
      <c r="N208" t="str" cm="1">
        <f t="array" ref="N208">_xlfn.IFS(
    AND(HOUR(A208)&gt;=0, HOUR(A208)&lt;10), "Morning",
    AND(HOUR(A208)&gt;=10, HOUR(A208)&lt;15), "Afternoon",
    AND(HOUR(E208)&gt;=15, HOUR(E208)&lt;19), "Evening",
    AND(HOUR(E208)&gt;=19, HOUR(E208)&lt;=23), "Night"
)</f>
        <v>Evening</v>
      </c>
    </row>
    <row r="209" spans="1:14" x14ac:dyDescent="0.25">
      <c r="A209" s="3">
        <v>42439.15</v>
      </c>
      <c r="B209" s="2">
        <f t="shared" si="20"/>
        <v>42439</v>
      </c>
      <c r="C209" t="str">
        <f t="shared" si="21"/>
        <v>March</v>
      </c>
      <c r="D209" t="str">
        <f t="shared" si="22"/>
        <v>Thursday</v>
      </c>
      <c r="E209" t="str">
        <f t="shared" si="18"/>
        <v>03:36:00 AM</v>
      </c>
      <c r="F209" s="3">
        <v>42439.161805555559</v>
      </c>
      <c r="G209" s="4">
        <f t="shared" si="23"/>
        <v>0.16180555555911269</v>
      </c>
      <c r="H209" t="str">
        <f t="shared" si="19"/>
        <v>17 min</v>
      </c>
      <c r="I209" t="s">
        <v>2</v>
      </c>
      <c r="J209" t="s">
        <v>55</v>
      </c>
      <c r="K209" t="s">
        <v>56</v>
      </c>
      <c r="L209">
        <v>8.4</v>
      </c>
      <c r="M209" t="s">
        <v>10</v>
      </c>
      <c r="N209" t="str" cm="1">
        <f t="array" ref="N209">_xlfn.IFS(
    AND(HOUR(A209)&gt;=0, HOUR(A209)&lt;10), "Morning",
    AND(HOUR(A209)&gt;=10, HOUR(A209)&lt;15), "Afternoon",
    AND(HOUR(E209)&gt;=15, HOUR(E209)&lt;19), "Evening",
    AND(HOUR(E209)&gt;=19, HOUR(E209)&lt;=23), "Night"
)</f>
        <v>Morning</v>
      </c>
    </row>
    <row r="210" spans="1:14" x14ac:dyDescent="0.25">
      <c r="A210" s="3">
        <v>42439.422222222223</v>
      </c>
      <c r="B210" s="2">
        <f t="shared" si="20"/>
        <v>42439</v>
      </c>
      <c r="C210" t="str">
        <f t="shared" si="21"/>
        <v>March</v>
      </c>
      <c r="D210" t="str">
        <f t="shared" si="22"/>
        <v>Thursday</v>
      </c>
      <c r="E210" t="str">
        <f t="shared" si="18"/>
        <v>10:08:00 AM</v>
      </c>
      <c r="F210" s="3">
        <v>42439.442361111112</v>
      </c>
      <c r="G210" s="4">
        <f t="shared" si="23"/>
        <v>0.44236111111240461</v>
      </c>
      <c r="H210" t="str">
        <f t="shared" si="19"/>
        <v>29 min</v>
      </c>
      <c r="I210" t="s">
        <v>2</v>
      </c>
      <c r="J210" t="s">
        <v>113</v>
      </c>
      <c r="K210" t="s">
        <v>114</v>
      </c>
      <c r="L210">
        <v>12.8</v>
      </c>
      <c r="M210" t="s">
        <v>10</v>
      </c>
      <c r="N210" t="str" cm="1">
        <f t="array" ref="N210">_xlfn.IFS(
    AND(HOUR(A210)&gt;=0, HOUR(A210)&lt;10), "Morning",
    AND(HOUR(A210)&gt;=10, HOUR(A210)&lt;15), "Afternoon",
    AND(HOUR(E210)&gt;=15, HOUR(E210)&lt;19), "Evening",
    AND(HOUR(E210)&gt;=19, HOUR(E210)&lt;=23), "Night"
)</f>
        <v>Afternoon</v>
      </c>
    </row>
    <row r="211" spans="1:14" x14ac:dyDescent="0.25">
      <c r="A211" s="3">
        <v>42439.61041666667</v>
      </c>
      <c r="B211" s="2">
        <f t="shared" si="20"/>
        <v>42439</v>
      </c>
      <c r="C211" t="str">
        <f t="shared" si="21"/>
        <v>March</v>
      </c>
      <c r="D211" t="str">
        <f t="shared" si="22"/>
        <v>Thursday</v>
      </c>
      <c r="E211" t="str">
        <f t="shared" si="18"/>
        <v>02:39:00 PM</v>
      </c>
      <c r="F211" s="3">
        <v>42439.621527777781</v>
      </c>
      <c r="G211" s="4">
        <f t="shared" si="23"/>
        <v>0.62152777778101154</v>
      </c>
      <c r="H211" t="str">
        <f t="shared" si="19"/>
        <v>16 min</v>
      </c>
      <c r="I211" t="s">
        <v>2</v>
      </c>
      <c r="J211" t="s">
        <v>114</v>
      </c>
      <c r="K211" t="s">
        <v>115</v>
      </c>
      <c r="L211">
        <v>2.2999999999999998</v>
      </c>
      <c r="M211" t="s">
        <v>52</v>
      </c>
      <c r="N211" t="str" cm="1">
        <f t="array" ref="N211">_xlfn.IFS(
    AND(HOUR(A211)&gt;=0, HOUR(A211)&lt;10), "Morning",
    AND(HOUR(A211)&gt;=10, HOUR(A211)&lt;15), "Afternoon",
    AND(HOUR(E211)&gt;=15, HOUR(E211)&lt;19), "Evening",
    AND(HOUR(E211)&gt;=19, HOUR(E211)&lt;=23), "Night"
)</f>
        <v>Afternoon</v>
      </c>
    </row>
    <row r="212" spans="1:14" x14ac:dyDescent="0.25">
      <c r="A212" s="3">
        <v>42439.679166666669</v>
      </c>
      <c r="B212" s="2">
        <f t="shared" si="20"/>
        <v>42439</v>
      </c>
      <c r="C212" t="str">
        <f t="shared" si="21"/>
        <v>March</v>
      </c>
      <c r="D212" t="str">
        <f t="shared" si="22"/>
        <v>Thursday</v>
      </c>
      <c r="E212" t="str">
        <f t="shared" si="18"/>
        <v>04:18:00 PM</v>
      </c>
      <c r="F212" s="3">
        <v>42439.686111111114</v>
      </c>
      <c r="G212" s="4">
        <f t="shared" si="23"/>
        <v>0.68611111111385981</v>
      </c>
      <c r="H212" t="str">
        <f t="shared" si="19"/>
        <v>10 min</v>
      </c>
      <c r="I212" t="s">
        <v>2</v>
      </c>
      <c r="J212" t="s">
        <v>115</v>
      </c>
      <c r="K212" t="s">
        <v>116</v>
      </c>
      <c r="L212">
        <v>1.6</v>
      </c>
      <c r="M212" t="s">
        <v>52</v>
      </c>
      <c r="N212" t="str" cm="1">
        <f t="array" ref="N212">_xlfn.IFS(
    AND(HOUR(A212)&gt;=0, HOUR(A212)&lt;10), "Morning",
    AND(HOUR(A212)&gt;=10, HOUR(A212)&lt;15), "Afternoon",
    AND(HOUR(E212)&gt;=15, HOUR(E212)&lt;19), "Evening",
    AND(HOUR(E212)&gt;=19, HOUR(E212)&lt;=23), "Night"
)</f>
        <v>Evening</v>
      </c>
    </row>
    <row r="213" spans="1:14" x14ac:dyDescent="0.25">
      <c r="A213" s="3">
        <v>42440.407638888886</v>
      </c>
      <c r="B213" s="2">
        <f t="shared" si="20"/>
        <v>42440</v>
      </c>
      <c r="C213" t="str">
        <f t="shared" si="21"/>
        <v>March</v>
      </c>
      <c r="D213" t="str">
        <f t="shared" si="22"/>
        <v>Friday</v>
      </c>
      <c r="E213" t="str">
        <f t="shared" si="18"/>
        <v>09:47:00 AM</v>
      </c>
      <c r="F213" s="3">
        <v>42440.415972222225</v>
      </c>
      <c r="G213" s="4">
        <f t="shared" si="23"/>
        <v>0.41597222222480923</v>
      </c>
      <c r="H213" t="str">
        <f t="shared" si="19"/>
        <v>12 min</v>
      </c>
      <c r="I213" t="s">
        <v>2</v>
      </c>
      <c r="J213" t="s">
        <v>117</v>
      </c>
      <c r="K213" t="s">
        <v>118</v>
      </c>
      <c r="L213">
        <v>2</v>
      </c>
      <c r="M213" t="s">
        <v>9</v>
      </c>
      <c r="N213" t="str" cm="1">
        <f t="array" ref="N213">_xlfn.IFS(
    AND(HOUR(A213)&gt;=0, HOUR(A213)&lt;10), "Morning",
    AND(HOUR(A213)&gt;=10, HOUR(A213)&lt;15), "Afternoon",
    AND(HOUR(E213)&gt;=15, HOUR(E213)&lt;19), "Evening",
    AND(HOUR(E213)&gt;=19, HOUR(E213)&lt;=23), "Night"
)</f>
        <v>Morning</v>
      </c>
    </row>
    <row r="214" spans="1:14" x14ac:dyDescent="0.25">
      <c r="A214" s="3">
        <v>42440.436805555553</v>
      </c>
      <c r="B214" s="2">
        <f t="shared" si="20"/>
        <v>42440</v>
      </c>
      <c r="C214" t="str">
        <f t="shared" si="21"/>
        <v>March</v>
      </c>
      <c r="D214" t="str">
        <f t="shared" si="22"/>
        <v>Friday</v>
      </c>
      <c r="E214" t="str">
        <f t="shared" si="18"/>
        <v>10:29:00 AM</v>
      </c>
      <c r="F214" s="3">
        <v>42440.441666666666</v>
      </c>
      <c r="G214" s="4">
        <f t="shared" si="23"/>
        <v>0.44166666666569654</v>
      </c>
      <c r="H214" t="str">
        <f t="shared" si="19"/>
        <v>7 min</v>
      </c>
      <c r="I214" t="s">
        <v>2</v>
      </c>
      <c r="J214" t="s">
        <v>118</v>
      </c>
      <c r="K214" t="s">
        <v>70</v>
      </c>
      <c r="L214">
        <v>0.8</v>
      </c>
      <c r="M214" t="s">
        <v>52</v>
      </c>
      <c r="N214" t="str" cm="1">
        <f t="array" ref="N214">_xlfn.IFS(
    AND(HOUR(A214)&gt;=0, HOUR(A214)&lt;10), "Morning",
    AND(HOUR(A214)&gt;=10, HOUR(A214)&lt;15), "Afternoon",
    AND(HOUR(E214)&gt;=15, HOUR(E214)&lt;19), "Evening",
    AND(HOUR(E214)&gt;=19, HOUR(E214)&lt;=23), "Night"
)</f>
        <v>Afternoon</v>
      </c>
    </row>
    <row r="215" spans="1:14" x14ac:dyDescent="0.25">
      <c r="A215" s="3">
        <v>42440.497916666667</v>
      </c>
      <c r="B215" s="2">
        <f t="shared" si="20"/>
        <v>42440</v>
      </c>
      <c r="C215" t="str">
        <f t="shared" si="21"/>
        <v>March</v>
      </c>
      <c r="D215" t="str">
        <f t="shared" si="22"/>
        <v>Friday</v>
      </c>
      <c r="E215" t="str">
        <f t="shared" si="18"/>
        <v>11:57:00 AM</v>
      </c>
      <c r="F215" s="3">
        <v>42440.50277777778</v>
      </c>
      <c r="G215" s="4">
        <f t="shared" si="23"/>
        <v>0.50277777777955635</v>
      </c>
      <c r="H215" t="str">
        <f t="shared" si="19"/>
        <v>7 min</v>
      </c>
      <c r="I215" t="s">
        <v>2</v>
      </c>
      <c r="J215" t="s">
        <v>70</v>
      </c>
      <c r="K215" t="s">
        <v>119</v>
      </c>
      <c r="L215">
        <v>1.2</v>
      </c>
      <c r="M215" t="s">
        <v>52</v>
      </c>
      <c r="N215" t="str" cm="1">
        <f t="array" ref="N215">_xlfn.IFS(
    AND(HOUR(A215)&gt;=0, HOUR(A215)&lt;10), "Morning",
    AND(HOUR(A215)&gt;=10, HOUR(A215)&lt;15), "Afternoon",
    AND(HOUR(E215)&gt;=15, HOUR(E215)&lt;19), "Evening",
    AND(HOUR(E215)&gt;=19, HOUR(E215)&lt;=23), "Night"
)</f>
        <v>Afternoon</v>
      </c>
    </row>
    <row r="216" spans="1:14" x14ac:dyDescent="0.25">
      <c r="A216" s="3">
        <v>42440.571527777778</v>
      </c>
      <c r="B216" s="2">
        <f t="shared" si="20"/>
        <v>42440</v>
      </c>
      <c r="C216" t="str">
        <f t="shared" si="21"/>
        <v>March</v>
      </c>
      <c r="D216" t="str">
        <f t="shared" si="22"/>
        <v>Friday</v>
      </c>
      <c r="E216" t="str">
        <f t="shared" si="18"/>
        <v>01:43:00 PM</v>
      </c>
      <c r="F216" s="3">
        <v>42440.57708333333</v>
      </c>
      <c r="G216" s="4">
        <f t="shared" si="23"/>
        <v>0.57708333332993789</v>
      </c>
      <c r="H216" t="str">
        <f t="shared" si="19"/>
        <v>8 min</v>
      </c>
      <c r="I216" t="s">
        <v>2</v>
      </c>
      <c r="J216" t="s">
        <v>119</v>
      </c>
      <c r="K216" t="s">
        <v>70</v>
      </c>
      <c r="L216">
        <v>1</v>
      </c>
      <c r="M216" t="s">
        <v>52</v>
      </c>
      <c r="N216" t="str" cm="1">
        <f t="array" ref="N216">_xlfn.IFS(
    AND(HOUR(A216)&gt;=0, HOUR(A216)&lt;10), "Morning",
    AND(HOUR(A216)&gt;=10, HOUR(A216)&lt;15), "Afternoon",
    AND(HOUR(E216)&gt;=15, HOUR(E216)&lt;19), "Evening",
    AND(HOUR(E216)&gt;=19, HOUR(E216)&lt;=23), "Night"
)</f>
        <v>Afternoon</v>
      </c>
    </row>
    <row r="217" spans="1:14" x14ac:dyDescent="0.25">
      <c r="A217" s="3">
        <v>42440.806250000001</v>
      </c>
      <c r="B217" s="2">
        <f t="shared" si="20"/>
        <v>42440</v>
      </c>
      <c r="C217" t="str">
        <f t="shared" si="21"/>
        <v>March</v>
      </c>
      <c r="D217" t="str">
        <f t="shared" si="22"/>
        <v>Friday</v>
      </c>
      <c r="E217" t="str">
        <f t="shared" si="18"/>
        <v>07:21:00 PM</v>
      </c>
      <c r="F217" s="3">
        <v>42440.815972222219</v>
      </c>
      <c r="G217" s="4">
        <f t="shared" si="23"/>
        <v>0.81597222221898846</v>
      </c>
      <c r="H217" t="str">
        <f t="shared" si="19"/>
        <v>14 min</v>
      </c>
      <c r="I217" t="s">
        <v>2</v>
      </c>
      <c r="J217" t="s">
        <v>115</v>
      </c>
      <c r="K217" t="s">
        <v>117</v>
      </c>
      <c r="L217">
        <v>2.1</v>
      </c>
      <c r="M217" t="s">
        <v>52</v>
      </c>
      <c r="N217" t="str" cm="1">
        <f t="array" ref="N217">_xlfn.IFS(
    AND(HOUR(A217)&gt;=0, HOUR(A217)&lt;10), "Morning",
    AND(HOUR(A217)&gt;=10, HOUR(A217)&lt;15), "Afternoon",
    AND(HOUR(E217)&gt;=15, HOUR(E217)&lt;19), "Evening",
    AND(HOUR(E217)&gt;=19, HOUR(E217)&lt;=23), "Night"
)</f>
        <v>Night</v>
      </c>
    </row>
    <row r="218" spans="1:14" x14ac:dyDescent="0.25">
      <c r="A218" s="3">
        <v>42441.384027777778</v>
      </c>
      <c r="B218" s="2">
        <f t="shared" si="20"/>
        <v>42441</v>
      </c>
      <c r="C218" t="str">
        <f t="shared" si="21"/>
        <v>March</v>
      </c>
      <c r="D218" t="str">
        <f t="shared" si="22"/>
        <v>Saturday</v>
      </c>
      <c r="E218" t="str">
        <f t="shared" si="18"/>
        <v>09:13:00 AM</v>
      </c>
      <c r="F218" s="3">
        <v>42441.390277777777</v>
      </c>
      <c r="G218" s="4">
        <f t="shared" si="23"/>
        <v>0.39027777777664596</v>
      </c>
      <c r="H218" t="str">
        <f t="shared" si="19"/>
        <v>9 min</v>
      </c>
      <c r="I218" t="s">
        <v>2</v>
      </c>
      <c r="J218" t="s">
        <v>117</v>
      </c>
      <c r="K218" t="s">
        <v>115</v>
      </c>
      <c r="L218">
        <v>2.2000000000000002</v>
      </c>
      <c r="M218" t="s">
        <v>52</v>
      </c>
      <c r="N218" t="str" cm="1">
        <f t="array" ref="N218">_xlfn.IFS(
    AND(HOUR(A218)&gt;=0, HOUR(A218)&lt;10), "Morning",
    AND(HOUR(A218)&gt;=10, HOUR(A218)&lt;15), "Afternoon",
    AND(HOUR(E218)&gt;=15, HOUR(E218)&lt;19), "Evening",
    AND(HOUR(E218)&gt;=19, HOUR(E218)&lt;=23), "Night"
)</f>
        <v>Morning</v>
      </c>
    </row>
    <row r="219" spans="1:14" x14ac:dyDescent="0.25">
      <c r="A219" s="3">
        <v>42441.768750000003</v>
      </c>
      <c r="B219" s="2">
        <f t="shared" si="20"/>
        <v>42441</v>
      </c>
      <c r="C219" t="str">
        <f t="shared" si="21"/>
        <v>March</v>
      </c>
      <c r="D219" t="str">
        <f t="shared" si="22"/>
        <v>Saturday</v>
      </c>
      <c r="E219" t="str">
        <f t="shared" si="18"/>
        <v>06:27:00 PM</v>
      </c>
      <c r="F219" s="3">
        <v>42441.775694444441</v>
      </c>
      <c r="G219" s="4">
        <f t="shared" si="23"/>
        <v>0.77569444444088731</v>
      </c>
      <c r="H219" t="str">
        <f t="shared" si="19"/>
        <v>10 min</v>
      </c>
      <c r="I219" t="s">
        <v>3</v>
      </c>
      <c r="J219" t="s">
        <v>115</v>
      </c>
      <c r="K219" t="s">
        <v>117</v>
      </c>
      <c r="L219">
        <v>1.9</v>
      </c>
      <c r="M219" t="s">
        <v>52</v>
      </c>
      <c r="N219" t="str" cm="1">
        <f t="array" ref="N219">_xlfn.IFS(
    AND(HOUR(A219)&gt;=0, HOUR(A219)&lt;10), "Morning",
    AND(HOUR(A219)&gt;=10, HOUR(A219)&lt;15), "Afternoon",
    AND(HOUR(E219)&gt;=15, HOUR(E219)&lt;19), "Evening",
    AND(HOUR(E219)&gt;=19, HOUR(E219)&lt;=23), "Night"
)</f>
        <v>Evening</v>
      </c>
    </row>
    <row r="220" spans="1:14" x14ac:dyDescent="0.25">
      <c r="A220" s="3">
        <v>42442.379861111112</v>
      </c>
      <c r="B220" s="2">
        <f t="shared" si="20"/>
        <v>42442</v>
      </c>
      <c r="C220" t="str">
        <f t="shared" si="21"/>
        <v>March</v>
      </c>
      <c r="D220" t="str">
        <f t="shared" si="22"/>
        <v>Sunday</v>
      </c>
      <c r="E220" t="str">
        <f t="shared" si="18"/>
        <v>09:07:00 AM</v>
      </c>
      <c r="F220" s="3">
        <v>42442.400694444441</v>
      </c>
      <c r="G220" s="4">
        <f t="shared" si="23"/>
        <v>0.40069444444088731</v>
      </c>
      <c r="H220" t="str">
        <f t="shared" si="19"/>
        <v>30 min</v>
      </c>
      <c r="I220" t="s">
        <v>2</v>
      </c>
      <c r="J220" t="s">
        <v>117</v>
      </c>
      <c r="K220" t="s">
        <v>120</v>
      </c>
      <c r="L220">
        <v>5.7</v>
      </c>
      <c r="M220" t="s">
        <v>9</v>
      </c>
      <c r="N220" t="str" cm="1">
        <f t="array" ref="N220">_xlfn.IFS(
    AND(HOUR(A220)&gt;=0, HOUR(A220)&lt;10), "Morning",
    AND(HOUR(A220)&gt;=10, HOUR(A220)&lt;15), "Afternoon",
    AND(HOUR(E220)&gt;=15, HOUR(E220)&lt;19), "Evening",
    AND(HOUR(E220)&gt;=19, HOUR(E220)&lt;=23), "Night"
)</f>
        <v>Morning</v>
      </c>
    </row>
    <row r="221" spans="1:14" x14ac:dyDescent="0.25">
      <c r="A221" s="3">
        <v>42442.765972222223</v>
      </c>
      <c r="B221" s="2">
        <f t="shared" si="20"/>
        <v>42442</v>
      </c>
      <c r="C221" t="str">
        <f t="shared" si="21"/>
        <v>March</v>
      </c>
      <c r="D221" t="str">
        <f t="shared" si="22"/>
        <v>Sunday</v>
      </c>
      <c r="E221" t="str">
        <f t="shared" si="18"/>
        <v>06:23:00 PM</v>
      </c>
      <c r="F221" s="3">
        <v>42442.779861111114</v>
      </c>
      <c r="G221" s="4">
        <f t="shared" si="23"/>
        <v>0.77986111111385981</v>
      </c>
      <c r="H221" t="str">
        <f t="shared" si="19"/>
        <v>20 min</v>
      </c>
      <c r="I221" t="s">
        <v>2</v>
      </c>
      <c r="J221" t="s">
        <v>115</v>
      </c>
      <c r="K221" t="s">
        <v>121</v>
      </c>
      <c r="L221">
        <v>8.4</v>
      </c>
      <c r="M221" t="s">
        <v>9</v>
      </c>
      <c r="N221" t="str" cm="1">
        <f t="array" ref="N221">_xlfn.IFS(
    AND(HOUR(A221)&gt;=0, HOUR(A221)&lt;10), "Morning",
    AND(HOUR(A221)&gt;=10, HOUR(A221)&lt;15), "Afternoon",
    AND(HOUR(E221)&gt;=15, HOUR(E221)&lt;19), "Evening",
    AND(HOUR(E221)&gt;=19, HOUR(E221)&lt;=23), "Night"
)</f>
        <v>Evening</v>
      </c>
    </row>
    <row r="222" spans="1:14" x14ac:dyDescent="0.25">
      <c r="A222" s="3">
        <v>42442.838194444441</v>
      </c>
      <c r="B222" s="2">
        <f t="shared" si="20"/>
        <v>42442</v>
      </c>
      <c r="C222" t="str">
        <f t="shared" si="21"/>
        <v>March</v>
      </c>
      <c r="D222" t="str">
        <f t="shared" si="22"/>
        <v>Sunday</v>
      </c>
      <c r="E222" t="str">
        <f t="shared" si="18"/>
        <v>08:07:00 PM</v>
      </c>
      <c r="F222" s="3">
        <v>42442.852777777778</v>
      </c>
      <c r="G222" s="4">
        <f t="shared" si="23"/>
        <v>0.85277777777810115</v>
      </c>
      <c r="H222" t="str">
        <f t="shared" si="19"/>
        <v>21 min</v>
      </c>
      <c r="I222" t="s">
        <v>2</v>
      </c>
      <c r="J222" t="s">
        <v>122</v>
      </c>
      <c r="K222" t="s">
        <v>117</v>
      </c>
      <c r="L222">
        <v>6.2</v>
      </c>
      <c r="M222" t="s">
        <v>9</v>
      </c>
      <c r="N222" t="str" cm="1">
        <f t="array" ref="N222">_xlfn.IFS(
    AND(HOUR(A222)&gt;=0, HOUR(A222)&lt;10), "Morning",
    AND(HOUR(A222)&gt;=10, HOUR(A222)&lt;15), "Afternoon",
    AND(HOUR(E222)&gt;=15, HOUR(E222)&lt;19), "Evening",
    AND(HOUR(E222)&gt;=19, HOUR(E222)&lt;=23), "Night"
)</f>
        <v>Night</v>
      </c>
    </row>
    <row r="223" spans="1:14" x14ac:dyDescent="0.25">
      <c r="A223" s="3">
        <v>42442.86041666667</v>
      </c>
      <c r="B223" s="2">
        <f t="shared" si="20"/>
        <v>42442</v>
      </c>
      <c r="C223" t="str">
        <f t="shared" si="21"/>
        <v>March</v>
      </c>
      <c r="D223" t="str">
        <f t="shared" si="22"/>
        <v>Sunday</v>
      </c>
      <c r="E223" t="str">
        <f t="shared" si="18"/>
        <v>08:39:00 PM</v>
      </c>
      <c r="F223" s="3">
        <v>42442.873611111114</v>
      </c>
      <c r="G223" s="4">
        <f t="shared" si="23"/>
        <v>0.87361111111385981</v>
      </c>
      <c r="H223" t="str">
        <f t="shared" si="19"/>
        <v>19 min</v>
      </c>
      <c r="I223" t="s">
        <v>2</v>
      </c>
      <c r="J223" t="s">
        <v>117</v>
      </c>
      <c r="K223" t="s">
        <v>121</v>
      </c>
      <c r="L223">
        <v>10.5</v>
      </c>
      <c r="M223" t="s">
        <v>9</v>
      </c>
      <c r="N223" t="str" cm="1">
        <f t="array" ref="N223">_xlfn.IFS(
    AND(HOUR(A223)&gt;=0, HOUR(A223)&lt;10), "Morning",
    AND(HOUR(A223)&gt;=10, HOUR(A223)&lt;15), "Afternoon",
    AND(HOUR(E223)&gt;=15, HOUR(E223)&lt;19), "Evening",
    AND(HOUR(E223)&gt;=19, HOUR(E223)&lt;=23), "Night"
)</f>
        <v>Night</v>
      </c>
    </row>
    <row r="224" spans="1:14" x14ac:dyDescent="0.25">
      <c r="A224" s="3">
        <v>42442.882638888892</v>
      </c>
      <c r="B224" s="2">
        <f t="shared" si="20"/>
        <v>42442</v>
      </c>
      <c r="C224" t="str">
        <f t="shared" si="21"/>
        <v>March</v>
      </c>
      <c r="D224" t="str">
        <f t="shared" si="22"/>
        <v>Sunday</v>
      </c>
      <c r="E224" t="str">
        <f t="shared" si="18"/>
        <v>09:11:00 PM</v>
      </c>
      <c r="F224" s="3">
        <v>42442.890972222223</v>
      </c>
      <c r="G224" s="4">
        <f t="shared" si="23"/>
        <v>0.89097222222335404</v>
      </c>
      <c r="H224" t="str">
        <f t="shared" si="19"/>
        <v>12 min</v>
      </c>
      <c r="I224" t="s">
        <v>2</v>
      </c>
      <c r="J224" t="s">
        <v>121</v>
      </c>
      <c r="K224" t="s">
        <v>123</v>
      </c>
      <c r="L224">
        <v>7.2</v>
      </c>
      <c r="M224" t="s">
        <v>9</v>
      </c>
      <c r="N224" t="str" cm="1">
        <f t="array" ref="N224">_xlfn.IFS(
    AND(HOUR(A224)&gt;=0, HOUR(A224)&lt;10), "Morning",
    AND(HOUR(A224)&gt;=10, HOUR(A224)&lt;15), "Afternoon",
    AND(HOUR(E224)&gt;=15, HOUR(E224)&lt;19), "Evening",
    AND(HOUR(E224)&gt;=19, HOUR(E224)&lt;=23), "Night"
)</f>
        <v>Night</v>
      </c>
    </row>
    <row r="225" spans="1:14" x14ac:dyDescent="0.25">
      <c r="A225" s="3">
        <v>42442.929861111108</v>
      </c>
      <c r="B225" s="2">
        <f t="shared" si="20"/>
        <v>42442</v>
      </c>
      <c r="C225" t="str">
        <f t="shared" si="21"/>
        <v>March</v>
      </c>
      <c r="D225" t="str">
        <f t="shared" si="22"/>
        <v>Sunday</v>
      </c>
      <c r="E225" t="str">
        <f t="shared" si="18"/>
        <v>10:19:00 PM</v>
      </c>
      <c r="F225" s="3">
        <v>42442.943749999999</v>
      </c>
      <c r="G225" s="4">
        <f t="shared" si="23"/>
        <v>0.94374999999854481</v>
      </c>
      <c r="H225" t="str">
        <f t="shared" si="19"/>
        <v>20 min</v>
      </c>
      <c r="I225" t="s">
        <v>2</v>
      </c>
      <c r="J225" t="s">
        <v>123</v>
      </c>
      <c r="K225" t="s">
        <v>117</v>
      </c>
      <c r="L225">
        <v>12.5</v>
      </c>
      <c r="M225" t="s">
        <v>52</v>
      </c>
      <c r="N225" t="str" cm="1">
        <f t="array" ref="N225">_xlfn.IFS(
    AND(HOUR(A225)&gt;=0, HOUR(A225)&lt;10), "Morning",
    AND(HOUR(A225)&gt;=10, HOUR(A225)&lt;15), "Afternoon",
    AND(HOUR(E225)&gt;=15, HOUR(E225)&lt;19), "Evening",
    AND(HOUR(E225)&gt;=19, HOUR(E225)&lt;=23), "Night"
)</f>
        <v>Night</v>
      </c>
    </row>
    <row r="226" spans="1:14" x14ac:dyDescent="0.25">
      <c r="A226" s="3">
        <v>42443.356944444444</v>
      </c>
      <c r="B226" s="2">
        <f t="shared" si="20"/>
        <v>42443</v>
      </c>
      <c r="C226" t="str">
        <f t="shared" si="21"/>
        <v>March</v>
      </c>
      <c r="D226" t="str">
        <f t="shared" si="22"/>
        <v>Monday</v>
      </c>
      <c r="E226" t="str">
        <f t="shared" si="18"/>
        <v>08:34:00 AM</v>
      </c>
      <c r="F226" s="3">
        <v>42443.367361111108</v>
      </c>
      <c r="G226" s="4">
        <f t="shared" si="23"/>
        <v>0.36736111110803904</v>
      </c>
      <c r="H226" t="str">
        <f t="shared" si="19"/>
        <v>15 min</v>
      </c>
      <c r="I226" t="s">
        <v>2</v>
      </c>
      <c r="J226" t="s">
        <v>117</v>
      </c>
      <c r="K226" t="s">
        <v>115</v>
      </c>
      <c r="L226">
        <v>2</v>
      </c>
      <c r="M226" t="s">
        <v>8</v>
      </c>
      <c r="N226" t="str" cm="1">
        <f t="array" ref="N226">_xlfn.IFS(
    AND(HOUR(A226)&gt;=0, HOUR(A226)&lt;10), "Morning",
    AND(HOUR(A226)&gt;=10, HOUR(A226)&lt;15), "Afternoon",
    AND(HOUR(E226)&gt;=15, HOUR(E226)&lt;19), "Evening",
    AND(HOUR(E226)&gt;=19, HOUR(E226)&lt;=23), "Night"
)</f>
        <v>Morning</v>
      </c>
    </row>
    <row r="227" spans="1:14" x14ac:dyDescent="0.25">
      <c r="A227" s="3">
        <v>42443.777083333334</v>
      </c>
      <c r="B227" s="2">
        <f t="shared" si="20"/>
        <v>42443</v>
      </c>
      <c r="C227" t="str">
        <f t="shared" si="21"/>
        <v>March</v>
      </c>
      <c r="D227" t="str">
        <f t="shared" si="22"/>
        <v>Monday</v>
      </c>
      <c r="E227" t="str">
        <f t="shared" si="18"/>
        <v>06:39:00 PM</v>
      </c>
      <c r="F227" s="3">
        <v>42443.788194444445</v>
      </c>
      <c r="G227" s="4">
        <f t="shared" si="23"/>
        <v>0.78819444444525288</v>
      </c>
      <c r="H227" t="str">
        <f t="shared" si="19"/>
        <v>16 min</v>
      </c>
      <c r="I227" t="s">
        <v>2</v>
      </c>
      <c r="J227" t="s">
        <v>115</v>
      </c>
      <c r="K227" t="s">
        <v>117</v>
      </c>
      <c r="L227">
        <v>2.7</v>
      </c>
      <c r="M227" t="s">
        <v>52</v>
      </c>
      <c r="N227" t="str" cm="1">
        <f t="array" ref="N227">_xlfn.IFS(
    AND(HOUR(A227)&gt;=0, HOUR(A227)&lt;10), "Morning",
    AND(HOUR(A227)&gt;=10, HOUR(A227)&lt;15), "Afternoon",
    AND(HOUR(E227)&gt;=15, HOUR(E227)&lt;19), "Evening",
    AND(HOUR(E227)&gt;=19, HOUR(E227)&lt;=23), "Night"
)</f>
        <v>Evening</v>
      </c>
    </row>
    <row r="228" spans="1:14" x14ac:dyDescent="0.25">
      <c r="A228" s="3">
        <v>42444.364583333336</v>
      </c>
      <c r="B228" s="2">
        <f t="shared" si="20"/>
        <v>42444</v>
      </c>
      <c r="C228" t="str">
        <f t="shared" si="21"/>
        <v>March</v>
      </c>
      <c r="D228" t="str">
        <f t="shared" si="22"/>
        <v>Tuesday</v>
      </c>
      <c r="E228" t="str">
        <f t="shared" si="18"/>
        <v>08:45:00 AM</v>
      </c>
      <c r="F228" s="3">
        <v>42444.372916666667</v>
      </c>
      <c r="G228" s="4">
        <f t="shared" si="23"/>
        <v>0.37291666666715173</v>
      </c>
      <c r="H228" t="str">
        <f t="shared" si="19"/>
        <v>12 min</v>
      </c>
      <c r="I228" t="s">
        <v>2</v>
      </c>
      <c r="J228" t="s">
        <v>117</v>
      </c>
      <c r="K228" t="s">
        <v>120</v>
      </c>
      <c r="L228">
        <v>2</v>
      </c>
      <c r="M228" t="s">
        <v>52</v>
      </c>
      <c r="N228" t="str" cm="1">
        <f t="array" ref="N228">_xlfn.IFS(
    AND(HOUR(A228)&gt;=0, HOUR(A228)&lt;10), "Morning",
    AND(HOUR(A228)&gt;=10, HOUR(A228)&lt;15), "Afternoon",
    AND(HOUR(E228)&gt;=15, HOUR(E228)&lt;19), "Evening",
    AND(HOUR(E228)&gt;=19, HOUR(E228)&lt;=23), "Night"
)</f>
        <v>Morning</v>
      </c>
    </row>
    <row r="229" spans="1:14" x14ac:dyDescent="0.25">
      <c r="A229" s="3">
        <v>42444.866666666669</v>
      </c>
      <c r="B229" s="2">
        <f t="shared" si="20"/>
        <v>42444</v>
      </c>
      <c r="C229" t="str">
        <f t="shared" si="21"/>
        <v>March</v>
      </c>
      <c r="D229" t="str">
        <f t="shared" si="22"/>
        <v>Tuesday</v>
      </c>
      <c r="E229" t="str">
        <f t="shared" si="18"/>
        <v>08:48:00 PM</v>
      </c>
      <c r="F229" s="3">
        <v>42444.875694444447</v>
      </c>
      <c r="G229" s="4">
        <f t="shared" si="23"/>
        <v>0.87569444444670808</v>
      </c>
      <c r="H229" t="str">
        <f t="shared" si="19"/>
        <v>13 min</v>
      </c>
      <c r="I229" t="s">
        <v>2</v>
      </c>
      <c r="J229" t="s">
        <v>70</v>
      </c>
      <c r="K229" t="s">
        <v>117</v>
      </c>
      <c r="L229">
        <v>2.8</v>
      </c>
      <c r="M229" t="s">
        <v>9</v>
      </c>
      <c r="N229" t="str" cm="1">
        <f t="array" ref="N229">_xlfn.IFS(
    AND(HOUR(A229)&gt;=0, HOUR(A229)&lt;10), "Morning",
    AND(HOUR(A229)&gt;=10, HOUR(A229)&lt;15), "Afternoon",
    AND(HOUR(E229)&gt;=15, HOUR(E229)&lt;19), "Evening",
    AND(HOUR(E229)&gt;=19, HOUR(E229)&lt;=23), "Night"
)</f>
        <v>Night</v>
      </c>
    </row>
    <row r="230" spans="1:14" x14ac:dyDescent="0.25">
      <c r="A230" s="3">
        <v>42445.481944444444</v>
      </c>
      <c r="B230" s="2">
        <f t="shared" si="20"/>
        <v>42445</v>
      </c>
      <c r="C230" t="str">
        <f t="shared" si="21"/>
        <v>March</v>
      </c>
      <c r="D230" t="str">
        <f t="shared" si="22"/>
        <v>Wednesday</v>
      </c>
      <c r="E230" t="str">
        <f t="shared" si="18"/>
        <v>11:34:00 AM</v>
      </c>
      <c r="F230" s="3">
        <v>42445.489583333336</v>
      </c>
      <c r="G230" s="4">
        <f t="shared" si="23"/>
        <v>0.48958333333575865</v>
      </c>
      <c r="H230" t="str">
        <f t="shared" si="19"/>
        <v>11 min</v>
      </c>
      <c r="I230" t="s">
        <v>2</v>
      </c>
      <c r="J230" t="s">
        <v>117</v>
      </c>
      <c r="K230" t="s">
        <v>118</v>
      </c>
      <c r="L230">
        <v>1.7</v>
      </c>
      <c r="M230" t="s">
        <v>9</v>
      </c>
      <c r="N230" t="str" cm="1">
        <f t="array" ref="N230">_xlfn.IFS(
    AND(HOUR(A230)&gt;=0, HOUR(A230)&lt;10), "Morning",
    AND(HOUR(A230)&gt;=10, HOUR(A230)&lt;15), "Afternoon",
    AND(HOUR(E230)&gt;=15, HOUR(E230)&lt;19), "Evening",
    AND(HOUR(E230)&gt;=19, HOUR(E230)&lt;=23), "Night"
)</f>
        <v>Afternoon</v>
      </c>
    </row>
    <row r="231" spans="1:14" x14ac:dyDescent="0.25">
      <c r="A231" s="3">
        <v>42445.613888888889</v>
      </c>
      <c r="B231" s="2">
        <f t="shared" si="20"/>
        <v>42445</v>
      </c>
      <c r="C231" t="str">
        <f t="shared" si="21"/>
        <v>March</v>
      </c>
      <c r="D231" t="str">
        <f t="shared" si="22"/>
        <v>Wednesday</v>
      </c>
      <c r="E231" t="str">
        <f t="shared" si="18"/>
        <v>02:44:00 PM</v>
      </c>
      <c r="F231" s="3">
        <v>42445.621527777781</v>
      </c>
      <c r="G231" s="4">
        <f t="shared" si="23"/>
        <v>0.62152777778101154</v>
      </c>
      <c r="H231" t="str">
        <f t="shared" si="19"/>
        <v>11 min</v>
      </c>
      <c r="I231" t="s">
        <v>2</v>
      </c>
      <c r="J231" t="s">
        <v>120</v>
      </c>
      <c r="K231" t="s">
        <v>114</v>
      </c>
      <c r="L231">
        <v>2</v>
      </c>
      <c r="M231" t="s">
        <v>52</v>
      </c>
      <c r="N231" t="str" cm="1">
        <f t="array" ref="N231">_xlfn.IFS(
    AND(HOUR(A231)&gt;=0, HOUR(A231)&lt;10), "Morning",
    AND(HOUR(A231)&gt;=10, HOUR(A231)&lt;15), "Afternoon",
    AND(HOUR(E231)&gt;=15, HOUR(E231)&lt;19), "Evening",
    AND(HOUR(E231)&gt;=19, HOUR(E231)&lt;=23), "Night"
)</f>
        <v>Afternoon</v>
      </c>
    </row>
    <row r="232" spans="1:14" x14ac:dyDescent="0.25">
      <c r="A232" s="3">
        <v>42445.779861111114</v>
      </c>
      <c r="B232" s="2">
        <f t="shared" si="20"/>
        <v>42445</v>
      </c>
      <c r="C232" t="str">
        <f t="shared" si="21"/>
        <v>March</v>
      </c>
      <c r="D232" t="str">
        <f t="shared" si="22"/>
        <v>Wednesday</v>
      </c>
      <c r="E232" t="str">
        <f t="shared" si="18"/>
        <v>06:43:00 PM</v>
      </c>
      <c r="F232" s="3">
        <v>42445.788888888892</v>
      </c>
      <c r="G232" s="4">
        <f t="shared" si="23"/>
        <v>0.78888888889196096</v>
      </c>
      <c r="H232" t="str">
        <f t="shared" si="19"/>
        <v>13 min</v>
      </c>
      <c r="I232" t="s">
        <v>2</v>
      </c>
      <c r="J232" t="s">
        <v>114</v>
      </c>
      <c r="K232" t="s">
        <v>118</v>
      </c>
      <c r="L232">
        <v>2.1</v>
      </c>
      <c r="M232" t="s">
        <v>9</v>
      </c>
      <c r="N232" t="str" cm="1">
        <f t="array" ref="N232">_xlfn.IFS(
    AND(HOUR(A232)&gt;=0, HOUR(A232)&lt;10), "Morning",
    AND(HOUR(A232)&gt;=10, HOUR(A232)&lt;15), "Afternoon",
    AND(HOUR(E232)&gt;=15, HOUR(E232)&lt;19), "Evening",
    AND(HOUR(E232)&gt;=19, HOUR(E232)&lt;=23), "Night"
)</f>
        <v>Evening</v>
      </c>
    </row>
    <row r="233" spans="1:14" x14ac:dyDescent="0.25">
      <c r="A233" s="3">
        <v>42446.022916666669</v>
      </c>
      <c r="B233" s="2">
        <f t="shared" si="20"/>
        <v>42446</v>
      </c>
      <c r="C233" t="str">
        <f t="shared" si="21"/>
        <v>March</v>
      </c>
      <c r="D233" t="str">
        <f t="shared" si="22"/>
        <v>Thursday</v>
      </c>
      <c r="E233" t="str">
        <f t="shared" si="18"/>
        <v>12:33:00 AM</v>
      </c>
      <c r="F233" s="3">
        <v>42446.030555555553</v>
      </c>
      <c r="G233" s="4">
        <f t="shared" si="23"/>
        <v>3.0555555553291924E-2</v>
      </c>
      <c r="H233" t="str">
        <f t="shared" si="19"/>
        <v>11 min</v>
      </c>
      <c r="I233" t="s">
        <v>3</v>
      </c>
      <c r="J233" t="s">
        <v>70</v>
      </c>
      <c r="K233" t="s">
        <v>117</v>
      </c>
      <c r="L233">
        <v>1.7</v>
      </c>
      <c r="M233" t="s">
        <v>52</v>
      </c>
      <c r="N233" t="str" cm="1">
        <f t="array" ref="N233">_xlfn.IFS(
    AND(HOUR(A233)&gt;=0, HOUR(A233)&lt;10), "Morning",
    AND(HOUR(A233)&gt;=10, HOUR(A233)&lt;15), "Afternoon",
    AND(HOUR(E233)&gt;=15, HOUR(E233)&lt;19), "Evening",
    AND(HOUR(E233)&gt;=19, HOUR(E233)&lt;=23), "Night"
)</f>
        <v>Morning</v>
      </c>
    </row>
    <row r="234" spans="1:14" x14ac:dyDescent="0.25">
      <c r="A234" s="3">
        <v>42446.536111111112</v>
      </c>
      <c r="B234" s="2">
        <f t="shared" si="20"/>
        <v>42446</v>
      </c>
      <c r="C234" t="str">
        <f t="shared" si="21"/>
        <v>March</v>
      </c>
      <c r="D234" t="str">
        <f t="shared" si="22"/>
        <v>Thursday</v>
      </c>
      <c r="E234" t="str">
        <f t="shared" si="18"/>
        <v>12:52:00 PM</v>
      </c>
      <c r="F234" s="3">
        <v>42446.632638888892</v>
      </c>
      <c r="G234" s="4">
        <f t="shared" si="23"/>
        <v>0.63263888889196096</v>
      </c>
      <c r="H234" t="str">
        <f t="shared" si="19"/>
        <v>139 min</v>
      </c>
      <c r="I234" t="s">
        <v>2</v>
      </c>
      <c r="J234" t="s">
        <v>124</v>
      </c>
      <c r="K234" t="s">
        <v>125</v>
      </c>
      <c r="L234">
        <v>136</v>
      </c>
      <c r="M234" t="s">
        <v>7</v>
      </c>
      <c r="N234" t="str" cm="1">
        <f t="array" ref="N234">_xlfn.IFS(
    AND(HOUR(A234)&gt;=0, HOUR(A234)&lt;10), "Morning",
    AND(HOUR(A234)&gt;=10, HOUR(A234)&lt;15), "Afternoon",
    AND(HOUR(E234)&gt;=15, HOUR(E234)&lt;19), "Evening",
    AND(HOUR(E234)&gt;=19, HOUR(E234)&lt;=23), "Night"
)</f>
        <v>Afternoon</v>
      </c>
    </row>
    <row r="235" spans="1:14" x14ac:dyDescent="0.25">
      <c r="A235" s="3">
        <v>42446.636111111111</v>
      </c>
      <c r="B235" s="2">
        <f t="shared" si="20"/>
        <v>42446</v>
      </c>
      <c r="C235" t="str">
        <f t="shared" si="21"/>
        <v>March</v>
      </c>
      <c r="D235" t="str">
        <f t="shared" si="22"/>
        <v>Thursday</v>
      </c>
      <c r="E235" t="str">
        <f t="shared" si="18"/>
        <v>03:16:00 PM</v>
      </c>
      <c r="F235" s="3">
        <v>42446.665277777778</v>
      </c>
      <c r="G235" s="4">
        <f t="shared" si="23"/>
        <v>0.66527777777810115</v>
      </c>
      <c r="H235" t="str">
        <f t="shared" si="19"/>
        <v>42 min</v>
      </c>
      <c r="I235" t="s">
        <v>2</v>
      </c>
      <c r="J235" t="s">
        <v>125</v>
      </c>
      <c r="K235" t="s">
        <v>72</v>
      </c>
      <c r="L235">
        <v>30.2</v>
      </c>
      <c r="M235" t="s">
        <v>10</v>
      </c>
      <c r="N235" t="str" cm="1">
        <f t="array" ref="N235">_xlfn.IFS(
    AND(HOUR(A235)&gt;=0, HOUR(A235)&lt;10), "Morning",
    AND(HOUR(A235)&gt;=10, HOUR(A235)&lt;15), "Afternoon",
    AND(HOUR(E235)&gt;=15, HOUR(E235)&lt;19), "Evening",
    AND(HOUR(E235)&gt;=19, HOUR(E235)&lt;=23), "Night"
)</f>
        <v>Evening</v>
      </c>
    </row>
    <row r="236" spans="1:14" x14ac:dyDescent="0.25">
      <c r="A236" s="3">
        <v>42446.722222222219</v>
      </c>
      <c r="B236" s="2">
        <f t="shared" si="20"/>
        <v>42446</v>
      </c>
      <c r="C236" t="str">
        <f t="shared" si="21"/>
        <v>March</v>
      </c>
      <c r="D236" t="str">
        <f t="shared" si="22"/>
        <v>Thursday</v>
      </c>
      <c r="E236" t="str">
        <f t="shared" si="18"/>
        <v>05:20:00 PM</v>
      </c>
      <c r="F236" s="3">
        <v>42446.751388888886</v>
      </c>
      <c r="G236" s="4">
        <f t="shared" si="23"/>
        <v>0.75138888888614019</v>
      </c>
      <c r="H236" t="str">
        <f t="shared" si="19"/>
        <v>42 min</v>
      </c>
      <c r="I236" t="s">
        <v>2</v>
      </c>
      <c r="J236" t="s">
        <v>61</v>
      </c>
      <c r="K236" t="s">
        <v>126</v>
      </c>
      <c r="L236">
        <v>15.5</v>
      </c>
      <c r="M236" t="s">
        <v>9</v>
      </c>
      <c r="N236" t="str" cm="1">
        <f t="array" ref="N236">_xlfn.IFS(
    AND(HOUR(A236)&gt;=0, HOUR(A236)&lt;10), "Morning",
    AND(HOUR(A236)&gt;=10, HOUR(A236)&lt;15), "Afternoon",
    AND(HOUR(E236)&gt;=15, HOUR(E236)&lt;19), "Evening",
    AND(HOUR(E236)&gt;=19, HOUR(E236)&lt;=23), "Night"
)</f>
        <v>Evening</v>
      </c>
    </row>
    <row r="237" spans="1:14" x14ac:dyDescent="0.25">
      <c r="A237" s="3">
        <v>42446.782638888886</v>
      </c>
      <c r="B237" s="2">
        <f t="shared" si="20"/>
        <v>42446</v>
      </c>
      <c r="C237" t="str">
        <f t="shared" si="21"/>
        <v>March</v>
      </c>
      <c r="D237" t="str">
        <f t="shared" si="22"/>
        <v>Thursday</v>
      </c>
      <c r="E237" t="str">
        <f t="shared" si="18"/>
        <v>06:47:00 PM</v>
      </c>
      <c r="F237" s="3">
        <v>42446.79791666667</v>
      </c>
      <c r="G237" s="4">
        <f t="shared" si="23"/>
        <v>0.79791666667006211</v>
      </c>
      <c r="H237" t="str">
        <f t="shared" si="19"/>
        <v>22 min</v>
      </c>
      <c r="I237" t="s">
        <v>3</v>
      </c>
      <c r="J237" t="s">
        <v>72</v>
      </c>
      <c r="K237" t="s">
        <v>72</v>
      </c>
      <c r="L237">
        <v>4.9000000000000004</v>
      </c>
      <c r="M237" t="s">
        <v>52</v>
      </c>
      <c r="N237" t="str" cm="1">
        <f t="array" ref="N237">_xlfn.IFS(
    AND(HOUR(A237)&gt;=0, HOUR(A237)&lt;10), "Morning",
    AND(HOUR(A237)&gt;=10, HOUR(A237)&lt;15), "Afternoon",
    AND(HOUR(E237)&gt;=15, HOUR(E237)&lt;19), "Evening",
    AND(HOUR(E237)&gt;=19, HOUR(E237)&lt;=23), "Night"
)</f>
        <v>Evening</v>
      </c>
    </row>
    <row r="238" spans="1:14" x14ac:dyDescent="0.25">
      <c r="A238" s="3">
        <v>42446.872916666667</v>
      </c>
      <c r="B238" s="2">
        <f t="shared" si="20"/>
        <v>42446</v>
      </c>
      <c r="C238" t="str">
        <f t="shared" si="21"/>
        <v>March</v>
      </c>
      <c r="D238" t="str">
        <f t="shared" si="22"/>
        <v>Thursday</v>
      </c>
      <c r="E238" t="str">
        <f t="shared" si="18"/>
        <v>08:57:00 PM</v>
      </c>
      <c r="F238" s="3">
        <v>42446.894444444442</v>
      </c>
      <c r="G238" s="4">
        <f t="shared" si="23"/>
        <v>0.8944444444423425</v>
      </c>
      <c r="H238" t="str">
        <f t="shared" si="19"/>
        <v>31 min</v>
      </c>
      <c r="I238" t="s">
        <v>3</v>
      </c>
      <c r="J238" t="s">
        <v>72</v>
      </c>
      <c r="K238" t="s">
        <v>72</v>
      </c>
      <c r="L238">
        <v>12.6</v>
      </c>
      <c r="M238" t="s">
        <v>52</v>
      </c>
      <c r="N238" t="str" cm="1">
        <f t="array" ref="N238">_xlfn.IFS(
    AND(HOUR(A238)&gt;=0, HOUR(A238)&lt;10), "Morning",
    AND(HOUR(A238)&gt;=10, HOUR(A238)&lt;15), "Afternoon",
    AND(HOUR(E238)&gt;=15, HOUR(E238)&lt;19), "Evening",
    AND(HOUR(E238)&gt;=19, HOUR(E238)&lt;=23), "Night"
)</f>
        <v>Night</v>
      </c>
    </row>
    <row r="239" spans="1:14" x14ac:dyDescent="0.25">
      <c r="A239" s="3">
        <v>42446.908333333333</v>
      </c>
      <c r="B239" s="2">
        <f t="shared" si="20"/>
        <v>42446</v>
      </c>
      <c r="C239" t="str">
        <f t="shared" si="21"/>
        <v>March</v>
      </c>
      <c r="D239" t="str">
        <f t="shared" si="22"/>
        <v>Thursday</v>
      </c>
      <c r="E239" t="str">
        <f t="shared" si="18"/>
        <v>09:48:00 PM</v>
      </c>
      <c r="F239" s="3">
        <v>42446.919444444444</v>
      </c>
      <c r="G239" s="4">
        <f t="shared" si="23"/>
        <v>0.91944444444379769</v>
      </c>
      <c r="H239" t="str">
        <f t="shared" si="19"/>
        <v>16 min</v>
      </c>
      <c r="I239" t="s">
        <v>3</v>
      </c>
      <c r="J239" t="s">
        <v>127</v>
      </c>
      <c r="K239" t="s">
        <v>61</v>
      </c>
      <c r="L239">
        <v>10.4</v>
      </c>
      <c r="M239" t="s">
        <v>52</v>
      </c>
      <c r="N239" t="str" cm="1">
        <f t="array" ref="N239">_xlfn.IFS(
    AND(HOUR(A239)&gt;=0, HOUR(A239)&lt;10), "Morning",
    AND(HOUR(A239)&gt;=10, HOUR(A239)&lt;15), "Afternoon",
    AND(HOUR(E239)&gt;=15, HOUR(E239)&lt;19), "Evening",
    AND(HOUR(E239)&gt;=19, HOUR(E239)&lt;=23), "Night"
)</f>
        <v>Night</v>
      </c>
    </row>
    <row r="240" spans="1:14" x14ac:dyDescent="0.25">
      <c r="A240" s="3">
        <v>42447.302083333336</v>
      </c>
      <c r="B240" s="2">
        <f t="shared" si="20"/>
        <v>42447</v>
      </c>
      <c r="C240" t="str">
        <f t="shared" si="21"/>
        <v>March</v>
      </c>
      <c r="D240" t="str">
        <f t="shared" si="22"/>
        <v>Friday</v>
      </c>
      <c r="E240" t="str">
        <f t="shared" si="18"/>
        <v>07:15:00 AM</v>
      </c>
      <c r="F240" s="3">
        <v>42447.306250000001</v>
      </c>
      <c r="G240" s="4">
        <f t="shared" si="23"/>
        <v>0.30625000000145519</v>
      </c>
      <c r="H240" t="str">
        <f t="shared" si="19"/>
        <v>6 min</v>
      </c>
      <c r="I240" t="s">
        <v>2</v>
      </c>
      <c r="J240" t="s">
        <v>61</v>
      </c>
      <c r="K240" t="s">
        <v>61</v>
      </c>
      <c r="L240">
        <v>1.1000000000000001</v>
      </c>
      <c r="M240" t="s">
        <v>9</v>
      </c>
      <c r="N240" t="str" cm="1">
        <f t="array" ref="N240">_xlfn.IFS(
    AND(HOUR(A240)&gt;=0, HOUR(A240)&lt;10), "Morning",
    AND(HOUR(A240)&gt;=10, HOUR(A240)&lt;15), "Afternoon",
    AND(HOUR(E240)&gt;=15, HOUR(E240)&lt;19), "Evening",
    AND(HOUR(E240)&gt;=19, HOUR(E240)&lt;=23), "Night"
)</f>
        <v>Morning</v>
      </c>
    </row>
    <row r="241" spans="1:14" x14ac:dyDescent="0.25">
      <c r="A241" s="3">
        <v>42447.357638888891</v>
      </c>
      <c r="B241" s="2">
        <f t="shared" si="20"/>
        <v>42447</v>
      </c>
      <c r="C241" t="str">
        <f t="shared" si="21"/>
        <v>March</v>
      </c>
      <c r="D241" t="str">
        <f t="shared" si="22"/>
        <v>Friday</v>
      </c>
      <c r="E241" t="str">
        <f t="shared" si="18"/>
        <v>08:35:00 AM</v>
      </c>
      <c r="F241" s="3">
        <v>42447.363194444442</v>
      </c>
      <c r="G241" s="4">
        <f t="shared" si="23"/>
        <v>0.3631944444423425</v>
      </c>
      <c r="H241" t="str">
        <f t="shared" si="19"/>
        <v>8 min</v>
      </c>
      <c r="I241" t="s">
        <v>2</v>
      </c>
      <c r="J241" t="s">
        <v>61</v>
      </c>
      <c r="K241" t="s">
        <v>61</v>
      </c>
      <c r="L241">
        <v>1.1000000000000001</v>
      </c>
      <c r="M241" t="s">
        <v>9</v>
      </c>
      <c r="N241" t="str" cm="1">
        <f t="array" ref="N241">_xlfn.IFS(
    AND(HOUR(A241)&gt;=0, HOUR(A241)&lt;10), "Morning",
    AND(HOUR(A241)&gt;=10, HOUR(A241)&lt;15), "Afternoon",
    AND(HOUR(E241)&gt;=15, HOUR(E241)&lt;19), "Evening",
    AND(HOUR(E241)&gt;=19, HOUR(E241)&lt;=23), "Night"
)</f>
        <v>Morning</v>
      </c>
    </row>
    <row r="242" spans="1:14" x14ac:dyDescent="0.25">
      <c r="A242" s="3">
        <v>42447.76666666667</v>
      </c>
      <c r="B242" s="2">
        <f t="shared" si="20"/>
        <v>42447</v>
      </c>
      <c r="C242" t="str">
        <f t="shared" si="21"/>
        <v>March</v>
      </c>
      <c r="D242" t="str">
        <f t="shared" si="22"/>
        <v>Friday</v>
      </c>
      <c r="E242" t="str">
        <f t="shared" si="18"/>
        <v>06:24:00 PM</v>
      </c>
      <c r="F242" s="3">
        <v>42447.797222222223</v>
      </c>
      <c r="G242" s="4">
        <f t="shared" si="23"/>
        <v>0.79722222222335404</v>
      </c>
      <c r="H242" t="str">
        <f t="shared" si="19"/>
        <v>44 min</v>
      </c>
      <c r="I242" t="s">
        <v>2</v>
      </c>
      <c r="J242" t="s">
        <v>61</v>
      </c>
      <c r="K242" t="s">
        <v>127</v>
      </c>
      <c r="L242">
        <v>13.2</v>
      </c>
      <c r="M242" t="s">
        <v>10</v>
      </c>
      <c r="N242" t="str" cm="1">
        <f t="array" ref="N242">_xlfn.IFS(
    AND(HOUR(A242)&gt;=0, HOUR(A242)&lt;10), "Morning",
    AND(HOUR(A242)&gt;=10, HOUR(A242)&lt;15), "Afternoon",
    AND(HOUR(E242)&gt;=15, HOUR(E242)&lt;19), "Evening",
    AND(HOUR(E242)&gt;=19, HOUR(E242)&lt;=23), "Night"
)</f>
        <v>Evening</v>
      </c>
    </row>
    <row r="243" spans="1:14" x14ac:dyDescent="0.25">
      <c r="A243" s="3">
        <v>42447.807638888888</v>
      </c>
      <c r="B243" s="2">
        <f t="shared" si="20"/>
        <v>42447</v>
      </c>
      <c r="C243" t="str">
        <f t="shared" si="21"/>
        <v>March</v>
      </c>
      <c r="D243" t="str">
        <f t="shared" si="22"/>
        <v>Friday</v>
      </c>
      <c r="E243" t="str">
        <f t="shared" si="18"/>
        <v>07:23:00 PM</v>
      </c>
      <c r="F243" s="3">
        <v>42447.811805555553</v>
      </c>
      <c r="G243" s="4">
        <f t="shared" si="23"/>
        <v>0.81180555555329192</v>
      </c>
      <c r="H243" t="str">
        <f t="shared" si="19"/>
        <v>6 min</v>
      </c>
      <c r="I243" t="s">
        <v>2</v>
      </c>
      <c r="J243" t="s">
        <v>127</v>
      </c>
      <c r="K243" t="s">
        <v>127</v>
      </c>
      <c r="L243">
        <v>1</v>
      </c>
      <c r="M243" t="s">
        <v>8</v>
      </c>
      <c r="N243" t="str" cm="1">
        <f t="array" ref="N243">_xlfn.IFS(
    AND(HOUR(A243)&gt;=0, HOUR(A243)&lt;10), "Morning",
    AND(HOUR(A243)&gt;=10, HOUR(A243)&lt;15), "Afternoon",
    AND(HOUR(E243)&gt;=15, HOUR(E243)&lt;19), "Evening",
    AND(HOUR(E243)&gt;=19, HOUR(E243)&lt;=23), "Night"
)</f>
        <v>Night</v>
      </c>
    </row>
    <row r="244" spans="1:14" x14ac:dyDescent="0.25">
      <c r="A244" s="3">
        <v>42447.875694444447</v>
      </c>
      <c r="B244" s="2">
        <f t="shared" si="20"/>
        <v>42447</v>
      </c>
      <c r="C244" t="str">
        <f t="shared" si="21"/>
        <v>March</v>
      </c>
      <c r="D244" t="str">
        <f t="shared" si="22"/>
        <v>Friday</v>
      </c>
      <c r="E244" t="str">
        <f t="shared" si="18"/>
        <v>09:01:00 PM</v>
      </c>
      <c r="F244" s="3">
        <v>42447.885416666664</v>
      </c>
      <c r="G244" s="4">
        <f t="shared" si="23"/>
        <v>0.88541666666424135</v>
      </c>
      <c r="H244" t="str">
        <f t="shared" si="19"/>
        <v>14 min</v>
      </c>
      <c r="I244" t="s">
        <v>2</v>
      </c>
      <c r="J244" t="s">
        <v>127</v>
      </c>
      <c r="K244" t="s">
        <v>61</v>
      </c>
      <c r="L244">
        <v>9.1999999999999993</v>
      </c>
      <c r="M244" t="s">
        <v>7</v>
      </c>
      <c r="N244" t="str" cm="1">
        <f t="array" ref="N244">_xlfn.IFS(
    AND(HOUR(A244)&gt;=0, HOUR(A244)&lt;10), "Morning",
    AND(HOUR(A244)&gt;=10, HOUR(A244)&lt;15), "Afternoon",
    AND(HOUR(E244)&gt;=15, HOUR(E244)&lt;19), "Evening",
    AND(HOUR(E244)&gt;=19, HOUR(E244)&lt;=23), "Night"
)</f>
        <v>Night</v>
      </c>
    </row>
    <row r="245" spans="1:14" x14ac:dyDescent="0.25">
      <c r="A245" s="3">
        <v>42448.381944444445</v>
      </c>
      <c r="B245" s="2">
        <f t="shared" si="20"/>
        <v>42448</v>
      </c>
      <c r="C245" t="str">
        <f t="shared" si="21"/>
        <v>March</v>
      </c>
      <c r="D245" t="str">
        <f t="shared" si="22"/>
        <v>Saturday</v>
      </c>
      <c r="E245" t="str">
        <f t="shared" si="18"/>
        <v>09:10:00 AM</v>
      </c>
      <c r="F245" s="3">
        <v>42448.392361111109</v>
      </c>
      <c r="G245" s="4">
        <f t="shared" si="23"/>
        <v>0.39236111110949423</v>
      </c>
      <c r="H245" t="str">
        <f t="shared" si="19"/>
        <v>15 min</v>
      </c>
      <c r="I245" t="s">
        <v>2</v>
      </c>
      <c r="J245" t="s">
        <v>61</v>
      </c>
      <c r="K245" t="s">
        <v>127</v>
      </c>
      <c r="L245">
        <v>9.4</v>
      </c>
      <c r="M245" t="s">
        <v>9</v>
      </c>
      <c r="N245" t="str" cm="1">
        <f t="array" ref="N245">_xlfn.IFS(
    AND(HOUR(A245)&gt;=0, HOUR(A245)&lt;10), "Morning",
    AND(HOUR(A245)&gt;=10, HOUR(A245)&lt;15), "Afternoon",
    AND(HOUR(E245)&gt;=15, HOUR(E245)&lt;19), "Evening",
    AND(HOUR(E245)&gt;=19, HOUR(E245)&lt;=23), "Night"
)</f>
        <v>Morning</v>
      </c>
    </row>
    <row r="246" spans="1:14" x14ac:dyDescent="0.25">
      <c r="A246" s="3">
        <v>42448.534722222219</v>
      </c>
      <c r="B246" s="2">
        <f t="shared" si="20"/>
        <v>42448</v>
      </c>
      <c r="C246" t="str">
        <f t="shared" si="21"/>
        <v>March</v>
      </c>
      <c r="D246" t="str">
        <f t="shared" si="22"/>
        <v>Saturday</v>
      </c>
      <c r="E246" t="str">
        <f t="shared" si="18"/>
        <v>12:50:00 PM</v>
      </c>
      <c r="F246" s="3">
        <v>42448.550694444442</v>
      </c>
      <c r="G246" s="4">
        <f t="shared" si="23"/>
        <v>0.5506944444423425</v>
      </c>
      <c r="H246" t="str">
        <f t="shared" si="19"/>
        <v>23 min</v>
      </c>
      <c r="I246" t="s">
        <v>2</v>
      </c>
      <c r="J246" t="s">
        <v>72</v>
      </c>
      <c r="K246" t="s">
        <v>128</v>
      </c>
      <c r="L246">
        <v>12</v>
      </c>
      <c r="M246" t="s">
        <v>7</v>
      </c>
      <c r="N246" t="str" cm="1">
        <f t="array" ref="N246">_xlfn.IFS(
    AND(HOUR(A246)&gt;=0, HOUR(A246)&lt;10), "Morning",
    AND(HOUR(A246)&gt;=10, HOUR(A246)&lt;15), "Afternoon",
    AND(HOUR(E246)&gt;=15, HOUR(E246)&lt;19), "Evening",
    AND(HOUR(E246)&gt;=19, HOUR(E246)&lt;=23), "Night"
)</f>
        <v>Afternoon</v>
      </c>
    </row>
    <row r="247" spans="1:14" x14ac:dyDescent="0.25">
      <c r="A247" s="3">
        <v>42448.584027777775</v>
      </c>
      <c r="B247" s="2">
        <f t="shared" si="20"/>
        <v>42448</v>
      </c>
      <c r="C247" t="str">
        <f t="shared" si="21"/>
        <v>March</v>
      </c>
      <c r="D247" t="str">
        <f t="shared" si="22"/>
        <v>Saturday</v>
      </c>
      <c r="E247" t="str">
        <f t="shared" si="18"/>
        <v>02:01:00 PM</v>
      </c>
      <c r="F247" s="3">
        <v>42448.622916666667</v>
      </c>
      <c r="G247" s="4">
        <f t="shared" si="23"/>
        <v>0.62291666666715173</v>
      </c>
      <c r="H247" t="str">
        <f t="shared" si="19"/>
        <v>56 min</v>
      </c>
      <c r="I247" t="s">
        <v>2</v>
      </c>
      <c r="J247" t="s">
        <v>128</v>
      </c>
      <c r="K247" t="s">
        <v>72</v>
      </c>
      <c r="L247">
        <v>35.1</v>
      </c>
      <c r="M247" t="s">
        <v>7</v>
      </c>
      <c r="N247" t="str" cm="1">
        <f t="array" ref="N247">_xlfn.IFS(
    AND(HOUR(A247)&gt;=0, HOUR(A247)&lt;10), "Morning",
    AND(HOUR(A247)&gt;=10, HOUR(A247)&lt;15), "Afternoon",
    AND(HOUR(E247)&gt;=15, HOUR(E247)&lt;19), "Evening",
    AND(HOUR(E247)&gt;=19, HOUR(E247)&lt;=23), "Night"
)</f>
        <v>Afternoon</v>
      </c>
    </row>
    <row r="248" spans="1:14" x14ac:dyDescent="0.25">
      <c r="A248" s="3">
        <v>42448.648611111108</v>
      </c>
      <c r="B248" s="2">
        <f t="shared" si="20"/>
        <v>42448</v>
      </c>
      <c r="C248" t="str">
        <f t="shared" si="21"/>
        <v>March</v>
      </c>
      <c r="D248" t="str">
        <f t="shared" si="22"/>
        <v>Saturday</v>
      </c>
      <c r="E248" t="str">
        <f t="shared" si="18"/>
        <v>03:34:00 PM</v>
      </c>
      <c r="F248" s="3">
        <v>42448.693055555559</v>
      </c>
      <c r="G248" s="4">
        <f t="shared" si="23"/>
        <v>0.69305555555911269</v>
      </c>
      <c r="H248" t="str">
        <f t="shared" si="19"/>
        <v>64 min</v>
      </c>
      <c r="I248" t="s">
        <v>2</v>
      </c>
      <c r="J248" t="s">
        <v>72</v>
      </c>
      <c r="K248" t="s">
        <v>129</v>
      </c>
      <c r="L248">
        <v>36.5</v>
      </c>
      <c r="M248" t="s">
        <v>9</v>
      </c>
      <c r="N248" t="str" cm="1">
        <f t="array" ref="N248">_xlfn.IFS(
    AND(HOUR(A248)&gt;=0, HOUR(A248)&lt;10), "Morning",
    AND(HOUR(A248)&gt;=10, HOUR(A248)&lt;15), "Afternoon",
    AND(HOUR(E248)&gt;=15, HOUR(E248)&lt;19), "Evening",
    AND(HOUR(E248)&gt;=19, HOUR(E248)&lt;=23), "Night"
)</f>
        <v>Evening</v>
      </c>
    </row>
    <row r="249" spans="1:14" x14ac:dyDescent="0.25">
      <c r="A249" s="3">
        <v>42448.720138888886</v>
      </c>
      <c r="B249" s="2">
        <f t="shared" si="20"/>
        <v>42448</v>
      </c>
      <c r="C249" t="str">
        <f t="shared" si="21"/>
        <v>March</v>
      </c>
      <c r="D249" t="str">
        <f t="shared" si="22"/>
        <v>Saturday</v>
      </c>
      <c r="E249" t="str">
        <f t="shared" si="18"/>
        <v>05:17:00 PM</v>
      </c>
      <c r="F249" s="3">
        <v>42448.730555555558</v>
      </c>
      <c r="G249" s="4">
        <f t="shared" si="23"/>
        <v>0.7305555555576575</v>
      </c>
      <c r="H249" t="str">
        <f t="shared" si="19"/>
        <v>15 min</v>
      </c>
      <c r="I249" t="s">
        <v>2</v>
      </c>
      <c r="J249" t="s">
        <v>129</v>
      </c>
      <c r="K249" t="s">
        <v>130</v>
      </c>
      <c r="L249">
        <v>3.1</v>
      </c>
      <c r="M249" t="s">
        <v>9</v>
      </c>
      <c r="N249" t="str" cm="1">
        <f t="array" ref="N249">_xlfn.IFS(
    AND(HOUR(A249)&gt;=0, HOUR(A249)&lt;10), "Morning",
    AND(HOUR(A249)&gt;=10, HOUR(A249)&lt;15), "Afternoon",
    AND(HOUR(E249)&gt;=15, HOUR(E249)&lt;19), "Evening",
    AND(HOUR(E249)&gt;=19, HOUR(E249)&lt;=23), "Night"
)</f>
        <v>Evening</v>
      </c>
    </row>
    <row r="250" spans="1:14" x14ac:dyDescent="0.25">
      <c r="A250" s="3">
        <v>42448.734027777777</v>
      </c>
      <c r="B250" s="2">
        <f t="shared" si="20"/>
        <v>42448</v>
      </c>
      <c r="C250" t="str">
        <f t="shared" si="21"/>
        <v>March</v>
      </c>
      <c r="D250" t="str">
        <f t="shared" si="22"/>
        <v>Saturday</v>
      </c>
      <c r="E250" t="str">
        <f t="shared" si="18"/>
        <v>05:37:00 PM</v>
      </c>
      <c r="F250" s="3">
        <v>42448.740972222222</v>
      </c>
      <c r="G250" s="4">
        <f t="shared" si="23"/>
        <v>0.74097222222189885</v>
      </c>
      <c r="H250" t="str">
        <f t="shared" si="19"/>
        <v>10 min</v>
      </c>
      <c r="I250" t="s">
        <v>2</v>
      </c>
      <c r="J250" t="s">
        <v>130</v>
      </c>
      <c r="K250" t="s">
        <v>130</v>
      </c>
      <c r="L250">
        <v>2.1</v>
      </c>
      <c r="M250" t="s">
        <v>8</v>
      </c>
      <c r="N250" t="str" cm="1">
        <f t="array" ref="N250">_xlfn.IFS(
    AND(HOUR(A250)&gt;=0, HOUR(A250)&lt;10), "Morning",
    AND(HOUR(A250)&gt;=10, HOUR(A250)&lt;15), "Afternoon",
    AND(HOUR(E250)&gt;=15, HOUR(E250)&lt;19), "Evening",
    AND(HOUR(E250)&gt;=19, HOUR(E250)&lt;=23), "Night"
)</f>
        <v>Evening</v>
      </c>
    </row>
    <row r="251" spans="1:14" x14ac:dyDescent="0.25">
      <c r="A251" s="3">
        <v>42448.744444444441</v>
      </c>
      <c r="B251" s="2">
        <f t="shared" si="20"/>
        <v>42448</v>
      </c>
      <c r="C251" t="str">
        <f t="shared" si="21"/>
        <v>March</v>
      </c>
      <c r="D251" t="str">
        <f t="shared" si="22"/>
        <v>Saturday</v>
      </c>
      <c r="E251" t="str">
        <f t="shared" si="18"/>
        <v>05:52:00 PM</v>
      </c>
      <c r="F251" s="3">
        <v>42448.75</v>
      </c>
      <c r="G251" s="4">
        <f t="shared" si="23"/>
        <v>0.75</v>
      </c>
      <c r="H251" t="str">
        <f t="shared" si="19"/>
        <v>8 min</v>
      </c>
      <c r="I251" t="s">
        <v>2</v>
      </c>
      <c r="J251" t="s">
        <v>130</v>
      </c>
      <c r="K251" t="s">
        <v>130</v>
      </c>
      <c r="L251">
        <v>1.2</v>
      </c>
      <c r="M251" t="s">
        <v>52</v>
      </c>
      <c r="N251" t="str" cm="1">
        <f t="array" ref="N251">_xlfn.IFS(
    AND(HOUR(A251)&gt;=0, HOUR(A251)&lt;10), "Morning",
    AND(HOUR(A251)&gt;=10, HOUR(A251)&lt;15), "Afternoon",
    AND(HOUR(E251)&gt;=15, HOUR(E251)&lt;19), "Evening",
    AND(HOUR(E251)&gt;=19, HOUR(E251)&lt;=23), "Night"
)</f>
        <v>Evening</v>
      </c>
    </row>
    <row r="252" spans="1:14" x14ac:dyDescent="0.25">
      <c r="A252" s="3">
        <v>42448.786805555559</v>
      </c>
      <c r="B252" s="2">
        <f t="shared" si="20"/>
        <v>42448</v>
      </c>
      <c r="C252" t="str">
        <f t="shared" si="21"/>
        <v>March</v>
      </c>
      <c r="D252" t="str">
        <f t="shared" si="22"/>
        <v>Saturday</v>
      </c>
      <c r="E252" t="str">
        <f t="shared" si="18"/>
        <v>06:53:00 PM</v>
      </c>
      <c r="F252" s="3">
        <v>42448.811805555553</v>
      </c>
      <c r="G252" s="4">
        <f t="shared" si="23"/>
        <v>0.81180555555329192</v>
      </c>
      <c r="H252" t="str">
        <f t="shared" si="19"/>
        <v>36 min</v>
      </c>
      <c r="I252" t="s">
        <v>2</v>
      </c>
      <c r="J252" t="s">
        <v>130</v>
      </c>
      <c r="K252" t="s">
        <v>129</v>
      </c>
      <c r="L252">
        <v>7.5</v>
      </c>
      <c r="M252" t="s">
        <v>10</v>
      </c>
      <c r="N252" t="str" cm="1">
        <f t="array" ref="N252">_xlfn.IFS(
    AND(HOUR(A252)&gt;=0, HOUR(A252)&lt;10), "Morning",
    AND(HOUR(A252)&gt;=10, HOUR(A252)&lt;15), "Afternoon",
    AND(HOUR(E252)&gt;=15, HOUR(E252)&lt;19), "Evening",
    AND(HOUR(E252)&gt;=19, HOUR(E252)&lt;=23), "Night"
)</f>
        <v>Evening</v>
      </c>
    </row>
    <row r="253" spans="1:14" x14ac:dyDescent="0.25">
      <c r="A253" s="3">
        <v>42448.814583333333</v>
      </c>
      <c r="B253" s="2">
        <f t="shared" si="20"/>
        <v>42448</v>
      </c>
      <c r="C253" t="str">
        <f t="shared" si="21"/>
        <v>March</v>
      </c>
      <c r="D253" t="str">
        <f t="shared" si="22"/>
        <v>Saturday</v>
      </c>
      <c r="E253" t="str">
        <f t="shared" si="18"/>
        <v>07:33:00 PM</v>
      </c>
      <c r="F253" s="3">
        <v>42448.86041666667</v>
      </c>
      <c r="G253" s="4">
        <f t="shared" si="23"/>
        <v>0.86041666667006211</v>
      </c>
      <c r="H253" t="str">
        <f t="shared" si="19"/>
        <v>66 min</v>
      </c>
      <c r="I253" t="s">
        <v>2</v>
      </c>
      <c r="J253" t="s">
        <v>129</v>
      </c>
      <c r="K253" t="s">
        <v>72</v>
      </c>
      <c r="L253">
        <v>57</v>
      </c>
      <c r="M253" t="s">
        <v>7</v>
      </c>
      <c r="N253" t="str" cm="1">
        <f t="array" ref="N253">_xlfn.IFS(
    AND(HOUR(A253)&gt;=0, HOUR(A253)&lt;10), "Morning",
    AND(HOUR(A253)&gt;=10, HOUR(A253)&lt;15), "Afternoon",
    AND(HOUR(E253)&gt;=15, HOUR(E253)&lt;19), "Evening",
    AND(HOUR(E253)&gt;=19, HOUR(E253)&lt;=23), "Night"
)</f>
        <v>Night</v>
      </c>
    </row>
    <row r="254" spans="1:14" x14ac:dyDescent="0.25">
      <c r="A254" s="3">
        <v>42449.317361111112</v>
      </c>
      <c r="B254" s="2">
        <f t="shared" si="20"/>
        <v>42449</v>
      </c>
      <c r="C254" t="str">
        <f t="shared" si="21"/>
        <v>March</v>
      </c>
      <c r="D254" t="str">
        <f t="shared" si="22"/>
        <v>Sunday</v>
      </c>
      <c r="E254" t="str">
        <f t="shared" si="18"/>
        <v>07:37:00 AM</v>
      </c>
      <c r="F254" s="3">
        <v>42449.324999999997</v>
      </c>
      <c r="G254" s="4">
        <f t="shared" si="23"/>
        <v>0.32499999999708962</v>
      </c>
      <c r="H254" t="str">
        <f t="shared" si="19"/>
        <v>11 min</v>
      </c>
      <c r="I254" t="s">
        <v>2</v>
      </c>
      <c r="J254" t="s">
        <v>61</v>
      </c>
      <c r="K254" t="s">
        <v>131</v>
      </c>
      <c r="L254">
        <v>5.9</v>
      </c>
      <c r="M254" t="s">
        <v>10</v>
      </c>
      <c r="N254" t="str" cm="1">
        <f t="array" ref="N254">_xlfn.IFS(
    AND(HOUR(A254)&gt;=0, HOUR(A254)&lt;10), "Morning",
    AND(HOUR(A254)&gt;=10, HOUR(A254)&lt;15), "Afternoon",
    AND(HOUR(E254)&gt;=15, HOUR(E254)&lt;19), "Evening",
    AND(HOUR(E254)&gt;=19, HOUR(E254)&lt;=23), "Night"
)</f>
        <v>Morning</v>
      </c>
    </row>
    <row r="255" spans="1:14" x14ac:dyDescent="0.25">
      <c r="A255" s="3">
        <v>42449.487500000003</v>
      </c>
      <c r="B255" s="2">
        <f t="shared" si="20"/>
        <v>42449</v>
      </c>
      <c r="C255" t="str">
        <f t="shared" si="21"/>
        <v>March</v>
      </c>
      <c r="D255" t="str">
        <f t="shared" si="22"/>
        <v>Sunday</v>
      </c>
      <c r="E255" t="str">
        <f t="shared" si="18"/>
        <v>11:42:00 AM</v>
      </c>
      <c r="F255" s="3">
        <v>42449.49722222222</v>
      </c>
      <c r="G255" s="4">
        <f t="shared" si="23"/>
        <v>0.49722222222044365</v>
      </c>
      <c r="H255" t="str">
        <f t="shared" si="19"/>
        <v>14 min</v>
      </c>
      <c r="I255" t="s">
        <v>2</v>
      </c>
      <c r="J255" t="s">
        <v>131</v>
      </c>
      <c r="K255" t="s">
        <v>61</v>
      </c>
      <c r="L255">
        <v>6.2</v>
      </c>
      <c r="M255" t="s">
        <v>10</v>
      </c>
      <c r="N255" t="str" cm="1">
        <f t="array" ref="N255">_xlfn.IFS(
    AND(HOUR(A255)&gt;=0, HOUR(A255)&lt;10), "Morning",
    AND(HOUR(A255)&gt;=10, HOUR(A255)&lt;15), "Afternoon",
    AND(HOUR(E255)&gt;=15, HOUR(E255)&lt;19), "Evening",
    AND(HOUR(E255)&gt;=19, HOUR(E255)&lt;=23), "Night"
)</f>
        <v>Afternoon</v>
      </c>
    </row>
    <row r="256" spans="1:14" x14ac:dyDescent="0.25">
      <c r="A256" s="3">
        <v>42449.713888888888</v>
      </c>
      <c r="B256" s="2">
        <f t="shared" si="20"/>
        <v>42449</v>
      </c>
      <c r="C256" t="str">
        <f t="shared" si="21"/>
        <v>March</v>
      </c>
      <c r="D256" t="str">
        <f t="shared" si="22"/>
        <v>Sunday</v>
      </c>
      <c r="E256" t="str">
        <f t="shared" si="18"/>
        <v>05:08:00 PM</v>
      </c>
      <c r="F256" s="3">
        <v>42449.731944444444</v>
      </c>
      <c r="G256" s="4">
        <f t="shared" si="23"/>
        <v>0.73194444444379769</v>
      </c>
      <c r="H256" t="str">
        <f t="shared" si="19"/>
        <v>26 min</v>
      </c>
      <c r="I256" t="s">
        <v>2</v>
      </c>
      <c r="J256" t="s">
        <v>61</v>
      </c>
      <c r="K256" t="s">
        <v>127</v>
      </c>
      <c r="L256">
        <v>10.4</v>
      </c>
      <c r="M256" t="s">
        <v>52</v>
      </c>
      <c r="N256" t="str" cm="1">
        <f t="array" ref="N256">_xlfn.IFS(
    AND(HOUR(A256)&gt;=0, HOUR(A256)&lt;10), "Morning",
    AND(HOUR(A256)&gt;=10, HOUR(A256)&lt;15), "Afternoon",
    AND(HOUR(E256)&gt;=15, HOUR(E256)&lt;19), "Evening",
    AND(HOUR(E256)&gt;=19, HOUR(E256)&lt;=23), "Night"
)</f>
        <v>Evening</v>
      </c>
    </row>
    <row r="257" spans="1:14" x14ac:dyDescent="0.25">
      <c r="A257" s="3">
        <v>42449.773611111108</v>
      </c>
      <c r="B257" s="2">
        <f t="shared" si="20"/>
        <v>42449</v>
      </c>
      <c r="C257" t="str">
        <f t="shared" si="21"/>
        <v>March</v>
      </c>
      <c r="D257" t="str">
        <f t="shared" si="22"/>
        <v>Sunday</v>
      </c>
      <c r="E257" t="str">
        <f t="shared" si="18"/>
        <v>06:34:00 PM</v>
      </c>
      <c r="F257" s="3">
        <v>42449.777777777781</v>
      </c>
      <c r="G257" s="4">
        <f t="shared" si="23"/>
        <v>0.77777777778101154</v>
      </c>
      <c r="H257" t="str">
        <f t="shared" si="19"/>
        <v>6 min</v>
      </c>
      <c r="I257" t="s">
        <v>3</v>
      </c>
      <c r="J257" t="s">
        <v>127</v>
      </c>
      <c r="K257" t="s">
        <v>132</v>
      </c>
      <c r="L257">
        <v>1.2</v>
      </c>
      <c r="M257" t="s">
        <v>52</v>
      </c>
      <c r="N257" t="str" cm="1">
        <f t="array" ref="N257">_xlfn.IFS(
    AND(HOUR(A257)&gt;=0, HOUR(A257)&lt;10), "Morning",
    AND(HOUR(A257)&gt;=10, HOUR(A257)&lt;15), "Afternoon",
    AND(HOUR(E257)&gt;=15, HOUR(E257)&lt;19), "Evening",
    AND(HOUR(E257)&gt;=19, HOUR(E257)&lt;=23), "Night"
)</f>
        <v>Evening</v>
      </c>
    </row>
    <row r="258" spans="1:14" x14ac:dyDescent="0.25">
      <c r="A258" s="3">
        <v>42449.78125</v>
      </c>
      <c r="B258" s="2">
        <f t="shared" si="20"/>
        <v>42449</v>
      </c>
      <c r="C258" t="str">
        <f t="shared" si="21"/>
        <v>March</v>
      </c>
      <c r="D258" t="str">
        <f t="shared" si="22"/>
        <v>Sunday</v>
      </c>
      <c r="E258" t="str">
        <f t="shared" ref="E258:E321" si="24">TEXT(A258, "hh:mm:ss AM/PM")</f>
        <v>06:45:00 PM</v>
      </c>
      <c r="F258" s="3">
        <v>42449.79583333333</v>
      </c>
      <c r="G258" s="4">
        <f t="shared" si="23"/>
        <v>0.79583333332993789</v>
      </c>
      <c r="H258" t="str">
        <f t="shared" ref="H258:H321" si="25">HOUR(IF(G258&lt;E258, G258+1-E258, G258-E258))*60 + MINUTE(IF(G258&lt;E258, G258+1-E258, G258-E258)) &amp; " min"</f>
        <v>21 min</v>
      </c>
      <c r="I258" t="s">
        <v>2</v>
      </c>
      <c r="J258" t="s">
        <v>132</v>
      </c>
      <c r="K258" t="s">
        <v>61</v>
      </c>
      <c r="L258">
        <v>9.6</v>
      </c>
      <c r="M258" t="s">
        <v>7</v>
      </c>
      <c r="N258" t="str" cm="1">
        <f t="array" ref="N258">_xlfn.IFS(
    AND(HOUR(A258)&gt;=0, HOUR(A258)&lt;10), "Morning",
    AND(HOUR(A258)&gt;=10, HOUR(A258)&lt;15), "Afternoon",
    AND(HOUR(E258)&gt;=15, HOUR(E258)&lt;19), "Evening",
    AND(HOUR(E258)&gt;=19, HOUR(E258)&lt;=23), "Night"
)</f>
        <v>Evening</v>
      </c>
    </row>
    <row r="259" spans="1:14" x14ac:dyDescent="0.25">
      <c r="A259" s="3">
        <v>42450.431250000001</v>
      </c>
      <c r="B259" s="2">
        <f t="shared" ref="B259:B322" si="26">INT(A259)</f>
        <v>42450</v>
      </c>
      <c r="C259" t="str">
        <f t="shared" ref="C259:C322" si="27">TEXT(B259, "mmmm")</f>
        <v>March</v>
      </c>
      <c r="D259" t="str">
        <f t="shared" ref="D259:D322" si="28">TEXT(B259, "dddd")</f>
        <v>Monday</v>
      </c>
      <c r="E259" t="str">
        <f t="shared" si="24"/>
        <v>10:21:00 AM</v>
      </c>
      <c r="F259" s="3">
        <v>42450.43472222222</v>
      </c>
      <c r="G259" s="4">
        <f t="shared" ref="G259:G322" si="29">F259-INT(F259)</f>
        <v>0.43472222222044365</v>
      </c>
      <c r="H259" t="str">
        <f t="shared" si="25"/>
        <v>5 min</v>
      </c>
      <c r="I259" t="s">
        <v>3</v>
      </c>
      <c r="J259" t="s">
        <v>61</v>
      </c>
      <c r="K259" t="s">
        <v>70</v>
      </c>
      <c r="L259">
        <v>1</v>
      </c>
      <c r="M259" t="s">
        <v>52</v>
      </c>
      <c r="N259" t="str" cm="1">
        <f t="array" ref="N259">_xlfn.IFS(
    AND(HOUR(A259)&gt;=0, HOUR(A259)&lt;10), "Morning",
    AND(HOUR(A259)&gt;=10, HOUR(A259)&lt;15), "Afternoon",
    AND(HOUR(E259)&gt;=15, HOUR(E259)&lt;19), "Evening",
    AND(HOUR(E259)&gt;=19, HOUR(E259)&lt;=23), "Night"
)</f>
        <v>Afternoon</v>
      </c>
    </row>
    <row r="260" spans="1:14" x14ac:dyDescent="0.25">
      <c r="A260" s="3">
        <v>42450.670138888891</v>
      </c>
      <c r="B260" s="2">
        <f t="shared" si="26"/>
        <v>42450</v>
      </c>
      <c r="C260" t="str">
        <f t="shared" si="27"/>
        <v>March</v>
      </c>
      <c r="D260" t="str">
        <f t="shared" si="28"/>
        <v>Monday</v>
      </c>
      <c r="E260" t="str">
        <f t="shared" si="24"/>
        <v>04:05:00 PM</v>
      </c>
      <c r="F260" s="3">
        <v>42450.675694444442</v>
      </c>
      <c r="G260" s="4">
        <f t="shared" si="29"/>
        <v>0.6756944444423425</v>
      </c>
      <c r="H260" t="str">
        <f t="shared" si="25"/>
        <v>8 min</v>
      </c>
      <c r="I260" t="s">
        <v>2</v>
      </c>
      <c r="J260" t="s">
        <v>70</v>
      </c>
      <c r="K260" t="s">
        <v>61</v>
      </c>
      <c r="L260">
        <v>0.9</v>
      </c>
      <c r="M260" t="s">
        <v>9</v>
      </c>
      <c r="N260" t="str" cm="1">
        <f t="array" ref="N260">_xlfn.IFS(
    AND(HOUR(A260)&gt;=0, HOUR(A260)&lt;10), "Morning",
    AND(HOUR(A260)&gt;=10, HOUR(A260)&lt;15), "Afternoon",
    AND(HOUR(E260)&gt;=15, HOUR(E260)&lt;19), "Evening",
    AND(HOUR(E260)&gt;=19, HOUR(E260)&lt;=23), "Night"
)</f>
        <v>Evening</v>
      </c>
    </row>
    <row r="261" spans="1:14" x14ac:dyDescent="0.25">
      <c r="A261" s="3">
        <v>42450.790972222225</v>
      </c>
      <c r="B261" s="2">
        <f t="shared" si="26"/>
        <v>42450</v>
      </c>
      <c r="C261" t="str">
        <f t="shared" si="27"/>
        <v>March</v>
      </c>
      <c r="D261" t="str">
        <f t="shared" si="28"/>
        <v>Monday</v>
      </c>
      <c r="E261" t="str">
        <f t="shared" si="24"/>
        <v>06:59:00 PM</v>
      </c>
      <c r="F261" s="3">
        <v>42450.802083333336</v>
      </c>
      <c r="G261" s="4">
        <f t="shared" si="29"/>
        <v>0.80208333333575865</v>
      </c>
      <c r="H261" t="str">
        <f t="shared" si="25"/>
        <v>16 min</v>
      </c>
      <c r="I261" t="s">
        <v>2</v>
      </c>
      <c r="J261" t="s">
        <v>61</v>
      </c>
      <c r="K261" t="s">
        <v>127</v>
      </c>
      <c r="L261">
        <v>8.8000000000000007</v>
      </c>
      <c r="M261" t="s">
        <v>52</v>
      </c>
      <c r="N261" t="str" cm="1">
        <f t="array" ref="N261">_xlfn.IFS(
    AND(HOUR(A261)&gt;=0, HOUR(A261)&lt;10), "Morning",
    AND(HOUR(A261)&gt;=10, HOUR(A261)&lt;15), "Afternoon",
    AND(HOUR(E261)&gt;=15, HOUR(E261)&lt;19), "Evening",
    AND(HOUR(E261)&gt;=19, HOUR(E261)&lt;=23), "Night"
)</f>
        <v>Evening</v>
      </c>
    </row>
    <row r="262" spans="1:14" x14ac:dyDescent="0.25">
      <c r="A262" s="3">
        <v>42450.845833333333</v>
      </c>
      <c r="B262" s="2">
        <f t="shared" si="26"/>
        <v>42450</v>
      </c>
      <c r="C262" t="str">
        <f t="shared" si="27"/>
        <v>March</v>
      </c>
      <c r="D262" t="str">
        <f t="shared" si="28"/>
        <v>Monday</v>
      </c>
      <c r="E262" t="str">
        <f t="shared" si="24"/>
        <v>08:18:00 PM</v>
      </c>
      <c r="F262" s="3">
        <v>42450.871527777781</v>
      </c>
      <c r="G262" s="4">
        <f t="shared" si="29"/>
        <v>0.87152777778101154</v>
      </c>
      <c r="H262" t="str">
        <f t="shared" si="25"/>
        <v>37 min</v>
      </c>
      <c r="I262" t="s">
        <v>2</v>
      </c>
      <c r="J262" t="s">
        <v>127</v>
      </c>
      <c r="K262" t="s">
        <v>61</v>
      </c>
      <c r="L262">
        <v>25.6</v>
      </c>
      <c r="M262" t="s">
        <v>9</v>
      </c>
      <c r="N262" t="str" cm="1">
        <f t="array" ref="N262">_xlfn.IFS(
    AND(HOUR(A262)&gt;=0, HOUR(A262)&lt;10), "Morning",
    AND(HOUR(A262)&gt;=10, HOUR(A262)&lt;15), "Afternoon",
    AND(HOUR(E262)&gt;=15, HOUR(E262)&lt;19), "Evening",
    AND(HOUR(E262)&gt;=19, HOUR(E262)&lt;=23), "Night"
)</f>
        <v>Night</v>
      </c>
    </row>
    <row r="263" spans="1:14" x14ac:dyDescent="0.25">
      <c r="A263" s="3">
        <v>42451.261805555558</v>
      </c>
      <c r="B263" s="2">
        <f t="shared" si="26"/>
        <v>42451</v>
      </c>
      <c r="C263" t="str">
        <f t="shared" si="27"/>
        <v>March</v>
      </c>
      <c r="D263" t="str">
        <f t="shared" si="28"/>
        <v>Tuesday</v>
      </c>
      <c r="E263" t="str">
        <f t="shared" si="24"/>
        <v>06:17:00 AM</v>
      </c>
      <c r="F263" s="3">
        <v>42451.279861111114</v>
      </c>
      <c r="G263" s="4">
        <f t="shared" si="29"/>
        <v>0.27986111111385981</v>
      </c>
      <c r="H263" t="str">
        <f t="shared" si="25"/>
        <v>26 min</v>
      </c>
      <c r="I263" t="s">
        <v>2</v>
      </c>
      <c r="J263" t="s">
        <v>61</v>
      </c>
      <c r="K263" t="s">
        <v>133</v>
      </c>
      <c r="L263">
        <v>23</v>
      </c>
      <c r="M263" t="s">
        <v>9</v>
      </c>
      <c r="N263" t="str" cm="1">
        <f t="array" ref="N263">_xlfn.IFS(
    AND(HOUR(A263)&gt;=0, HOUR(A263)&lt;10), "Morning",
    AND(HOUR(A263)&gt;=10, HOUR(A263)&lt;15), "Afternoon",
    AND(HOUR(E263)&gt;=15, HOUR(E263)&lt;19), "Evening",
    AND(HOUR(E263)&gt;=19, HOUR(E263)&lt;=23), "Night"
)</f>
        <v>Morning</v>
      </c>
    </row>
    <row r="264" spans="1:14" x14ac:dyDescent="0.25">
      <c r="A264" s="3">
        <v>42451.504166666666</v>
      </c>
      <c r="B264" s="2">
        <f t="shared" si="26"/>
        <v>42451</v>
      </c>
      <c r="C264" t="str">
        <f t="shared" si="27"/>
        <v>March</v>
      </c>
      <c r="D264" t="str">
        <f t="shared" si="28"/>
        <v>Tuesday</v>
      </c>
      <c r="E264" t="str">
        <f t="shared" si="24"/>
        <v>12:06:00 PM</v>
      </c>
      <c r="F264" s="3">
        <v>42451.51666666667</v>
      </c>
      <c r="G264" s="4">
        <f t="shared" si="29"/>
        <v>0.51666666667006211</v>
      </c>
      <c r="H264" t="str">
        <f t="shared" si="25"/>
        <v>18 min</v>
      </c>
      <c r="I264" t="s">
        <v>3</v>
      </c>
      <c r="J264" t="s">
        <v>56</v>
      </c>
      <c r="K264" t="s">
        <v>55</v>
      </c>
      <c r="L264">
        <v>8.1</v>
      </c>
      <c r="M264" t="s">
        <v>52</v>
      </c>
      <c r="N264" t="str" cm="1">
        <f t="array" ref="N264">_xlfn.IFS(
    AND(HOUR(A264)&gt;=0, HOUR(A264)&lt;10), "Morning",
    AND(HOUR(A264)&gt;=10, HOUR(A264)&lt;15), "Afternoon",
    AND(HOUR(E264)&gt;=15, HOUR(E264)&lt;19), "Evening",
    AND(HOUR(E264)&gt;=19, HOUR(E264)&lt;=23), "Night"
)</f>
        <v>Afternoon</v>
      </c>
    </row>
    <row r="265" spans="1:14" x14ac:dyDescent="0.25">
      <c r="A265" s="3">
        <v>42451.8</v>
      </c>
      <c r="B265" s="2">
        <f t="shared" si="26"/>
        <v>42451</v>
      </c>
      <c r="C265" t="str">
        <f t="shared" si="27"/>
        <v>March</v>
      </c>
      <c r="D265" t="str">
        <f t="shared" si="28"/>
        <v>Tuesday</v>
      </c>
      <c r="E265" t="str">
        <f t="shared" si="24"/>
        <v>07:12:00 PM</v>
      </c>
      <c r="F265" s="3">
        <v>42451.809027777781</v>
      </c>
      <c r="G265" s="4">
        <f t="shared" si="29"/>
        <v>0.80902777778101154</v>
      </c>
      <c r="H265" t="str">
        <f t="shared" si="25"/>
        <v>13 min</v>
      </c>
      <c r="I265" t="s">
        <v>3</v>
      </c>
      <c r="J265" t="s">
        <v>77</v>
      </c>
      <c r="K265" t="s">
        <v>77</v>
      </c>
      <c r="L265">
        <v>1.4</v>
      </c>
      <c r="M265" t="s">
        <v>52</v>
      </c>
      <c r="N265" t="str" cm="1">
        <f t="array" ref="N265">_xlfn.IFS(
    AND(HOUR(A265)&gt;=0, HOUR(A265)&lt;10), "Morning",
    AND(HOUR(A265)&gt;=10, HOUR(A265)&lt;15), "Afternoon",
    AND(HOUR(E265)&gt;=15, HOUR(E265)&lt;19), "Evening",
    AND(HOUR(E265)&gt;=19, HOUR(E265)&lt;=23), "Night"
)</f>
        <v>Night</v>
      </c>
    </row>
    <row r="266" spans="1:14" x14ac:dyDescent="0.25">
      <c r="A266" s="3">
        <v>42452.609027777777</v>
      </c>
      <c r="B266" s="2">
        <f t="shared" si="26"/>
        <v>42452</v>
      </c>
      <c r="C266" t="str">
        <f t="shared" si="27"/>
        <v>March</v>
      </c>
      <c r="D266" t="str">
        <f t="shared" si="28"/>
        <v>Wednesday</v>
      </c>
      <c r="E266" t="str">
        <f t="shared" si="24"/>
        <v>02:37:00 PM</v>
      </c>
      <c r="F266" s="3">
        <v>42452.612500000003</v>
      </c>
      <c r="G266" s="4">
        <f t="shared" si="29"/>
        <v>0.61250000000291038</v>
      </c>
      <c r="H266" t="str">
        <f t="shared" si="25"/>
        <v>5 min</v>
      </c>
      <c r="I266" t="s">
        <v>3</v>
      </c>
      <c r="J266" t="s">
        <v>77</v>
      </c>
      <c r="K266" t="s">
        <v>94</v>
      </c>
      <c r="L266">
        <v>1.7</v>
      </c>
      <c r="M266" t="s">
        <v>52</v>
      </c>
      <c r="N266" t="str" cm="1">
        <f t="array" ref="N266">_xlfn.IFS(
    AND(HOUR(A266)&gt;=0, HOUR(A266)&lt;10), "Morning",
    AND(HOUR(A266)&gt;=10, HOUR(A266)&lt;15), "Afternoon",
    AND(HOUR(E266)&gt;=15, HOUR(E266)&lt;19), "Evening",
    AND(HOUR(E266)&gt;=19, HOUR(E266)&lt;=23), "Night"
)</f>
        <v>Afternoon</v>
      </c>
    </row>
    <row r="267" spans="1:14" x14ac:dyDescent="0.25">
      <c r="A267" s="3">
        <v>42452.620138888888</v>
      </c>
      <c r="B267" s="2">
        <f t="shared" si="26"/>
        <v>42452</v>
      </c>
      <c r="C267" t="str">
        <f t="shared" si="27"/>
        <v>March</v>
      </c>
      <c r="D267" t="str">
        <f t="shared" si="28"/>
        <v>Wednesday</v>
      </c>
      <c r="E267" t="str">
        <f t="shared" si="24"/>
        <v>02:53:00 PM</v>
      </c>
      <c r="F267" s="3">
        <v>42452.624305555553</v>
      </c>
      <c r="G267" s="4">
        <f t="shared" si="29"/>
        <v>0.62430555555329192</v>
      </c>
      <c r="H267" t="str">
        <f t="shared" si="25"/>
        <v>6 min</v>
      </c>
      <c r="I267" t="s">
        <v>3</v>
      </c>
      <c r="J267" t="s">
        <v>94</v>
      </c>
      <c r="K267" t="s">
        <v>77</v>
      </c>
      <c r="L267">
        <v>1.6</v>
      </c>
      <c r="M267" t="s">
        <v>52</v>
      </c>
      <c r="N267" t="str" cm="1">
        <f t="array" ref="N267">_xlfn.IFS(
    AND(HOUR(A267)&gt;=0, HOUR(A267)&lt;10), "Morning",
    AND(HOUR(A267)&gt;=10, HOUR(A267)&lt;15), "Afternoon",
    AND(HOUR(E267)&gt;=15, HOUR(E267)&lt;19), "Evening",
    AND(HOUR(E267)&gt;=19, HOUR(E267)&lt;=23), "Night"
)</f>
        <v>Afternoon</v>
      </c>
    </row>
    <row r="268" spans="1:14" x14ac:dyDescent="0.25">
      <c r="A268" s="3">
        <v>42453.824305555558</v>
      </c>
      <c r="B268" s="2">
        <f t="shared" si="26"/>
        <v>42453</v>
      </c>
      <c r="C268" t="str">
        <f t="shared" si="27"/>
        <v>March</v>
      </c>
      <c r="D268" t="str">
        <f t="shared" si="28"/>
        <v>Thursday</v>
      </c>
      <c r="E268" t="str">
        <f t="shared" si="24"/>
        <v>07:47:00 PM</v>
      </c>
      <c r="F268" s="3">
        <v>42453.82916666667</v>
      </c>
      <c r="G268" s="4">
        <f t="shared" si="29"/>
        <v>0.82916666667006211</v>
      </c>
      <c r="H268" t="str">
        <f t="shared" si="25"/>
        <v>7 min</v>
      </c>
      <c r="I268" t="s">
        <v>3</v>
      </c>
      <c r="J268" t="s">
        <v>77</v>
      </c>
      <c r="K268" t="s">
        <v>83</v>
      </c>
      <c r="L268">
        <v>2</v>
      </c>
      <c r="M268" t="s">
        <v>52</v>
      </c>
      <c r="N268" t="str" cm="1">
        <f t="array" ref="N268">_xlfn.IFS(
    AND(HOUR(A268)&gt;=0, HOUR(A268)&lt;10), "Morning",
    AND(HOUR(A268)&gt;=10, HOUR(A268)&lt;15), "Afternoon",
    AND(HOUR(E268)&gt;=15, HOUR(E268)&lt;19), "Evening",
    AND(HOUR(E268)&gt;=19, HOUR(E268)&lt;=23), "Night"
)</f>
        <v>Night</v>
      </c>
    </row>
    <row r="269" spans="1:14" x14ac:dyDescent="0.25">
      <c r="A269" s="3">
        <v>42453.856944444444</v>
      </c>
      <c r="B269" s="2">
        <f t="shared" si="26"/>
        <v>42453</v>
      </c>
      <c r="C269" t="str">
        <f t="shared" si="27"/>
        <v>March</v>
      </c>
      <c r="D269" t="str">
        <f t="shared" si="28"/>
        <v>Thursday</v>
      </c>
      <c r="E269" t="str">
        <f t="shared" si="24"/>
        <v>08:34:00 PM</v>
      </c>
      <c r="F269" s="3">
        <v>42453.861111111109</v>
      </c>
      <c r="G269" s="4">
        <f t="shared" si="29"/>
        <v>0.86111111110949423</v>
      </c>
      <c r="H269" t="str">
        <f t="shared" si="25"/>
        <v>6 min</v>
      </c>
      <c r="I269" t="s">
        <v>2</v>
      </c>
      <c r="J269" t="s">
        <v>83</v>
      </c>
      <c r="K269" t="s">
        <v>77</v>
      </c>
      <c r="L269">
        <v>2.2000000000000002</v>
      </c>
      <c r="M269" t="s">
        <v>52</v>
      </c>
      <c r="N269" t="str" cm="1">
        <f t="array" ref="N269">_xlfn.IFS(
    AND(HOUR(A269)&gt;=0, HOUR(A269)&lt;10), "Morning",
    AND(HOUR(A269)&gt;=10, HOUR(A269)&lt;15), "Afternoon",
    AND(HOUR(E269)&gt;=15, HOUR(E269)&lt;19), "Evening",
    AND(HOUR(E269)&gt;=19, HOUR(E269)&lt;=23), "Night"
)</f>
        <v>Night</v>
      </c>
    </row>
    <row r="270" spans="1:14" x14ac:dyDescent="0.25">
      <c r="A270" s="3">
        <v>42454.558333333334</v>
      </c>
      <c r="B270" s="2">
        <f t="shared" si="26"/>
        <v>42454</v>
      </c>
      <c r="C270" t="str">
        <f t="shared" si="27"/>
        <v>March</v>
      </c>
      <c r="D270" t="str">
        <f t="shared" si="28"/>
        <v>Friday</v>
      </c>
      <c r="E270" t="str">
        <f t="shared" si="24"/>
        <v>01:24:00 PM</v>
      </c>
      <c r="F270" s="3">
        <v>42454.681944444441</v>
      </c>
      <c r="G270" s="4">
        <f t="shared" si="29"/>
        <v>0.68194444444088731</v>
      </c>
      <c r="H270" t="str">
        <f t="shared" si="25"/>
        <v>178 min</v>
      </c>
      <c r="I270" t="s">
        <v>2</v>
      </c>
      <c r="J270" t="s">
        <v>55</v>
      </c>
      <c r="K270" t="s">
        <v>134</v>
      </c>
      <c r="L270">
        <v>144</v>
      </c>
      <c r="M270" t="s">
        <v>7</v>
      </c>
      <c r="N270" t="str" cm="1">
        <f t="array" ref="N270">_xlfn.IFS(
    AND(HOUR(A270)&gt;=0, HOUR(A270)&lt;10), "Morning",
    AND(HOUR(A270)&gt;=10, HOUR(A270)&lt;15), "Afternoon",
    AND(HOUR(E270)&gt;=15, HOUR(E270)&lt;19), "Evening",
    AND(HOUR(E270)&gt;=19, HOUR(E270)&lt;=23), "Night"
)</f>
        <v>Afternoon</v>
      </c>
    </row>
    <row r="271" spans="1:14" x14ac:dyDescent="0.25">
      <c r="A271" s="3">
        <v>42454.702777777777</v>
      </c>
      <c r="B271" s="2">
        <f t="shared" si="26"/>
        <v>42454</v>
      </c>
      <c r="C271" t="str">
        <f t="shared" si="27"/>
        <v>March</v>
      </c>
      <c r="D271" t="str">
        <f t="shared" si="28"/>
        <v>Friday</v>
      </c>
      <c r="E271" t="str">
        <f t="shared" si="24"/>
        <v>04:52:00 PM</v>
      </c>
      <c r="F271" s="3">
        <v>42454.931944444441</v>
      </c>
      <c r="G271" s="4">
        <f t="shared" si="29"/>
        <v>0.93194444444088731</v>
      </c>
      <c r="H271" t="str">
        <f t="shared" si="25"/>
        <v>330 min</v>
      </c>
      <c r="I271" t="s">
        <v>2</v>
      </c>
      <c r="J271" t="s">
        <v>134</v>
      </c>
      <c r="K271" t="s">
        <v>135</v>
      </c>
      <c r="L271">
        <v>310.3</v>
      </c>
      <c r="M271" t="s">
        <v>7</v>
      </c>
      <c r="N271" t="str" cm="1">
        <f t="array" ref="N271">_xlfn.IFS(
    AND(HOUR(A271)&gt;=0, HOUR(A271)&lt;10), "Morning",
    AND(HOUR(A271)&gt;=10, HOUR(A271)&lt;15), "Afternoon",
    AND(HOUR(E271)&gt;=15, HOUR(E271)&lt;19), "Evening",
    AND(HOUR(E271)&gt;=19, HOUR(E271)&lt;=23), "Night"
)</f>
        <v>Evening</v>
      </c>
    </row>
    <row r="272" spans="1:14" x14ac:dyDescent="0.25">
      <c r="A272" s="3">
        <v>42454.95416666667</v>
      </c>
      <c r="B272" s="2">
        <f t="shared" si="26"/>
        <v>42454</v>
      </c>
      <c r="C272" t="str">
        <f t="shared" si="27"/>
        <v>March</v>
      </c>
      <c r="D272" t="str">
        <f t="shared" si="28"/>
        <v>Friday</v>
      </c>
      <c r="E272" t="str">
        <f t="shared" si="24"/>
        <v>10:54:00 PM</v>
      </c>
      <c r="F272" s="3">
        <v>42455.068749999999</v>
      </c>
      <c r="G272" s="4">
        <f t="shared" si="29"/>
        <v>6.8749999998544808E-2</v>
      </c>
      <c r="H272" t="str">
        <f t="shared" si="25"/>
        <v>165 min</v>
      </c>
      <c r="I272" t="s">
        <v>2</v>
      </c>
      <c r="J272" t="s">
        <v>135</v>
      </c>
      <c r="K272" t="s">
        <v>136</v>
      </c>
      <c r="L272">
        <v>201</v>
      </c>
      <c r="M272" t="s">
        <v>10</v>
      </c>
      <c r="N272" t="str" cm="1">
        <f t="array" ref="N272">_xlfn.IFS(
    AND(HOUR(A272)&gt;=0, HOUR(A272)&lt;10), "Morning",
    AND(HOUR(A272)&gt;=10, HOUR(A272)&lt;15), "Afternoon",
    AND(HOUR(E272)&gt;=15, HOUR(E272)&lt;19), "Evening",
    AND(HOUR(E272)&gt;=19, HOUR(E272)&lt;=23), "Night"
)</f>
        <v>Night</v>
      </c>
    </row>
    <row r="273" spans="1:14" x14ac:dyDescent="0.25">
      <c r="A273" s="3">
        <v>42455.586805555555</v>
      </c>
      <c r="B273" s="2">
        <f t="shared" si="26"/>
        <v>42455</v>
      </c>
      <c r="C273" t="str">
        <f t="shared" si="27"/>
        <v>March</v>
      </c>
      <c r="D273" t="str">
        <f t="shared" si="28"/>
        <v>Saturday</v>
      </c>
      <c r="E273" t="str">
        <f t="shared" si="24"/>
        <v>02:05:00 PM</v>
      </c>
      <c r="F273" s="3">
        <v>42455.603472222225</v>
      </c>
      <c r="G273" s="4">
        <f t="shared" si="29"/>
        <v>0.60347222222480923</v>
      </c>
      <c r="H273" t="str">
        <f t="shared" si="25"/>
        <v>24 min</v>
      </c>
      <c r="I273" t="s">
        <v>3</v>
      </c>
      <c r="J273" t="s">
        <v>137</v>
      </c>
      <c r="K273" t="s">
        <v>138</v>
      </c>
      <c r="L273">
        <v>6.7</v>
      </c>
      <c r="M273" t="s">
        <v>52</v>
      </c>
      <c r="N273" t="str" cm="1">
        <f t="array" ref="N273">_xlfn.IFS(
    AND(HOUR(A273)&gt;=0, HOUR(A273)&lt;10), "Morning",
    AND(HOUR(A273)&gt;=10, HOUR(A273)&lt;15), "Afternoon",
    AND(HOUR(E273)&gt;=15, HOUR(E273)&lt;19), "Evening",
    AND(HOUR(E273)&gt;=19, HOUR(E273)&lt;=23), "Night"
)</f>
        <v>Afternoon</v>
      </c>
    </row>
    <row r="274" spans="1:14" x14ac:dyDescent="0.25">
      <c r="A274" s="3">
        <v>42455.638194444444</v>
      </c>
      <c r="B274" s="2">
        <f t="shared" si="26"/>
        <v>42455</v>
      </c>
      <c r="C274" t="str">
        <f t="shared" si="27"/>
        <v>March</v>
      </c>
      <c r="D274" t="str">
        <f t="shared" si="28"/>
        <v>Saturday</v>
      </c>
      <c r="E274" t="str">
        <f t="shared" si="24"/>
        <v>03:19:00 PM</v>
      </c>
      <c r="F274" s="3">
        <v>42455.65902777778</v>
      </c>
      <c r="G274" s="4">
        <f t="shared" si="29"/>
        <v>0.65902777777955635</v>
      </c>
      <c r="H274" t="str">
        <f t="shared" si="25"/>
        <v>30 min</v>
      </c>
      <c r="I274" t="s">
        <v>3</v>
      </c>
      <c r="J274" t="s">
        <v>136</v>
      </c>
      <c r="K274" t="s">
        <v>139</v>
      </c>
      <c r="L274">
        <v>8.8000000000000007</v>
      </c>
      <c r="M274" t="s">
        <v>52</v>
      </c>
      <c r="N274" t="str" cm="1">
        <f t="array" ref="N274">_xlfn.IFS(
    AND(HOUR(A274)&gt;=0, HOUR(A274)&lt;10), "Morning",
    AND(HOUR(A274)&gt;=10, HOUR(A274)&lt;15), "Afternoon",
    AND(HOUR(E274)&gt;=15, HOUR(E274)&lt;19), "Evening",
    AND(HOUR(E274)&gt;=19, HOUR(E274)&lt;=23), "Night"
)</f>
        <v>Evening</v>
      </c>
    </row>
    <row r="275" spans="1:14" x14ac:dyDescent="0.25">
      <c r="A275" s="3">
        <v>42455.68472222222</v>
      </c>
      <c r="B275" s="2">
        <f t="shared" si="26"/>
        <v>42455</v>
      </c>
      <c r="C275" t="str">
        <f t="shared" si="27"/>
        <v>March</v>
      </c>
      <c r="D275" t="str">
        <f t="shared" si="28"/>
        <v>Saturday</v>
      </c>
      <c r="E275" t="str">
        <f t="shared" si="24"/>
        <v>04:26:00 PM</v>
      </c>
      <c r="F275" s="3">
        <v>42455.6875</v>
      </c>
      <c r="G275" s="4">
        <f t="shared" si="29"/>
        <v>0.6875</v>
      </c>
      <c r="H275" t="str">
        <f t="shared" si="25"/>
        <v>4 min</v>
      </c>
      <c r="I275" t="s">
        <v>3</v>
      </c>
      <c r="J275" t="s">
        <v>140</v>
      </c>
      <c r="K275" t="s">
        <v>140</v>
      </c>
      <c r="L275">
        <v>1.2</v>
      </c>
      <c r="M275" t="s">
        <v>52</v>
      </c>
      <c r="N275" t="str" cm="1">
        <f t="array" ref="N275">_xlfn.IFS(
    AND(HOUR(A275)&gt;=0, HOUR(A275)&lt;10), "Morning",
    AND(HOUR(A275)&gt;=10, HOUR(A275)&lt;15), "Afternoon",
    AND(HOUR(E275)&gt;=15, HOUR(E275)&lt;19), "Evening",
    AND(HOUR(E275)&gt;=19, HOUR(E275)&lt;=23), "Night"
)</f>
        <v>Evening</v>
      </c>
    </row>
    <row r="276" spans="1:14" x14ac:dyDescent="0.25">
      <c r="A276" s="3">
        <v>42456.021527777775</v>
      </c>
      <c r="B276" s="2">
        <f t="shared" si="26"/>
        <v>42456</v>
      </c>
      <c r="C276" t="str">
        <f t="shared" si="27"/>
        <v>March</v>
      </c>
      <c r="D276" t="str">
        <f t="shared" si="28"/>
        <v>Sunday</v>
      </c>
      <c r="E276" t="str">
        <f t="shared" si="24"/>
        <v>12:31:00 AM</v>
      </c>
      <c r="F276" s="3">
        <v>42456.027777777781</v>
      </c>
      <c r="G276" s="4">
        <f t="shared" si="29"/>
        <v>2.7777777781011537E-2</v>
      </c>
      <c r="H276" t="str">
        <f t="shared" si="25"/>
        <v>9 min</v>
      </c>
      <c r="I276" t="s">
        <v>2</v>
      </c>
      <c r="J276" t="s">
        <v>140</v>
      </c>
      <c r="K276" t="s">
        <v>140</v>
      </c>
      <c r="L276">
        <v>2.1</v>
      </c>
      <c r="M276" t="s">
        <v>8</v>
      </c>
      <c r="N276" t="str" cm="1">
        <f t="array" ref="N276">_xlfn.IFS(
    AND(HOUR(A276)&gt;=0, HOUR(A276)&lt;10), "Morning",
    AND(HOUR(A276)&gt;=10, HOUR(A276)&lt;15), "Afternoon",
    AND(HOUR(E276)&gt;=15, HOUR(E276)&lt;19), "Evening",
    AND(HOUR(E276)&gt;=19, HOUR(E276)&lt;=23), "Night"
)</f>
        <v>Morning</v>
      </c>
    </row>
    <row r="277" spans="1:14" x14ac:dyDescent="0.25">
      <c r="A277" s="3">
        <v>42456.049305555556</v>
      </c>
      <c r="B277" s="2">
        <f t="shared" si="26"/>
        <v>42456</v>
      </c>
      <c r="C277" t="str">
        <f t="shared" si="27"/>
        <v>March</v>
      </c>
      <c r="D277" t="str">
        <f t="shared" si="28"/>
        <v>Sunday</v>
      </c>
      <c r="E277" t="str">
        <f t="shared" si="24"/>
        <v>01:11:00 AM</v>
      </c>
      <c r="F277" s="3">
        <v>42456.057638888888</v>
      </c>
      <c r="G277" s="4">
        <f t="shared" si="29"/>
        <v>5.7638888887595385E-2</v>
      </c>
      <c r="H277" t="str">
        <f t="shared" si="25"/>
        <v>12 min</v>
      </c>
      <c r="I277" t="s">
        <v>2</v>
      </c>
      <c r="J277" t="s">
        <v>139</v>
      </c>
      <c r="K277" t="s">
        <v>136</v>
      </c>
      <c r="L277">
        <v>6.6</v>
      </c>
      <c r="M277" t="s">
        <v>9</v>
      </c>
      <c r="N277" t="str" cm="1">
        <f t="array" ref="N277">_xlfn.IFS(
    AND(HOUR(A277)&gt;=0, HOUR(A277)&lt;10), "Morning",
    AND(HOUR(A277)&gt;=10, HOUR(A277)&lt;15), "Afternoon",
    AND(HOUR(E277)&gt;=15, HOUR(E277)&lt;19), "Evening",
    AND(HOUR(E277)&gt;=19, HOUR(E277)&lt;=23), "Night"
)</f>
        <v>Morning</v>
      </c>
    </row>
    <row r="278" spans="1:14" x14ac:dyDescent="0.25">
      <c r="A278" s="3">
        <v>42456.646527777775</v>
      </c>
      <c r="B278" s="2">
        <f t="shared" si="26"/>
        <v>42456</v>
      </c>
      <c r="C278" t="str">
        <f t="shared" si="27"/>
        <v>March</v>
      </c>
      <c r="D278" t="str">
        <f t="shared" si="28"/>
        <v>Sunday</v>
      </c>
      <c r="E278" t="str">
        <f t="shared" si="24"/>
        <v>03:31:00 PM</v>
      </c>
      <c r="F278" s="3">
        <v>42456.663888888892</v>
      </c>
      <c r="G278" s="4">
        <f t="shared" si="29"/>
        <v>0.66388888889196096</v>
      </c>
      <c r="H278" t="str">
        <f t="shared" si="25"/>
        <v>25 min</v>
      </c>
      <c r="I278" t="s">
        <v>2</v>
      </c>
      <c r="J278" t="s">
        <v>136</v>
      </c>
      <c r="K278" t="s">
        <v>139</v>
      </c>
      <c r="L278">
        <v>6.1</v>
      </c>
      <c r="M278" t="s">
        <v>7</v>
      </c>
      <c r="N278" t="str" cm="1">
        <f t="array" ref="N278">_xlfn.IFS(
    AND(HOUR(A278)&gt;=0, HOUR(A278)&lt;10), "Morning",
    AND(HOUR(A278)&gt;=10, HOUR(A278)&lt;15), "Afternoon",
    AND(HOUR(E278)&gt;=15, HOUR(E278)&lt;19), "Evening",
    AND(HOUR(E278)&gt;=19, HOUR(E278)&lt;=23), "Night"
)</f>
        <v>Evening</v>
      </c>
    </row>
    <row r="279" spans="1:14" x14ac:dyDescent="0.25">
      <c r="A279" s="3">
        <v>42456.893055555556</v>
      </c>
      <c r="B279" s="2">
        <f t="shared" si="26"/>
        <v>42456</v>
      </c>
      <c r="C279" t="str">
        <f t="shared" si="27"/>
        <v>March</v>
      </c>
      <c r="D279" t="str">
        <f t="shared" si="28"/>
        <v>Sunday</v>
      </c>
      <c r="E279" t="str">
        <f t="shared" si="24"/>
        <v>09:26:00 PM</v>
      </c>
      <c r="F279" s="3">
        <v>42456.90347222222</v>
      </c>
      <c r="G279" s="4">
        <f t="shared" si="29"/>
        <v>0.90347222222044365</v>
      </c>
      <c r="H279" t="str">
        <f t="shared" si="25"/>
        <v>15 min</v>
      </c>
      <c r="I279" t="s">
        <v>3</v>
      </c>
      <c r="J279" t="s">
        <v>139</v>
      </c>
      <c r="K279" t="s">
        <v>139</v>
      </c>
      <c r="L279">
        <v>6.9</v>
      </c>
      <c r="M279" t="s">
        <v>52</v>
      </c>
      <c r="N279" t="str" cm="1">
        <f t="array" ref="N279">_xlfn.IFS(
    AND(HOUR(A279)&gt;=0, HOUR(A279)&lt;10), "Morning",
    AND(HOUR(A279)&gt;=10, HOUR(A279)&lt;15), "Afternoon",
    AND(HOUR(E279)&gt;=15, HOUR(E279)&lt;19), "Evening",
    AND(HOUR(E279)&gt;=19, HOUR(E279)&lt;=23), "Night"
)</f>
        <v>Night</v>
      </c>
    </row>
    <row r="280" spans="1:14" x14ac:dyDescent="0.25">
      <c r="A280" s="3">
        <v>42456.961111111108</v>
      </c>
      <c r="B280" s="2">
        <f t="shared" si="26"/>
        <v>42456</v>
      </c>
      <c r="C280" t="str">
        <f t="shared" si="27"/>
        <v>March</v>
      </c>
      <c r="D280" t="str">
        <f t="shared" si="28"/>
        <v>Sunday</v>
      </c>
      <c r="E280" t="str">
        <f t="shared" si="24"/>
        <v>11:04:00 PM</v>
      </c>
      <c r="F280" s="3">
        <v>42456.970833333333</v>
      </c>
      <c r="G280" s="4">
        <f t="shared" si="29"/>
        <v>0.97083333333284827</v>
      </c>
      <c r="H280" t="str">
        <f t="shared" si="25"/>
        <v>14 min</v>
      </c>
      <c r="I280" t="s">
        <v>3</v>
      </c>
      <c r="J280" t="s">
        <v>139</v>
      </c>
      <c r="K280" t="s">
        <v>136</v>
      </c>
      <c r="L280">
        <v>7.3</v>
      </c>
      <c r="M280" t="s">
        <v>52</v>
      </c>
      <c r="N280" t="str" cm="1">
        <f t="array" ref="N280">_xlfn.IFS(
    AND(HOUR(A280)&gt;=0, HOUR(A280)&lt;10), "Morning",
    AND(HOUR(A280)&gt;=10, HOUR(A280)&lt;15), "Afternoon",
    AND(HOUR(E280)&gt;=15, HOUR(E280)&lt;19), "Evening",
    AND(HOUR(E280)&gt;=19, HOUR(E280)&lt;=23), "Night"
)</f>
        <v>Night</v>
      </c>
    </row>
    <row r="281" spans="1:14" x14ac:dyDescent="0.25">
      <c r="A281" s="3">
        <v>42457.520138888889</v>
      </c>
      <c r="B281" s="2">
        <f t="shared" si="26"/>
        <v>42457</v>
      </c>
      <c r="C281" t="str">
        <f t="shared" si="27"/>
        <v>March</v>
      </c>
      <c r="D281" t="str">
        <f t="shared" si="28"/>
        <v>Monday</v>
      </c>
      <c r="E281" t="str">
        <f t="shared" si="24"/>
        <v>12:29:00 PM</v>
      </c>
      <c r="F281" s="3">
        <v>42457.529166666667</v>
      </c>
      <c r="G281" s="4">
        <f t="shared" si="29"/>
        <v>0.52916666666715173</v>
      </c>
      <c r="H281" t="str">
        <f t="shared" si="25"/>
        <v>13 min</v>
      </c>
      <c r="I281" t="s">
        <v>3</v>
      </c>
      <c r="J281" t="s">
        <v>136</v>
      </c>
      <c r="K281" t="s">
        <v>139</v>
      </c>
      <c r="L281">
        <v>3.6</v>
      </c>
      <c r="M281" t="s">
        <v>52</v>
      </c>
      <c r="N281" t="str" cm="1">
        <f t="array" ref="N281">_xlfn.IFS(
    AND(HOUR(A281)&gt;=0, HOUR(A281)&lt;10), "Morning",
    AND(HOUR(A281)&gt;=10, HOUR(A281)&lt;15), "Afternoon",
    AND(HOUR(E281)&gt;=15, HOUR(E281)&lt;19), "Evening",
    AND(HOUR(E281)&gt;=19, HOUR(E281)&lt;=23), "Night"
)</f>
        <v>Afternoon</v>
      </c>
    </row>
    <row r="282" spans="1:14" x14ac:dyDescent="0.25">
      <c r="A282" s="3">
        <v>42457.8125</v>
      </c>
      <c r="B282" s="2">
        <f t="shared" si="26"/>
        <v>42457</v>
      </c>
      <c r="C282" t="str">
        <f t="shared" si="27"/>
        <v>March</v>
      </c>
      <c r="D282" t="str">
        <f t="shared" si="28"/>
        <v>Monday</v>
      </c>
      <c r="E282" t="str">
        <f t="shared" si="24"/>
        <v>07:30:00 PM</v>
      </c>
      <c r="F282" s="3">
        <v>42457.849305555559</v>
      </c>
      <c r="G282" s="4">
        <f t="shared" si="29"/>
        <v>0.84930555555911269</v>
      </c>
      <c r="H282" t="str">
        <f t="shared" si="25"/>
        <v>53 min</v>
      </c>
      <c r="I282" t="s">
        <v>3</v>
      </c>
      <c r="J282" t="s">
        <v>137</v>
      </c>
      <c r="K282" t="s">
        <v>141</v>
      </c>
      <c r="L282">
        <v>27.2</v>
      </c>
      <c r="M282" t="s">
        <v>52</v>
      </c>
      <c r="N282" t="str" cm="1">
        <f t="array" ref="N282">_xlfn.IFS(
    AND(HOUR(A282)&gt;=0, HOUR(A282)&lt;10), "Morning",
    AND(HOUR(A282)&gt;=10, HOUR(A282)&lt;15), "Afternoon",
    AND(HOUR(E282)&gt;=15, HOUR(E282)&lt;19), "Evening",
    AND(HOUR(E282)&gt;=19, HOUR(E282)&lt;=23), "Night"
)</f>
        <v>Night</v>
      </c>
    </row>
    <row r="283" spans="1:14" x14ac:dyDescent="0.25">
      <c r="A283" s="3">
        <v>42457.954861111109</v>
      </c>
      <c r="B283" s="2">
        <f t="shared" si="26"/>
        <v>42457</v>
      </c>
      <c r="C283" t="str">
        <f t="shared" si="27"/>
        <v>March</v>
      </c>
      <c r="D283" t="str">
        <f t="shared" si="28"/>
        <v>Monday</v>
      </c>
      <c r="E283" t="str">
        <f t="shared" si="24"/>
        <v>10:55:00 PM</v>
      </c>
      <c r="F283" s="3">
        <v>42457.976388888892</v>
      </c>
      <c r="G283" s="4">
        <f t="shared" si="29"/>
        <v>0.97638888889196096</v>
      </c>
      <c r="H283" t="str">
        <f t="shared" si="25"/>
        <v>31 min</v>
      </c>
      <c r="I283" t="s">
        <v>3</v>
      </c>
      <c r="J283" t="s">
        <v>139</v>
      </c>
      <c r="K283" t="s">
        <v>136</v>
      </c>
      <c r="L283">
        <v>25.7</v>
      </c>
      <c r="M283" t="s">
        <v>52</v>
      </c>
      <c r="N283" t="str" cm="1">
        <f t="array" ref="N283">_xlfn.IFS(
    AND(HOUR(A283)&gt;=0, HOUR(A283)&lt;10), "Morning",
    AND(HOUR(A283)&gt;=10, HOUR(A283)&lt;15), "Afternoon",
    AND(HOUR(E283)&gt;=15, HOUR(E283)&lt;19), "Evening",
    AND(HOUR(E283)&gt;=19, HOUR(E283)&lt;=23), "Night"
)</f>
        <v>Night</v>
      </c>
    </row>
    <row r="284" spans="1:14" x14ac:dyDescent="0.25">
      <c r="A284" s="3">
        <v>42458.643750000003</v>
      </c>
      <c r="B284" s="2">
        <f t="shared" si="26"/>
        <v>42458</v>
      </c>
      <c r="C284" t="str">
        <f t="shared" si="27"/>
        <v>March</v>
      </c>
      <c r="D284" t="str">
        <f t="shared" si="28"/>
        <v>Tuesday</v>
      </c>
      <c r="E284" t="str">
        <f t="shared" si="24"/>
        <v>03:27:00 PM</v>
      </c>
      <c r="F284" s="3">
        <v>42458.674305555556</v>
      </c>
      <c r="G284" s="4">
        <f t="shared" si="29"/>
        <v>0.67430555555620231</v>
      </c>
      <c r="H284" t="str">
        <f t="shared" si="25"/>
        <v>44 min</v>
      </c>
      <c r="I284" t="s">
        <v>3</v>
      </c>
      <c r="J284" t="s">
        <v>136</v>
      </c>
      <c r="K284" t="s">
        <v>139</v>
      </c>
      <c r="L284">
        <v>13.6</v>
      </c>
      <c r="M284" t="s">
        <v>52</v>
      </c>
      <c r="N284" t="str" cm="1">
        <f t="array" ref="N284">_xlfn.IFS(
    AND(HOUR(A284)&gt;=0, HOUR(A284)&lt;10), "Morning",
    AND(HOUR(A284)&gt;=10, HOUR(A284)&lt;15), "Afternoon",
    AND(HOUR(E284)&gt;=15, HOUR(E284)&lt;19), "Evening",
    AND(HOUR(E284)&gt;=19, HOUR(E284)&lt;=23), "Night"
)</f>
        <v>Evening</v>
      </c>
    </row>
    <row r="285" spans="1:14" x14ac:dyDescent="0.25">
      <c r="A285" s="3">
        <v>42458.763888888891</v>
      </c>
      <c r="B285" s="2">
        <f t="shared" si="26"/>
        <v>42458</v>
      </c>
      <c r="C285" t="str">
        <f t="shared" si="27"/>
        <v>March</v>
      </c>
      <c r="D285" t="str">
        <f t="shared" si="28"/>
        <v>Tuesday</v>
      </c>
      <c r="E285" t="str">
        <f t="shared" si="24"/>
        <v>06:20:00 PM</v>
      </c>
      <c r="F285" s="3">
        <v>42458.777083333334</v>
      </c>
      <c r="G285" s="4">
        <f t="shared" si="29"/>
        <v>0.77708333333430346</v>
      </c>
      <c r="H285" t="str">
        <f t="shared" si="25"/>
        <v>19 min</v>
      </c>
      <c r="I285" t="s">
        <v>3</v>
      </c>
      <c r="J285" t="s">
        <v>142</v>
      </c>
      <c r="K285" t="s">
        <v>143</v>
      </c>
      <c r="L285">
        <v>6.2</v>
      </c>
      <c r="M285" t="s">
        <v>52</v>
      </c>
      <c r="N285" t="str" cm="1">
        <f t="array" ref="N285">_xlfn.IFS(
    AND(HOUR(A285)&gt;=0, HOUR(A285)&lt;10), "Morning",
    AND(HOUR(A285)&gt;=10, HOUR(A285)&lt;15), "Afternoon",
    AND(HOUR(E285)&gt;=15, HOUR(E285)&lt;19), "Evening",
    AND(HOUR(E285)&gt;=19, HOUR(E285)&lt;=23), "Night"
)</f>
        <v>Evening</v>
      </c>
    </row>
    <row r="286" spans="1:14" x14ac:dyDescent="0.25">
      <c r="A286" s="3">
        <v>42458.853472222225</v>
      </c>
      <c r="B286" s="2">
        <f t="shared" si="26"/>
        <v>42458</v>
      </c>
      <c r="C286" t="str">
        <f t="shared" si="27"/>
        <v>March</v>
      </c>
      <c r="D286" t="str">
        <f t="shared" si="28"/>
        <v>Tuesday</v>
      </c>
      <c r="E286" t="str">
        <f t="shared" si="24"/>
        <v>08:29:00 PM</v>
      </c>
      <c r="F286" s="3">
        <v>42458.863888888889</v>
      </c>
      <c r="G286" s="4">
        <f t="shared" si="29"/>
        <v>0.86388888888905058</v>
      </c>
      <c r="H286" t="str">
        <f t="shared" si="25"/>
        <v>15 min</v>
      </c>
      <c r="I286" t="s">
        <v>3</v>
      </c>
      <c r="J286" t="s">
        <v>143</v>
      </c>
      <c r="K286" t="s">
        <v>142</v>
      </c>
      <c r="L286">
        <v>6</v>
      </c>
      <c r="M286" t="s">
        <v>52</v>
      </c>
      <c r="N286" t="str" cm="1">
        <f t="array" ref="N286">_xlfn.IFS(
    AND(HOUR(A286)&gt;=0, HOUR(A286)&lt;10), "Morning",
    AND(HOUR(A286)&gt;=10, HOUR(A286)&lt;15), "Afternoon",
    AND(HOUR(E286)&gt;=15, HOUR(E286)&lt;19), "Evening",
    AND(HOUR(E286)&gt;=19, HOUR(E286)&lt;=23), "Night"
)</f>
        <v>Night</v>
      </c>
    </row>
    <row r="287" spans="1:14" x14ac:dyDescent="0.25">
      <c r="A287" s="3">
        <v>42458.961111111108</v>
      </c>
      <c r="B287" s="2">
        <f t="shared" si="26"/>
        <v>42458</v>
      </c>
      <c r="C287" t="str">
        <f t="shared" si="27"/>
        <v>March</v>
      </c>
      <c r="D287" t="str">
        <f t="shared" si="28"/>
        <v>Tuesday</v>
      </c>
      <c r="E287" t="str">
        <f t="shared" si="24"/>
        <v>11:04:00 PM</v>
      </c>
      <c r="F287" s="3">
        <v>42458.972916666666</v>
      </c>
      <c r="G287" s="4">
        <f t="shared" si="29"/>
        <v>0.97291666666569654</v>
      </c>
      <c r="H287" t="str">
        <f t="shared" si="25"/>
        <v>17 min</v>
      </c>
      <c r="I287" t="s">
        <v>3</v>
      </c>
      <c r="J287" t="s">
        <v>139</v>
      </c>
      <c r="K287" t="s">
        <v>136</v>
      </c>
      <c r="L287">
        <v>13.8</v>
      </c>
      <c r="M287" t="s">
        <v>52</v>
      </c>
      <c r="N287" t="str" cm="1">
        <f t="array" ref="N287">_xlfn.IFS(
    AND(HOUR(A287)&gt;=0, HOUR(A287)&lt;10), "Morning",
    AND(HOUR(A287)&gt;=10, HOUR(A287)&lt;15), "Afternoon",
    AND(HOUR(E287)&gt;=15, HOUR(E287)&lt;19), "Evening",
    AND(HOUR(E287)&gt;=19, HOUR(E287)&lt;=23), "Night"
)</f>
        <v>Night</v>
      </c>
    </row>
    <row r="288" spans="1:14" x14ac:dyDescent="0.25">
      <c r="A288" s="3">
        <v>42459.920138888891</v>
      </c>
      <c r="B288" s="2">
        <f t="shared" si="26"/>
        <v>42459</v>
      </c>
      <c r="C288" t="str">
        <f t="shared" si="27"/>
        <v>March</v>
      </c>
      <c r="D288" t="str">
        <f t="shared" si="28"/>
        <v>Wednesday</v>
      </c>
      <c r="E288" t="str">
        <f t="shared" si="24"/>
        <v>10:05:00 PM</v>
      </c>
      <c r="F288" s="3">
        <v>42459.954861111109</v>
      </c>
      <c r="G288" s="4">
        <f t="shared" si="29"/>
        <v>0.95486111110949423</v>
      </c>
      <c r="H288" t="str">
        <f t="shared" si="25"/>
        <v>50 min</v>
      </c>
      <c r="I288" t="s">
        <v>2</v>
      </c>
      <c r="J288" t="s">
        <v>139</v>
      </c>
      <c r="K288" t="s">
        <v>136</v>
      </c>
      <c r="L288">
        <v>28.8</v>
      </c>
      <c r="M288" t="s">
        <v>9</v>
      </c>
      <c r="N288" t="str" cm="1">
        <f t="array" ref="N288">_xlfn.IFS(
    AND(HOUR(A288)&gt;=0, HOUR(A288)&lt;10), "Morning",
    AND(HOUR(A288)&gt;=10, HOUR(A288)&lt;15), "Afternoon",
    AND(HOUR(E288)&gt;=15, HOUR(E288)&lt;19), "Evening",
    AND(HOUR(E288)&gt;=19, HOUR(E288)&lt;=23), "Night"
)</f>
        <v>Night</v>
      </c>
    </row>
    <row r="289" spans="1:14" x14ac:dyDescent="0.25">
      <c r="A289" s="3">
        <v>42460.532638888886</v>
      </c>
      <c r="B289" s="2">
        <f t="shared" si="26"/>
        <v>42460</v>
      </c>
      <c r="C289" t="str">
        <f t="shared" si="27"/>
        <v>March</v>
      </c>
      <c r="D289" t="str">
        <f t="shared" si="28"/>
        <v>Thursday</v>
      </c>
      <c r="E289" t="str">
        <f t="shared" si="24"/>
        <v>12:47:00 PM</v>
      </c>
      <c r="F289" s="3">
        <v>42460.556944444441</v>
      </c>
      <c r="G289" s="4">
        <f t="shared" si="29"/>
        <v>0.55694444444088731</v>
      </c>
      <c r="H289" t="str">
        <f t="shared" si="25"/>
        <v>35 min</v>
      </c>
      <c r="I289" t="s">
        <v>2</v>
      </c>
      <c r="J289" t="s">
        <v>136</v>
      </c>
      <c r="K289" t="s">
        <v>139</v>
      </c>
      <c r="L289">
        <v>16.100000000000001</v>
      </c>
      <c r="M289" t="s">
        <v>11</v>
      </c>
      <c r="N289" t="str" cm="1">
        <f t="array" ref="N289">_xlfn.IFS(
    AND(HOUR(A289)&gt;=0, HOUR(A289)&lt;10), "Morning",
    AND(HOUR(A289)&gt;=10, HOUR(A289)&lt;15), "Afternoon",
    AND(HOUR(E289)&gt;=15, HOUR(E289)&lt;19), "Evening",
    AND(HOUR(E289)&gt;=19, HOUR(E289)&lt;=23), "Night"
)</f>
        <v>Afternoon</v>
      </c>
    </row>
    <row r="290" spans="1:14" x14ac:dyDescent="0.25">
      <c r="A290" s="3">
        <v>42460.609027777777</v>
      </c>
      <c r="B290" s="2">
        <f t="shared" si="26"/>
        <v>42460</v>
      </c>
      <c r="C290" t="str">
        <f t="shared" si="27"/>
        <v>March</v>
      </c>
      <c r="D290" t="str">
        <f t="shared" si="28"/>
        <v>Thursday</v>
      </c>
      <c r="E290" t="str">
        <f t="shared" si="24"/>
        <v>02:37:00 PM</v>
      </c>
      <c r="F290" s="3">
        <v>42460.631249999999</v>
      </c>
      <c r="G290" s="4">
        <f t="shared" si="29"/>
        <v>0.63124999999854481</v>
      </c>
      <c r="H290" t="str">
        <f t="shared" si="25"/>
        <v>32 min</v>
      </c>
      <c r="I290" t="s">
        <v>2</v>
      </c>
      <c r="J290" t="s">
        <v>139</v>
      </c>
      <c r="K290" t="s">
        <v>136</v>
      </c>
      <c r="L290">
        <v>16.399999999999999</v>
      </c>
      <c r="M290" t="s">
        <v>9</v>
      </c>
      <c r="N290" t="str" cm="1">
        <f t="array" ref="N290">_xlfn.IFS(
    AND(HOUR(A290)&gt;=0, HOUR(A290)&lt;10), "Morning",
    AND(HOUR(A290)&gt;=10, HOUR(A290)&lt;15), "Afternoon",
    AND(HOUR(E290)&gt;=15, HOUR(E290)&lt;19), "Evening",
    AND(HOUR(E290)&gt;=19, HOUR(E290)&lt;=23), "Night"
)</f>
        <v>Afternoon</v>
      </c>
    </row>
    <row r="291" spans="1:14" x14ac:dyDescent="0.25">
      <c r="A291" s="3">
        <v>42461.571527777778</v>
      </c>
      <c r="B291" s="2">
        <f t="shared" si="26"/>
        <v>42461</v>
      </c>
      <c r="C291" t="str">
        <f t="shared" si="27"/>
        <v>April</v>
      </c>
      <c r="D291" t="str">
        <f t="shared" si="28"/>
        <v>Friday</v>
      </c>
      <c r="E291" t="str">
        <f t="shared" si="24"/>
        <v>01:43:00 PM</v>
      </c>
      <c r="F291" s="3">
        <v>42461.584027777775</v>
      </c>
      <c r="G291" s="4">
        <f t="shared" si="29"/>
        <v>0.58402777777519077</v>
      </c>
      <c r="H291" t="str">
        <f t="shared" si="25"/>
        <v>18 min</v>
      </c>
      <c r="I291" t="s">
        <v>2</v>
      </c>
      <c r="J291" t="s">
        <v>136</v>
      </c>
      <c r="K291" t="s">
        <v>136</v>
      </c>
      <c r="L291">
        <v>11</v>
      </c>
      <c r="M291" t="s">
        <v>10</v>
      </c>
      <c r="N291" t="str" cm="1">
        <f t="array" ref="N291">_xlfn.IFS(
    AND(HOUR(A291)&gt;=0, HOUR(A291)&lt;10), "Morning",
    AND(HOUR(A291)&gt;=10, HOUR(A291)&lt;15), "Afternoon",
    AND(HOUR(E291)&gt;=15, HOUR(E291)&lt;19), "Evening",
    AND(HOUR(E291)&gt;=19, HOUR(E291)&lt;=23), "Night"
)</f>
        <v>Afternoon</v>
      </c>
    </row>
    <row r="292" spans="1:14" x14ac:dyDescent="0.25">
      <c r="A292" s="3">
        <v>42461.60833333333</v>
      </c>
      <c r="B292" s="2">
        <f t="shared" si="26"/>
        <v>42461</v>
      </c>
      <c r="C292" t="str">
        <f t="shared" si="27"/>
        <v>April</v>
      </c>
      <c r="D292" t="str">
        <f t="shared" si="28"/>
        <v>Friday</v>
      </c>
      <c r="E292" t="str">
        <f t="shared" si="24"/>
        <v>02:36:00 PM</v>
      </c>
      <c r="F292" s="3">
        <v>42461.64166666667</v>
      </c>
      <c r="G292" s="4">
        <f t="shared" si="29"/>
        <v>0.64166666667006211</v>
      </c>
      <c r="H292" t="str">
        <f t="shared" si="25"/>
        <v>48 min</v>
      </c>
      <c r="I292" t="s">
        <v>2</v>
      </c>
      <c r="J292" t="s">
        <v>136</v>
      </c>
      <c r="K292" t="s">
        <v>139</v>
      </c>
      <c r="L292">
        <v>15.5</v>
      </c>
      <c r="M292" t="s">
        <v>7</v>
      </c>
      <c r="N292" t="str" cm="1">
        <f t="array" ref="N292">_xlfn.IFS(
    AND(HOUR(A292)&gt;=0, HOUR(A292)&lt;10), "Morning",
    AND(HOUR(A292)&gt;=10, HOUR(A292)&lt;15), "Afternoon",
    AND(HOUR(E292)&gt;=15, HOUR(E292)&lt;19), "Evening",
    AND(HOUR(E292)&gt;=19, HOUR(E292)&lt;=23), "Night"
)</f>
        <v>Afternoon</v>
      </c>
    </row>
    <row r="293" spans="1:14" x14ac:dyDescent="0.25">
      <c r="A293" s="3">
        <v>42461.667361111111</v>
      </c>
      <c r="B293" s="2">
        <f t="shared" si="26"/>
        <v>42461</v>
      </c>
      <c r="C293" t="str">
        <f t="shared" si="27"/>
        <v>April</v>
      </c>
      <c r="D293" t="str">
        <f t="shared" si="28"/>
        <v>Friday</v>
      </c>
      <c r="E293" t="str">
        <f t="shared" si="24"/>
        <v>04:01:00 PM</v>
      </c>
      <c r="F293" s="3">
        <v>42461.700694444444</v>
      </c>
      <c r="G293" s="4">
        <f t="shared" si="29"/>
        <v>0.70069444444379769</v>
      </c>
      <c r="H293" t="str">
        <f t="shared" si="25"/>
        <v>48 min</v>
      </c>
      <c r="I293" t="s">
        <v>2</v>
      </c>
      <c r="J293" t="s">
        <v>139</v>
      </c>
      <c r="K293" t="s">
        <v>136</v>
      </c>
      <c r="L293">
        <v>20.3</v>
      </c>
      <c r="M293" t="s">
        <v>10</v>
      </c>
      <c r="N293" t="str" cm="1">
        <f t="array" ref="N293">_xlfn.IFS(
    AND(HOUR(A293)&gt;=0, HOUR(A293)&lt;10), "Morning",
    AND(HOUR(A293)&gt;=10, HOUR(A293)&lt;15), "Afternoon",
    AND(HOUR(E293)&gt;=15, HOUR(E293)&lt;19), "Evening",
    AND(HOUR(E293)&gt;=19, HOUR(E293)&lt;=23), "Night"
)</f>
        <v>Evening</v>
      </c>
    </row>
    <row r="294" spans="1:14" x14ac:dyDescent="0.25">
      <c r="A294" s="3">
        <v>42461.702777777777</v>
      </c>
      <c r="B294" s="2">
        <f t="shared" si="26"/>
        <v>42461</v>
      </c>
      <c r="C294" t="str">
        <f t="shared" si="27"/>
        <v>April</v>
      </c>
      <c r="D294" t="str">
        <f t="shared" si="28"/>
        <v>Friday</v>
      </c>
      <c r="E294" t="str">
        <f t="shared" si="24"/>
        <v>04:52:00 PM</v>
      </c>
      <c r="F294" s="3">
        <v>42461.706250000003</v>
      </c>
      <c r="G294" s="4">
        <f t="shared" si="29"/>
        <v>0.70625000000291038</v>
      </c>
      <c r="H294" t="str">
        <f t="shared" si="25"/>
        <v>5 min</v>
      </c>
      <c r="I294" t="s">
        <v>3</v>
      </c>
      <c r="J294" t="s">
        <v>136</v>
      </c>
      <c r="K294" t="s">
        <v>136</v>
      </c>
      <c r="L294">
        <v>0.7</v>
      </c>
      <c r="M294" t="s">
        <v>52</v>
      </c>
      <c r="N294" t="str" cm="1">
        <f t="array" ref="N294">_xlfn.IFS(
    AND(HOUR(A294)&gt;=0, HOUR(A294)&lt;10), "Morning",
    AND(HOUR(A294)&gt;=10, HOUR(A294)&lt;15), "Afternoon",
    AND(HOUR(E294)&gt;=15, HOUR(E294)&lt;19), "Evening",
    AND(HOUR(E294)&gt;=19, HOUR(E294)&lt;=23), "Night"
)</f>
        <v>Evening</v>
      </c>
    </row>
    <row r="295" spans="1:14" x14ac:dyDescent="0.25">
      <c r="A295" s="3">
        <v>42462.366666666669</v>
      </c>
      <c r="B295" s="2">
        <f t="shared" si="26"/>
        <v>42462</v>
      </c>
      <c r="C295" t="str">
        <f t="shared" si="27"/>
        <v>April</v>
      </c>
      <c r="D295" t="str">
        <f t="shared" si="28"/>
        <v>Saturday</v>
      </c>
      <c r="E295" t="str">
        <f t="shared" si="24"/>
        <v>08:48:00 AM</v>
      </c>
      <c r="F295" s="3">
        <v>42462.37777777778</v>
      </c>
      <c r="G295" s="4">
        <f t="shared" si="29"/>
        <v>0.37777777777955635</v>
      </c>
      <c r="H295" t="str">
        <f t="shared" si="25"/>
        <v>16 min</v>
      </c>
      <c r="I295" t="s">
        <v>3</v>
      </c>
      <c r="J295" t="s">
        <v>136</v>
      </c>
      <c r="K295" t="s">
        <v>136</v>
      </c>
      <c r="L295">
        <v>5.5</v>
      </c>
      <c r="M295" t="s">
        <v>52</v>
      </c>
      <c r="N295" t="str" cm="1">
        <f t="array" ref="N295">_xlfn.IFS(
    AND(HOUR(A295)&gt;=0, HOUR(A295)&lt;10), "Morning",
    AND(HOUR(A295)&gt;=10, HOUR(A295)&lt;15), "Afternoon",
    AND(HOUR(E295)&gt;=15, HOUR(E295)&lt;19), "Evening",
    AND(HOUR(E295)&gt;=19, HOUR(E295)&lt;=23), "Night"
)</f>
        <v>Morning</v>
      </c>
    </row>
    <row r="296" spans="1:14" x14ac:dyDescent="0.25">
      <c r="A296" s="3">
        <v>42462.459027777775</v>
      </c>
      <c r="B296" s="2">
        <f t="shared" si="26"/>
        <v>42462</v>
      </c>
      <c r="C296" t="str">
        <f t="shared" si="27"/>
        <v>April</v>
      </c>
      <c r="D296" t="str">
        <f t="shared" si="28"/>
        <v>Saturday</v>
      </c>
      <c r="E296" t="str">
        <f t="shared" si="24"/>
        <v>11:01:00 AM</v>
      </c>
      <c r="F296" s="3">
        <v>42462.469444444447</v>
      </c>
      <c r="G296" s="4">
        <f t="shared" si="29"/>
        <v>0.46944444444670808</v>
      </c>
      <c r="H296" t="str">
        <f t="shared" si="25"/>
        <v>15 min</v>
      </c>
      <c r="I296" t="s">
        <v>3</v>
      </c>
      <c r="J296" t="s">
        <v>136</v>
      </c>
      <c r="K296" t="s">
        <v>136</v>
      </c>
      <c r="L296">
        <v>5.0999999999999996</v>
      </c>
      <c r="M296" t="s">
        <v>52</v>
      </c>
      <c r="N296" t="str" cm="1">
        <f t="array" ref="N296">_xlfn.IFS(
    AND(HOUR(A296)&gt;=0, HOUR(A296)&lt;10), "Morning",
    AND(HOUR(A296)&gt;=10, HOUR(A296)&lt;15), "Afternoon",
    AND(HOUR(E296)&gt;=15, HOUR(E296)&lt;19), "Evening",
    AND(HOUR(E296)&gt;=19, HOUR(E296)&lt;=23), "Night"
)</f>
        <v>Afternoon</v>
      </c>
    </row>
    <row r="297" spans="1:14" x14ac:dyDescent="0.25">
      <c r="A297" s="3">
        <v>42462.51458333333</v>
      </c>
      <c r="B297" s="2">
        <f t="shared" si="26"/>
        <v>42462</v>
      </c>
      <c r="C297" t="str">
        <f t="shared" si="27"/>
        <v>April</v>
      </c>
      <c r="D297" t="str">
        <f t="shared" si="28"/>
        <v>Saturday</v>
      </c>
      <c r="E297" t="str">
        <f t="shared" si="24"/>
        <v>12:21:00 PM</v>
      </c>
      <c r="F297" s="3">
        <v>42462.615972222222</v>
      </c>
      <c r="G297" s="4">
        <f t="shared" si="29"/>
        <v>0.61597222222189885</v>
      </c>
      <c r="H297" t="str">
        <f t="shared" si="25"/>
        <v>146 min</v>
      </c>
      <c r="I297" t="s">
        <v>2</v>
      </c>
      <c r="J297" t="s">
        <v>136</v>
      </c>
      <c r="K297" t="s">
        <v>144</v>
      </c>
      <c r="L297">
        <v>77.3</v>
      </c>
      <c r="M297" t="s">
        <v>7</v>
      </c>
      <c r="N297" t="str" cm="1">
        <f t="array" ref="N297">_xlfn.IFS(
    AND(HOUR(A297)&gt;=0, HOUR(A297)&lt;10), "Morning",
    AND(HOUR(A297)&gt;=10, HOUR(A297)&lt;15), "Afternoon",
    AND(HOUR(E297)&gt;=15, HOUR(E297)&lt;19), "Evening",
    AND(HOUR(E297)&gt;=19, HOUR(E297)&lt;=23), "Night"
)</f>
        <v>Afternoon</v>
      </c>
    </row>
    <row r="298" spans="1:14" x14ac:dyDescent="0.25">
      <c r="A298" s="3">
        <v>42462.706250000003</v>
      </c>
      <c r="B298" s="2">
        <f t="shared" si="26"/>
        <v>42462</v>
      </c>
      <c r="C298" t="str">
        <f t="shared" si="27"/>
        <v>April</v>
      </c>
      <c r="D298" t="str">
        <f t="shared" si="28"/>
        <v>Saturday</v>
      </c>
      <c r="E298" t="str">
        <f t="shared" si="24"/>
        <v>04:57:00 PM</v>
      </c>
      <c r="F298" s="3">
        <v>42462.756249999999</v>
      </c>
      <c r="G298" s="4">
        <f t="shared" si="29"/>
        <v>0.75624999999854481</v>
      </c>
      <c r="H298" t="str">
        <f t="shared" si="25"/>
        <v>72 min</v>
      </c>
      <c r="I298" t="s">
        <v>2</v>
      </c>
      <c r="J298" t="s">
        <v>144</v>
      </c>
      <c r="K298" t="s">
        <v>135</v>
      </c>
      <c r="L298">
        <v>80.5</v>
      </c>
      <c r="M298" t="s">
        <v>7</v>
      </c>
      <c r="N298" t="str" cm="1">
        <f t="array" ref="N298">_xlfn.IFS(
    AND(HOUR(A298)&gt;=0, HOUR(A298)&lt;10), "Morning",
    AND(HOUR(A298)&gt;=10, HOUR(A298)&lt;15), "Afternoon",
    AND(HOUR(E298)&gt;=15, HOUR(E298)&lt;19), "Evening",
    AND(HOUR(E298)&gt;=19, HOUR(E298)&lt;=23), "Night"
)</f>
        <v>Evening</v>
      </c>
    </row>
    <row r="299" spans="1:14" x14ac:dyDescent="0.25">
      <c r="A299" s="3">
        <v>42462.818055555559</v>
      </c>
      <c r="B299" s="2">
        <f t="shared" si="26"/>
        <v>42462</v>
      </c>
      <c r="C299" t="str">
        <f t="shared" si="27"/>
        <v>April</v>
      </c>
      <c r="D299" t="str">
        <f t="shared" si="28"/>
        <v>Saturday</v>
      </c>
      <c r="E299" t="str">
        <f t="shared" si="24"/>
        <v>07:38:00 PM</v>
      </c>
      <c r="F299" s="3">
        <v>42462.941666666666</v>
      </c>
      <c r="G299" s="4">
        <f t="shared" si="29"/>
        <v>0.94166666666569654</v>
      </c>
      <c r="H299" t="str">
        <f t="shared" si="25"/>
        <v>178 min</v>
      </c>
      <c r="I299" t="s">
        <v>2</v>
      </c>
      <c r="J299" t="s">
        <v>135</v>
      </c>
      <c r="K299" t="s">
        <v>145</v>
      </c>
      <c r="L299">
        <v>174.2</v>
      </c>
      <c r="M299" t="s">
        <v>7</v>
      </c>
      <c r="N299" t="str" cm="1">
        <f t="array" ref="N299">_xlfn.IFS(
    AND(HOUR(A299)&gt;=0, HOUR(A299)&lt;10), "Morning",
    AND(HOUR(A299)&gt;=10, HOUR(A299)&lt;15), "Afternoon",
    AND(HOUR(E299)&gt;=15, HOUR(E299)&lt;19), "Evening",
    AND(HOUR(E299)&gt;=19, HOUR(E299)&lt;=23), "Night"
)</f>
        <v>Night</v>
      </c>
    </row>
    <row r="300" spans="1:14" x14ac:dyDescent="0.25">
      <c r="A300" s="3">
        <v>42462.96597222222</v>
      </c>
      <c r="B300" s="2">
        <f t="shared" si="26"/>
        <v>42462</v>
      </c>
      <c r="C300" t="str">
        <f t="shared" si="27"/>
        <v>April</v>
      </c>
      <c r="D300" t="str">
        <f t="shared" si="28"/>
        <v>Saturday</v>
      </c>
      <c r="E300" t="str">
        <f t="shared" si="24"/>
        <v>11:11:00 PM</v>
      </c>
      <c r="F300" s="3">
        <v>42463.06527777778</v>
      </c>
      <c r="G300" s="4">
        <f t="shared" si="29"/>
        <v>6.5277777779556345E-2</v>
      </c>
      <c r="H300" t="str">
        <f t="shared" si="25"/>
        <v>143 min</v>
      </c>
      <c r="I300" t="s">
        <v>2</v>
      </c>
      <c r="J300" t="s">
        <v>145</v>
      </c>
      <c r="K300" t="s">
        <v>146</v>
      </c>
      <c r="L300">
        <v>144</v>
      </c>
      <c r="M300" t="s">
        <v>10</v>
      </c>
      <c r="N300" t="str" cm="1">
        <f t="array" ref="N300">_xlfn.IFS(
    AND(HOUR(A300)&gt;=0, HOUR(A300)&lt;10), "Morning",
    AND(HOUR(A300)&gt;=10, HOUR(A300)&lt;15), "Afternoon",
    AND(HOUR(E300)&gt;=15, HOUR(E300)&lt;19), "Evening",
    AND(HOUR(E300)&gt;=19, HOUR(E300)&lt;=23), "Night"
)</f>
        <v>Night</v>
      </c>
    </row>
    <row r="301" spans="1:14" x14ac:dyDescent="0.25">
      <c r="A301" s="3">
        <v>42463.083333333336</v>
      </c>
      <c r="B301" s="2">
        <f t="shared" si="26"/>
        <v>42463</v>
      </c>
      <c r="C301" t="str">
        <f t="shared" si="27"/>
        <v>April</v>
      </c>
      <c r="D301" t="str">
        <f t="shared" si="28"/>
        <v>Sunday</v>
      </c>
      <c r="E301" t="str">
        <f t="shared" si="24"/>
        <v>02:00:00 AM</v>
      </c>
      <c r="F301" s="3">
        <v>42463.177777777775</v>
      </c>
      <c r="G301" s="4">
        <f t="shared" si="29"/>
        <v>0.17777777777519077</v>
      </c>
      <c r="H301" t="str">
        <f t="shared" si="25"/>
        <v>136 min</v>
      </c>
      <c r="I301" t="s">
        <v>2</v>
      </c>
      <c r="J301" t="s">
        <v>146</v>
      </c>
      <c r="K301" t="s">
        <v>55</v>
      </c>
      <c r="L301">
        <v>159.30000000000001</v>
      </c>
      <c r="M301" t="s">
        <v>10</v>
      </c>
      <c r="N301" t="str" cm="1">
        <f t="array" ref="N301">_xlfn.IFS(
    AND(HOUR(A301)&gt;=0, HOUR(A301)&lt;10), "Morning",
    AND(HOUR(A301)&gt;=10, HOUR(A301)&lt;15), "Afternoon",
    AND(HOUR(E301)&gt;=15, HOUR(E301)&lt;19), "Evening",
    AND(HOUR(E301)&gt;=19, HOUR(E301)&lt;=23), "Night"
)</f>
        <v>Morning</v>
      </c>
    </row>
    <row r="302" spans="1:14" x14ac:dyDescent="0.25">
      <c r="A302" s="3">
        <v>42465.902083333334</v>
      </c>
      <c r="B302" s="2">
        <f t="shared" si="26"/>
        <v>42465</v>
      </c>
      <c r="C302" t="str">
        <f t="shared" si="27"/>
        <v>April</v>
      </c>
      <c r="D302" t="str">
        <f t="shared" si="28"/>
        <v>Tuesday</v>
      </c>
      <c r="E302" t="str">
        <f t="shared" si="24"/>
        <v>09:39:00 PM</v>
      </c>
      <c r="F302" s="3">
        <v>42465.913194444445</v>
      </c>
      <c r="G302" s="4">
        <f t="shared" si="29"/>
        <v>0.91319444444525288</v>
      </c>
      <c r="H302" t="str">
        <f t="shared" si="25"/>
        <v>16 min</v>
      </c>
      <c r="I302" t="s">
        <v>2</v>
      </c>
      <c r="J302" t="s">
        <v>77</v>
      </c>
      <c r="K302" t="s">
        <v>110</v>
      </c>
      <c r="L302">
        <v>7.9</v>
      </c>
      <c r="M302" t="s">
        <v>9</v>
      </c>
      <c r="N302" t="str" cm="1">
        <f t="array" ref="N302">_xlfn.IFS(
    AND(HOUR(A302)&gt;=0, HOUR(A302)&lt;10), "Morning",
    AND(HOUR(A302)&gt;=10, HOUR(A302)&lt;15), "Afternoon",
    AND(HOUR(E302)&gt;=15, HOUR(E302)&lt;19), "Evening",
    AND(HOUR(E302)&gt;=19, HOUR(E302)&lt;=23), "Night"
)</f>
        <v>Night</v>
      </c>
    </row>
    <row r="303" spans="1:14" x14ac:dyDescent="0.25">
      <c r="A303" s="3">
        <v>42466.013194444444</v>
      </c>
      <c r="B303" s="2">
        <f t="shared" si="26"/>
        <v>42466</v>
      </c>
      <c r="C303" t="str">
        <f t="shared" si="27"/>
        <v>April</v>
      </c>
      <c r="D303" t="str">
        <f t="shared" si="28"/>
        <v>Wednesday</v>
      </c>
      <c r="E303" t="str">
        <f t="shared" si="24"/>
        <v>12:19:00 AM</v>
      </c>
      <c r="F303" s="3">
        <v>42466.027083333334</v>
      </c>
      <c r="G303" s="4">
        <f t="shared" si="29"/>
        <v>2.7083333334303461E-2</v>
      </c>
      <c r="H303" t="str">
        <f t="shared" si="25"/>
        <v>20 min</v>
      </c>
      <c r="I303" t="s">
        <v>2</v>
      </c>
      <c r="J303" t="s">
        <v>110</v>
      </c>
      <c r="K303" t="s">
        <v>77</v>
      </c>
      <c r="L303">
        <v>8</v>
      </c>
      <c r="M303" t="s">
        <v>9</v>
      </c>
      <c r="N303" t="str" cm="1">
        <f t="array" ref="N303">_xlfn.IFS(
    AND(HOUR(A303)&gt;=0, HOUR(A303)&lt;10), "Morning",
    AND(HOUR(A303)&gt;=10, HOUR(A303)&lt;15), "Afternoon",
    AND(HOUR(E303)&gt;=15, HOUR(E303)&lt;19), "Evening",
    AND(HOUR(E303)&gt;=19, HOUR(E303)&lt;=23), "Night"
)</f>
        <v>Morning</v>
      </c>
    </row>
    <row r="304" spans="1:14" x14ac:dyDescent="0.25">
      <c r="A304" s="3">
        <v>42467.763888888891</v>
      </c>
      <c r="B304" s="2">
        <f t="shared" si="26"/>
        <v>42467</v>
      </c>
      <c r="C304" t="str">
        <f t="shared" si="27"/>
        <v>April</v>
      </c>
      <c r="D304" t="str">
        <f t="shared" si="28"/>
        <v>Thursday</v>
      </c>
      <c r="E304" t="str">
        <f t="shared" si="24"/>
        <v>06:20:00 PM</v>
      </c>
      <c r="F304" s="3">
        <v>42467.777083333334</v>
      </c>
      <c r="G304" s="4">
        <f t="shared" si="29"/>
        <v>0.77708333333430346</v>
      </c>
      <c r="H304" t="str">
        <f t="shared" si="25"/>
        <v>19 min</v>
      </c>
      <c r="I304" t="s">
        <v>2</v>
      </c>
      <c r="J304" t="s">
        <v>55</v>
      </c>
      <c r="K304" t="s">
        <v>56</v>
      </c>
      <c r="L304">
        <v>6.1</v>
      </c>
      <c r="M304" t="s">
        <v>9</v>
      </c>
      <c r="N304" t="str" cm="1">
        <f t="array" ref="N304">_xlfn.IFS(
    AND(HOUR(A304)&gt;=0, HOUR(A304)&lt;10), "Morning",
    AND(HOUR(A304)&gt;=10, HOUR(A304)&lt;15), "Afternoon",
    AND(HOUR(E304)&gt;=15, HOUR(E304)&lt;19), "Evening",
    AND(HOUR(E304)&gt;=19, HOUR(E304)&lt;=23), "Night"
)</f>
        <v>Evening</v>
      </c>
    </row>
    <row r="305" spans="1:14" x14ac:dyDescent="0.25">
      <c r="A305" s="3">
        <v>42467.822916666664</v>
      </c>
      <c r="B305" s="2">
        <f t="shared" si="26"/>
        <v>42467</v>
      </c>
      <c r="C305" t="str">
        <f t="shared" si="27"/>
        <v>April</v>
      </c>
      <c r="D305" t="str">
        <f t="shared" si="28"/>
        <v>Thursday</v>
      </c>
      <c r="E305" t="str">
        <f t="shared" si="24"/>
        <v>07:45:00 PM</v>
      </c>
      <c r="F305" s="3">
        <v>42467.833333333336</v>
      </c>
      <c r="G305" s="4">
        <f t="shared" si="29"/>
        <v>0.83333333333575865</v>
      </c>
      <c r="H305" t="str">
        <f t="shared" si="25"/>
        <v>15 min</v>
      </c>
      <c r="I305" t="s">
        <v>2</v>
      </c>
      <c r="J305" t="s">
        <v>56</v>
      </c>
      <c r="K305" t="s">
        <v>55</v>
      </c>
      <c r="L305">
        <v>6.1</v>
      </c>
      <c r="M305" t="s">
        <v>8</v>
      </c>
      <c r="N305" t="str" cm="1">
        <f t="array" ref="N305">_xlfn.IFS(
    AND(HOUR(A305)&gt;=0, HOUR(A305)&lt;10), "Morning",
    AND(HOUR(A305)&gt;=10, HOUR(A305)&lt;15), "Afternoon",
    AND(HOUR(E305)&gt;=15, HOUR(E305)&lt;19), "Evening",
    AND(HOUR(E305)&gt;=19, HOUR(E305)&lt;=23), "Night"
)</f>
        <v>Night</v>
      </c>
    </row>
    <row r="306" spans="1:14" x14ac:dyDescent="0.25">
      <c r="A306" s="3">
        <v>42468.520833333336</v>
      </c>
      <c r="B306" s="2">
        <f t="shared" si="26"/>
        <v>42468</v>
      </c>
      <c r="C306" t="str">
        <f t="shared" si="27"/>
        <v>April</v>
      </c>
      <c r="D306" t="str">
        <f t="shared" si="28"/>
        <v>Friday</v>
      </c>
      <c r="E306" t="str">
        <f t="shared" si="24"/>
        <v>12:30:00 PM</v>
      </c>
      <c r="F306" s="3">
        <v>42468.533333333333</v>
      </c>
      <c r="G306" s="4">
        <f t="shared" si="29"/>
        <v>0.53333333333284827</v>
      </c>
      <c r="H306" t="str">
        <f t="shared" si="25"/>
        <v>18 min</v>
      </c>
      <c r="I306" t="s">
        <v>2</v>
      </c>
      <c r="J306" t="s">
        <v>55</v>
      </c>
      <c r="K306" t="s">
        <v>75</v>
      </c>
      <c r="L306">
        <v>10.5</v>
      </c>
      <c r="M306" t="s">
        <v>10</v>
      </c>
      <c r="N306" t="str" cm="1">
        <f t="array" ref="N306">_xlfn.IFS(
    AND(HOUR(A306)&gt;=0, HOUR(A306)&lt;10), "Morning",
    AND(HOUR(A306)&gt;=10, HOUR(A306)&lt;15), "Afternoon",
    AND(HOUR(E306)&gt;=15, HOUR(E306)&lt;19), "Evening",
    AND(HOUR(E306)&gt;=19, HOUR(E306)&lt;=23), "Night"
)</f>
        <v>Afternoon</v>
      </c>
    </row>
    <row r="307" spans="1:14" x14ac:dyDescent="0.25">
      <c r="A307" s="3">
        <v>42468.56527777778</v>
      </c>
      <c r="B307" s="2">
        <f t="shared" si="26"/>
        <v>42468</v>
      </c>
      <c r="C307" t="str">
        <f t="shared" si="27"/>
        <v>April</v>
      </c>
      <c r="D307" t="str">
        <f t="shared" si="28"/>
        <v>Friday</v>
      </c>
      <c r="E307" t="str">
        <f t="shared" si="24"/>
        <v>01:34:00 PM</v>
      </c>
      <c r="F307" s="3">
        <v>42468.57708333333</v>
      </c>
      <c r="G307" s="4">
        <f t="shared" si="29"/>
        <v>0.57708333332993789</v>
      </c>
      <c r="H307" t="str">
        <f t="shared" si="25"/>
        <v>17 min</v>
      </c>
      <c r="I307" t="s">
        <v>2</v>
      </c>
      <c r="J307" t="s">
        <v>75</v>
      </c>
      <c r="K307" t="s">
        <v>55</v>
      </c>
      <c r="L307">
        <v>8.6999999999999993</v>
      </c>
      <c r="M307" t="s">
        <v>9</v>
      </c>
      <c r="N307" t="str" cm="1">
        <f t="array" ref="N307">_xlfn.IFS(
    AND(HOUR(A307)&gt;=0, HOUR(A307)&lt;10), "Morning",
    AND(HOUR(A307)&gt;=10, HOUR(A307)&lt;15), "Afternoon",
    AND(HOUR(E307)&gt;=15, HOUR(E307)&lt;19), "Evening",
    AND(HOUR(E307)&gt;=19, HOUR(E307)&lt;=23), "Night"
)</f>
        <v>Afternoon</v>
      </c>
    </row>
    <row r="308" spans="1:14" x14ac:dyDescent="0.25">
      <c r="A308" s="3">
        <v>42468.579861111109</v>
      </c>
      <c r="B308" s="2">
        <f t="shared" si="26"/>
        <v>42468</v>
      </c>
      <c r="C308" t="str">
        <f t="shared" si="27"/>
        <v>April</v>
      </c>
      <c r="D308" t="str">
        <f t="shared" si="28"/>
        <v>Friday</v>
      </c>
      <c r="E308" t="str">
        <f t="shared" si="24"/>
        <v>01:55:00 PM</v>
      </c>
      <c r="F308" s="3">
        <v>42468.585416666669</v>
      </c>
      <c r="G308" s="4">
        <f t="shared" si="29"/>
        <v>0.58541666666860692</v>
      </c>
      <c r="H308" t="str">
        <f t="shared" si="25"/>
        <v>8 min</v>
      </c>
      <c r="I308" t="s">
        <v>2</v>
      </c>
      <c r="J308" t="s">
        <v>83</v>
      </c>
      <c r="K308" t="s">
        <v>77</v>
      </c>
      <c r="L308">
        <v>1.8</v>
      </c>
      <c r="M308" t="s">
        <v>8</v>
      </c>
      <c r="N308" t="str" cm="1">
        <f t="array" ref="N308">_xlfn.IFS(
    AND(HOUR(A308)&gt;=0, HOUR(A308)&lt;10), "Morning",
    AND(HOUR(A308)&gt;=10, HOUR(A308)&lt;15), "Afternoon",
    AND(HOUR(E308)&gt;=15, HOUR(E308)&lt;19), "Evening",
    AND(HOUR(E308)&gt;=19, HOUR(E308)&lt;=23), "Night"
)</f>
        <v>Afternoon</v>
      </c>
    </row>
    <row r="309" spans="1:14" x14ac:dyDescent="0.25">
      <c r="A309" s="3">
        <v>42468.613194444442</v>
      </c>
      <c r="B309" s="2">
        <f t="shared" si="26"/>
        <v>42468</v>
      </c>
      <c r="C309" t="str">
        <f t="shared" si="27"/>
        <v>April</v>
      </c>
      <c r="D309" t="str">
        <f t="shared" si="28"/>
        <v>Friday</v>
      </c>
      <c r="E309" t="str">
        <f t="shared" si="24"/>
        <v>02:43:00 PM</v>
      </c>
      <c r="F309" s="3">
        <v>42468.638888888891</v>
      </c>
      <c r="G309" s="4">
        <f t="shared" si="29"/>
        <v>0.63888888889050577</v>
      </c>
      <c r="H309" t="str">
        <f t="shared" si="25"/>
        <v>37 min</v>
      </c>
      <c r="I309" t="s">
        <v>2</v>
      </c>
      <c r="J309" t="s">
        <v>55</v>
      </c>
      <c r="K309" t="s">
        <v>79</v>
      </c>
      <c r="L309">
        <v>19.100000000000001</v>
      </c>
      <c r="M309" t="s">
        <v>10</v>
      </c>
      <c r="N309" t="str" cm="1">
        <f t="array" ref="N309">_xlfn.IFS(
    AND(HOUR(A309)&gt;=0, HOUR(A309)&lt;10), "Morning",
    AND(HOUR(A309)&gt;=10, HOUR(A309)&lt;15), "Afternoon",
    AND(HOUR(E309)&gt;=15, HOUR(E309)&lt;19), "Evening",
    AND(HOUR(E309)&gt;=19, HOUR(E309)&lt;=23), "Night"
)</f>
        <v>Afternoon</v>
      </c>
    </row>
    <row r="310" spans="1:14" x14ac:dyDescent="0.25">
      <c r="A310" s="3">
        <v>42468.670138888891</v>
      </c>
      <c r="B310" s="2">
        <f t="shared" si="26"/>
        <v>42468</v>
      </c>
      <c r="C310" t="str">
        <f t="shared" si="27"/>
        <v>April</v>
      </c>
      <c r="D310" t="str">
        <f t="shared" si="28"/>
        <v>Friday</v>
      </c>
      <c r="E310" t="str">
        <f t="shared" si="24"/>
        <v>04:05:00 PM</v>
      </c>
      <c r="F310" s="3">
        <v>42468.699305555558</v>
      </c>
      <c r="G310" s="4">
        <f t="shared" si="29"/>
        <v>0.6993055555576575</v>
      </c>
      <c r="H310" t="str">
        <f t="shared" si="25"/>
        <v>42 min</v>
      </c>
      <c r="I310" t="s">
        <v>2</v>
      </c>
      <c r="J310" t="s">
        <v>79</v>
      </c>
      <c r="K310" t="s">
        <v>55</v>
      </c>
      <c r="L310">
        <v>18.600000000000001</v>
      </c>
      <c r="M310" t="s">
        <v>10</v>
      </c>
      <c r="N310" t="str" cm="1">
        <f t="array" ref="N310">_xlfn.IFS(
    AND(HOUR(A310)&gt;=0, HOUR(A310)&lt;10), "Morning",
    AND(HOUR(A310)&gt;=10, HOUR(A310)&lt;15), "Afternoon",
    AND(HOUR(E310)&gt;=15, HOUR(E310)&lt;19), "Evening",
    AND(HOUR(E310)&gt;=19, HOUR(E310)&lt;=23), "Night"
)</f>
        <v>Evening</v>
      </c>
    </row>
    <row r="311" spans="1:14" x14ac:dyDescent="0.25">
      <c r="A311" s="3">
        <v>42472.385416666664</v>
      </c>
      <c r="B311" s="2">
        <f t="shared" si="26"/>
        <v>42472</v>
      </c>
      <c r="C311" t="str">
        <f t="shared" si="27"/>
        <v>April</v>
      </c>
      <c r="D311" t="str">
        <f t="shared" si="28"/>
        <v>Tuesday</v>
      </c>
      <c r="E311" t="str">
        <f t="shared" si="24"/>
        <v>09:15:00 AM</v>
      </c>
      <c r="F311" s="3">
        <v>42472.393055555556</v>
      </c>
      <c r="G311" s="4">
        <f t="shared" si="29"/>
        <v>0.39305555555620231</v>
      </c>
      <c r="H311" t="str">
        <f t="shared" si="25"/>
        <v>11 min</v>
      </c>
      <c r="I311" t="s">
        <v>2</v>
      </c>
      <c r="J311" t="s">
        <v>77</v>
      </c>
      <c r="K311" t="s">
        <v>92</v>
      </c>
      <c r="L311">
        <v>2.8</v>
      </c>
      <c r="M311" t="s">
        <v>8</v>
      </c>
      <c r="N311" t="str" cm="1">
        <f t="array" ref="N311">_xlfn.IFS(
    AND(HOUR(A311)&gt;=0, HOUR(A311)&lt;10), "Morning",
    AND(HOUR(A311)&gt;=10, HOUR(A311)&lt;15), "Afternoon",
    AND(HOUR(E311)&gt;=15, HOUR(E311)&lt;19), "Evening",
    AND(HOUR(E311)&gt;=19, HOUR(E311)&lt;=23), "Night"
)</f>
        <v>Morning</v>
      </c>
    </row>
    <row r="312" spans="1:14" x14ac:dyDescent="0.25">
      <c r="A312" s="3">
        <v>42472.398611111108</v>
      </c>
      <c r="B312" s="2">
        <f t="shared" si="26"/>
        <v>42472</v>
      </c>
      <c r="C312" t="str">
        <f t="shared" si="27"/>
        <v>April</v>
      </c>
      <c r="D312" t="str">
        <f t="shared" si="28"/>
        <v>Tuesday</v>
      </c>
      <c r="E312" t="str">
        <f t="shared" si="24"/>
        <v>09:34:00 AM</v>
      </c>
      <c r="F312" s="3">
        <v>42472.411805555559</v>
      </c>
      <c r="G312" s="4">
        <f t="shared" si="29"/>
        <v>0.41180555555911269</v>
      </c>
      <c r="H312" t="str">
        <f t="shared" si="25"/>
        <v>19 min</v>
      </c>
      <c r="I312" t="s">
        <v>2</v>
      </c>
      <c r="J312" t="s">
        <v>55</v>
      </c>
      <c r="K312" t="s">
        <v>79</v>
      </c>
      <c r="L312">
        <v>8.9</v>
      </c>
      <c r="M312" t="s">
        <v>10</v>
      </c>
      <c r="N312" t="str" cm="1">
        <f t="array" ref="N312">_xlfn.IFS(
    AND(HOUR(A312)&gt;=0, HOUR(A312)&lt;10), "Morning",
    AND(HOUR(A312)&gt;=10, HOUR(A312)&lt;15), "Afternoon",
    AND(HOUR(E312)&gt;=15, HOUR(E312)&lt;19), "Evening",
    AND(HOUR(E312)&gt;=19, HOUR(E312)&lt;=23), "Night"
)</f>
        <v>Morning</v>
      </c>
    </row>
    <row r="313" spans="1:14" x14ac:dyDescent="0.25">
      <c r="A313" s="3">
        <v>42472.456944444442</v>
      </c>
      <c r="B313" s="2">
        <f t="shared" si="26"/>
        <v>42472</v>
      </c>
      <c r="C313" t="str">
        <f t="shared" si="27"/>
        <v>April</v>
      </c>
      <c r="D313" t="str">
        <f t="shared" si="28"/>
        <v>Tuesday</v>
      </c>
      <c r="E313" t="str">
        <f t="shared" si="24"/>
        <v>10:58:00 AM</v>
      </c>
      <c r="F313" s="3">
        <v>42472.470833333333</v>
      </c>
      <c r="G313" s="4">
        <f t="shared" si="29"/>
        <v>0.47083333333284827</v>
      </c>
      <c r="H313" t="str">
        <f t="shared" si="25"/>
        <v>20 min</v>
      </c>
      <c r="I313" t="s">
        <v>2</v>
      </c>
      <c r="J313" t="s">
        <v>147</v>
      </c>
      <c r="K313" t="s">
        <v>148</v>
      </c>
      <c r="L313">
        <v>7.5</v>
      </c>
      <c r="M313" t="s">
        <v>7</v>
      </c>
      <c r="N313" t="str" cm="1">
        <f t="array" ref="N313">_xlfn.IFS(
    AND(HOUR(A313)&gt;=0, HOUR(A313)&lt;10), "Morning",
    AND(HOUR(A313)&gt;=10, HOUR(A313)&lt;15), "Afternoon",
    AND(HOUR(E313)&gt;=15, HOUR(E313)&lt;19), "Evening",
    AND(HOUR(E313)&gt;=19, HOUR(E313)&lt;=23), "Night"
)</f>
        <v>Afternoon</v>
      </c>
    </row>
    <row r="314" spans="1:14" x14ac:dyDescent="0.25">
      <c r="A314" s="3">
        <v>42472.515277777777</v>
      </c>
      <c r="B314" s="2">
        <f t="shared" si="26"/>
        <v>42472</v>
      </c>
      <c r="C314" t="str">
        <f t="shared" si="27"/>
        <v>April</v>
      </c>
      <c r="D314" t="str">
        <f t="shared" si="28"/>
        <v>Tuesday</v>
      </c>
      <c r="E314" t="str">
        <f t="shared" si="24"/>
        <v>12:22:00 PM</v>
      </c>
      <c r="F314" s="3">
        <v>42472.530555555553</v>
      </c>
      <c r="G314" s="4">
        <f t="shared" si="29"/>
        <v>0.53055555555329192</v>
      </c>
      <c r="H314" t="str">
        <f t="shared" si="25"/>
        <v>22 min</v>
      </c>
      <c r="I314" t="s">
        <v>2</v>
      </c>
      <c r="J314" t="s">
        <v>79</v>
      </c>
      <c r="K314" t="s">
        <v>56</v>
      </c>
      <c r="L314">
        <v>15.9</v>
      </c>
      <c r="M314" t="s">
        <v>10</v>
      </c>
      <c r="N314" t="str" cm="1">
        <f t="array" ref="N314">_xlfn.IFS(
    AND(HOUR(A314)&gt;=0, HOUR(A314)&lt;10), "Morning",
    AND(HOUR(A314)&gt;=10, HOUR(A314)&lt;15), "Afternoon",
    AND(HOUR(E314)&gt;=15, HOUR(E314)&lt;19), "Evening",
    AND(HOUR(E314)&gt;=19, HOUR(E314)&lt;=23), "Night"
)</f>
        <v>Afternoon</v>
      </c>
    </row>
    <row r="315" spans="1:14" x14ac:dyDescent="0.25">
      <c r="A315" s="3">
        <v>42472.570833333331</v>
      </c>
      <c r="B315" s="2">
        <f t="shared" si="26"/>
        <v>42472</v>
      </c>
      <c r="C315" t="str">
        <f t="shared" si="27"/>
        <v>April</v>
      </c>
      <c r="D315" t="str">
        <f t="shared" si="28"/>
        <v>Tuesday</v>
      </c>
      <c r="E315" t="str">
        <f t="shared" si="24"/>
        <v>01:42:00 PM</v>
      </c>
      <c r="F315" s="3">
        <v>42472.584027777775</v>
      </c>
      <c r="G315" s="4">
        <f t="shared" si="29"/>
        <v>0.58402777777519077</v>
      </c>
      <c r="H315" t="str">
        <f t="shared" si="25"/>
        <v>19 min</v>
      </c>
      <c r="I315" t="s">
        <v>2</v>
      </c>
      <c r="J315" t="s">
        <v>56</v>
      </c>
      <c r="K315" t="s">
        <v>55</v>
      </c>
      <c r="L315">
        <v>6.5</v>
      </c>
      <c r="M315" t="s">
        <v>9</v>
      </c>
      <c r="N315" t="str" cm="1">
        <f t="array" ref="N315">_xlfn.IFS(
    AND(HOUR(A315)&gt;=0, HOUR(A315)&lt;10), "Morning",
    AND(HOUR(A315)&gt;=10, HOUR(A315)&lt;15), "Afternoon",
    AND(HOUR(E315)&gt;=15, HOUR(E315)&lt;19), "Evening",
    AND(HOUR(E315)&gt;=19, HOUR(E315)&lt;=23), "Night"
)</f>
        <v>Afternoon</v>
      </c>
    </row>
    <row r="316" spans="1:14" x14ac:dyDescent="0.25">
      <c r="A316" s="3">
        <v>42474.311805555553</v>
      </c>
      <c r="B316" s="2">
        <f t="shared" si="26"/>
        <v>42474</v>
      </c>
      <c r="C316" t="str">
        <f t="shared" si="27"/>
        <v>April</v>
      </c>
      <c r="D316" t="str">
        <f t="shared" si="28"/>
        <v>Thursday</v>
      </c>
      <c r="E316" t="str">
        <f t="shared" si="24"/>
        <v>07:29:00 AM</v>
      </c>
      <c r="F316" s="3">
        <v>42474.339583333334</v>
      </c>
      <c r="G316" s="4">
        <f t="shared" si="29"/>
        <v>0.33958333333430346</v>
      </c>
      <c r="H316" t="str">
        <f t="shared" si="25"/>
        <v>40 min</v>
      </c>
      <c r="I316" t="s">
        <v>2</v>
      </c>
      <c r="J316" t="s">
        <v>55</v>
      </c>
      <c r="K316" t="s">
        <v>149</v>
      </c>
      <c r="L316">
        <v>15.3</v>
      </c>
      <c r="M316" t="s">
        <v>11</v>
      </c>
      <c r="N316" t="str" cm="1">
        <f t="array" ref="N316">_xlfn.IFS(
    AND(HOUR(A316)&gt;=0, HOUR(A316)&lt;10), "Morning",
    AND(HOUR(A316)&gt;=10, HOUR(A316)&lt;15), "Afternoon",
    AND(HOUR(E316)&gt;=15, HOUR(E316)&lt;19), "Evening",
    AND(HOUR(E316)&gt;=19, HOUR(E316)&lt;=23), "Night"
)</f>
        <v>Morning</v>
      </c>
    </row>
    <row r="317" spans="1:14" x14ac:dyDescent="0.25">
      <c r="A317" s="3">
        <v>42474.666666666664</v>
      </c>
      <c r="B317" s="2">
        <f t="shared" si="26"/>
        <v>42474</v>
      </c>
      <c r="C317" t="str">
        <f t="shared" si="27"/>
        <v>April</v>
      </c>
      <c r="D317" t="str">
        <f t="shared" si="28"/>
        <v>Thursday</v>
      </c>
      <c r="E317" t="str">
        <f t="shared" si="24"/>
        <v>04:00:00 PM</v>
      </c>
      <c r="F317" s="3">
        <v>42474.696527777778</v>
      </c>
      <c r="G317" s="4">
        <f t="shared" si="29"/>
        <v>0.69652777777810115</v>
      </c>
      <c r="H317" t="str">
        <f t="shared" si="25"/>
        <v>43 min</v>
      </c>
      <c r="I317" t="s">
        <v>2</v>
      </c>
      <c r="J317" t="s">
        <v>149</v>
      </c>
      <c r="K317" t="s">
        <v>55</v>
      </c>
      <c r="L317">
        <v>13.7</v>
      </c>
      <c r="M317" t="s">
        <v>11</v>
      </c>
      <c r="N317" t="str" cm="1">
        <f t="array" ref="N317">_xlfn.IFS(
    AND(HOUR(A317)&gt;=0, HOUR(A317)&lt;10), "Morning",
    AND(HOUR(A317)&gt;=10, HOUR(A317)&lt;15), "Afternoon",
    AND(HOUR(E317)&gt;=15, HOUR(E317)&lt;19), "Evening",
    AND(HOUR(E317)&gt;=19, HOUR(E317)&lt;=23), "Night"
)</f>
        <v>Evening</v>
      </c>
    </row>
    <row r="318" spans="1:14" x14ac:dyDescent="0.25">
      <c r="A318" s="3">
        <v>42475.48333333333</v>
      </c>
      <c r="B318" s="2">
        <f t="shared" si="26"/>
        <v>42475</v>
      </c>
      <c r="C318" t="str">
        <f t="shared" si="27"/>
        <v>April</v>
      </c>
      <c r="D318" t="str">
        <f t="shared" si="28"/>
        <v>Friday</v>
      </c>
      <c r="E318" t="str">
        <f t="shared" si="24"/>
        <v>11:36:00 AM</v>
      </c>
      <c r="F318" s="3">
        <v>42475.504861111112</v>
      </c>
      <c r="G318" s="4">
        <f t="shared" si="29"/>
        <v>0.50486111111240461</v>
      </c>
      <c r="H318" t="str">
        <f t="shared" si="25"/>
        <v>31 min</v>
      </c>
      <c r="I318" t="s">
        <v>2</v>
      </c>
      <c r="J318" t="s">
        <v>55</v>
      </c>
      <c r="K318" t="s">
        <v>79</v>
      </c>
      <c r="L318">
        <v>11.9</v>
      </c>
      <c r="M318" t="s">
        <v>11</v>
      </c>
      <c r="N318" t="str" cm="1">
        <f t="array" ref="N318">_xlfn.IFS(
    AND(HOUR(A318)&gt;=0, HOUR(A318)&lt;10), "Morning",
    AND(HOUR(A318)&gt;=10, HOUR(A318)&lt;15), "Afternoon",
    AND(HOUR(E318)&gt;=15, HOUR(E318)&lt;19), "Evening",
    AND(HOUR(E318)&gt;=19, HOUR(E318)&lt;=23), "Night"
)</f>
        <v>Afternoon</v>
      </c>
    </row>
    <row r="319" spans="1:14" x14ac:dyDescent="0.25">
      <c r="A319" s="3">
        <v>42475.520138888889</v>
      </c>
      <c r="B319" s="2">
        <f t="shared" si="26"/>
        <v>42475</v>
      </c>
      <c r="C319" t="str">
        <f t="shared" si="27"/>
        <v>April</v>
      </c>
      <c r="D319" t="str">
        <f t="shared" si="28"/>
        <v>Friday</v>
      </c>
      <c r="E319" t="str">
        <f t="shared" si="24"/>
        <v>12:29:00 PM</v>
      </c>
      <c r="F319" s="3">
        <v>42475.522222222222</v>
      </c>
      <c r="G319" s="4">
        <f t="shared" si="29"/>
        <v>0.52222222222189885</v>
      </c>
      <c r="H319" t="str">
        <f t="shared" si="25"/>
        <v>3 min</v>
      </c>
      <c r="I319" t="s">
        <v>2</v>
      </c>
      <c r="J319" t="s">
        <v>85</v>
      </c>
      <c r="K319" t="s">
        <v>150</v>
      </c>
      <c r="L319">
        <v>1.4</v>
      </c>
      <c r="M319" t="s">
        <v>8</v>
      </c>
      <c r="N319" t="str" cm="1">
        <f t="array" ref="N319">_xlfn.IFS(
    AND(HOUR(A319)&gt;=0, HOUR(A319)&lt;10), "Morning",
    AND(HOUR(A319)&gt;=10, HOUR(A319)&lt;15), "Afternoon",
    AND(HOUR(E319)&gt;=15, HOUR(E319)&lt;19), "Evening",
    AND(HOUR(E319)&gt;=19, HOUR(E319)&lt;=23), "Night"
)</f>
        <v>Afternoon</v>
      </c>
    </row>
    <row r="320" spans="1:14" x14ac:dyDescent="0.25">
      <c r="A320" s="3">
        <v>42475.604861111111</v>
      </c>
      <c r="B320" s="2">
        <f t="shared" si="26"/>
        <v>42475</v>
      </c>
      <c r="C320" t="str">
        <f t="shared" si="27"/>
        <v>April</v>
      </c>
      <c r="D320" t="str">
        <f t="shared" si="28"/>
        <v>Friday</v>
      </c>
      <c r="E320" t="str">
        <f t="shared" si="24"/>
        <v>02:31:00 PM</v>
      </c>
      <c r="F320" s="3">
        <v>42475.625694444447</v>
      </c>
      <c r="G320" s="4">
        <f t="shared" si="29"/>
        <v>0.62569444444670808</v>
      </c>
      <c r="H320" t="str">
        <f t="shared" si="25"/>
        <v>30 min</v>
      </c>
      <c r="I320" t="s">
        <v>2</v>
      </c>
      <c r="J320" t="s">
        <v>79</v>
      </c>
      <c r="K320" t="s">
        <v>55</v>
      </c>
      <c r="L320">
        <v>15.2</v>
      </c>
      <c r="M320" t="s">
        <v>10</v>
      </c>
      <c r="N320" t="str" cm="1">
        <f t="array" ref="N320">_xlfn.IFS(
    AND(HOUR(A320)&gt;=0, HOUR(A320)&lt;10), "Morning",
    AND(HOUR(A320)&gt;=10, HOUR(A320)&lt;15), "Afternoon",
    AND(HOUR(E320)&gt;=15, HOUR(E320)&lt;19), "Evening",
    AND(HOUR(E320)&gt;=19, HOUR(E320)&lt;=23), "Night"
)</f>
        <v>Afternoon</v>
      </c>
    </row>
    <row r="321" spans="1:14" x14ac:dyDescent="0.25">
      <c r="A321" s="3">
        <v>42476.540972222225</v>
      </c>
      <c r="B321" s="2">
        <f t="shared" si="26"/>
        <v>42476</v>
      </c>
      <c r="C321" t="str">
        <f t="shared" si="27"/>
        <v>April</v>
      </c>
      <c r="D321" t="str">
        <f t="shared" si="28"/>
        <v>Saturday</v>
      </c>
      <c r="E321" t="str">
        <f t="shared" si="24"/>
        <v>12:59:00 PM</v>
      </c>
      <c r="F321" s="3">
        <v>42476.553472222222</v>
      </c>
      <c r="G321" s="4">
        <f t="shared" si="29"/>
        <v>0.55347222222189885</v>
      </c>
      <c r="H321" t="str">
        <f t="shared" si="25"/>
        <v>18 min</v>
      </c>
      <c r="I321" t="s">
        <v>2</v>
      </c>
      <c r="J321" t="s">
        <v>55</v>
      </c>
      <c r="K321" t="s">
        <v>56</v>
      </c>
      <c r="L321">
        <v>6</v>
      </c>
      <c r="M321" t="s">
        <v>8</v>
      </c>
      <c r="N321" t="str" cm="1">
        <f t="array" ref="N321">_xlfn.IFS(
    AND(HOUR(A321)&gt;=0, HOUR(A321)&lt;10), "Morning",
    AND(HOUR(A321)&gt;=10, HOUR(A321)&lt;15), "Afternoon",
    AND(HOUR(E321)&gt;=15, HOUR(E321)&lt;19), "Evening",
    AND(HOUR(E321)&gt;=19, HOUR(E321)&lt;=23), "Night"
)</f>
        <v>Afternoon</v>
      </c>
    </row>
    <row r="322" spans="1:14" x14ac:dyDescent="0.25">
      <c r="A322" s="3">
        <v>42476.631944444445</v>
      </c>
      <c r="B322" s="2">
        <f t="shared" si="26"/>
        <v>42476</v>
      </c>
      <c r="C322" t="str">
        <f t="shared" si="27"/>
        <v>April</v>
      </c>
      <c r="D322" t="str">
        <f t="shared" si="28"/>
        <v>Saturday</v>
      </c>
      <c r="E322" t="str">
        <f t="shared" ref="E322:E385" si="30">TEXT(A322, "hh:mm:ss AM/PM")</f>
        <v>03:10:00 PM</v>
      </c>
      <c r="F322" s="3">
        <v>42476.643055555556</v>
      </c>
      <c r="G322" s="4">
        <f t="shared" si="29"/>
        <v>0.64305555555620231</v>
      </c>
      <c r="H322" t="str">
        <f t="shared" ref="H322:H385" si="31">HOUR(IF(G322&lt;E322, G322+1-E322, G322-E322))*60 + MINUTE(IF(G322&lt;E322, G322+1-E322, G322-E322)) &amp; " min"</f>
        <v>16 min</v>
      </c>
      <c r="I322" t="s">
        <v>2</v>
      </c>
      <c r="J322" t="s">
        <v>56</v>
      </c>
      <c r="K322" t="s">
        <v>55</v>
      </c>
      <c r="L322">
        <v>6.1</v>
      </c>
      <c r="M322" t="s">
        <v>9</v>
      </c>
      <c r="N322" t="str" cm="1">
        <f t="array" ref="N322">_xlfn.IFS(
    AND(HOUR(A322)&gt;=0, HOUR(A322)&lt;10), "Morning",
    AND(HOUR(A322)&gt;=10, HOUR(A322)&lt;15), "Afternoon",
    AND(HOUR(E322)&gt;=15, HOUR(E322)&lt;19), "Evening",
    AND(HOUR(E322)&gt;=19, HOUR(E322)&lt;=23), "Night"
)</f>
        <v>Evening</v>
      </c>
    </row>
    <row r="323" spans="1:14" x14ac:dyDescent="0.25">
      <c r="A323" s="3">
        <v>42479.738888888889</v>
      </c>
      <c r="B323" s="2">
        <f t="shared" ref="B323:B386" si="32">INT(A323)</f>
        <v>42479</v>
      </c>
      <c r="C323" t="str">
        <f t="shared" ref="C323:C386" si="33">TEXT(B323, "mmmm")</f>
        <v>April</v>
      </c>
      <c r="D323" t="str">
        <f t="shared" ref="D323:D386" si="34">TEXT(B323, "dddd")</f>
        <v>Tuesday</v>
      </c>
      <c r="E323" t="str">
        <f t="shared" si="30"/>
        <v>05:44:00 PM</v>
      </c>
      <c r="F323" s="3">
        <v>42479.755555555559</v>
      </c>
      <c r="G323" s="4">
        <f t="shared" ref="G323:G386" si="35">F323-INT(F323)</f>
        <v>0.75555555555911269</v>
      </c>
      <c r="H323" t="str">
        <f t="shared" si="31"/>
        <v>24 min</v>
      </c>
      <c r="I323" t="s">
        <v>2</v>
      </c>
      <c r="J323" t="s">
        <v>77</v>
      </c>
      <c r="K323" t="s">
        <v>110</v>
      </c>
      <c r="L323">
        <v>8.1999999999999993</v>
      </c>
      <c r="M323" t="s">
        <v>9</v>
      </c>
      <c r="N323" t="str" cm="1">
        <f t="array" ref="N323">_xlfn.IFS(
    AND(HOUR(A323)&gt;=0, HOUR(A323)&lt;10), "Morning",
    AND(HOUR(A323)&gt;=10, HOUR(A323)&lt;15), "Afternoon",
    AND(HOUR(E323)&gt;=15, HOUR(E323)&lt;19), "Evening",
    AND(HOUR(E323)&gt;=19, HOUR(E323)&lt;=23), "Night"
)</f>
        <v>Evening</v>
      </c>
    </row>
    <row r="324" spans="1:14" x14ac:dyDescent="0.25">
      <c r="A324" s="3">
        <v>42479.831250000003</v>
      </c>
      <c r="B324" s="2">
        <f t="shared" si="32"/>
        <v>42479</v>
      </c>
      <c r="C324" t="str">
        <f t="shared" si="33"/>
        <v>April</v>
      </c>
      <c r="D324" t="str">
        <f t="shared" si="34"/>
        <v>Tuesday</v>
      </c>
      <c r="E324" t="str">
        <f t="shared" si="30"/>
        <v>07:57:00 PM</v>
      </c>
      <c r="F324" s="3">
        <v>42479.84652777778</v>
      </c>
      <c r="G324" s="4">
        <f t="shared" si="35"/>
        <v>0.84652777777955635</v>
      </c>
      <c r="H324" t="str">
        <f t="shared" si="31"/>
        <v>22 min</v>
      </c>
      <c r="I324" t="s">
        <v>2</v>
      </c>
      <c r="J324" t="s">
        <v>110</v>
      </c>
      <c r="K324" t="s">
        <v>77</v>
      </c>
      <c r="L324">
        <v>8</v>
      </c>
      <c r="M324" t="s">
        <v>9</v>
      </c>
      <c r="N324" t="str" cm="1">
        <f t="array" ref="N324">_xlfn.IFS(
    AND(HOUR(A324)&gt;=0, HOUR(A324)&lt;10), "Morning",
    AND(HOUR(A324)&gt;=10, HOUR(A324)&lt;15), "Afternoon",
    AND(HOUR(E324)&gt;=15, HOUR(E324)&lt;19), "Evening",
    AND(HOUR(E324)&gt;=19, HOUR(E324)&lt;=23), "Night"
)</f>
        <v>Night</v>
      </c>
    </row>
    <row r="325" spans="1:14" x14ac:dyDescent="0.25">
      <c r="A325" s="3">
        <v>42482.350694444445</v>
      </c>
      <c r="B325" s="2">
        <f t="shared" si="32"/>
        <v>42482</v>
      </c>
      <c r="C325" t="str">
        <f t="shared" si="33"/>
        <v>April</v>
      </c>
      <c r="D325" t="str">
        <f t="shared" si="34"/>
        <v>Friday</v>
      </c>
      <c r="E325" t="str">
        <f t="shared" si="30"/>
        <v>08:25:00 AM</v>
      </c>
      <c r="F325" s="3">
        <v>42482.37777777778</v>
      </c>
      <c r="G325" s="4">
        <f t="shared" si="35"/>
        <v>0.37777777777955635</v>
      </c>
      <c r="H325" t="str">
        <f t="shared" si="31"/>
        <v>39 min</v>
      </c>
      <c r="I325" t="s">
        <v>2</v>
      </c>
      <c r="J325" t="s">
        <v>55</v>
      </c>
      <c r="K325" t="s">
        <v>79</v>
      </c>
      <c r="L325">
        <v>13.6</v>
      </c>
      <c r="M325" t="s">
        <v>10</v>
      </c>
      <c r="N325" t="str" cm="1">
        <f t="array" ref="N325">_xlfn.IFS(
    AND(HOUR(A325)&gt;=0, HOUR(A325)&lt;10), "Morning",
    AND(HOUR(A325)&gt;=10, HOUR(A325)&lt;15), "Afternoon",
    AND(HOUR(E325)&gt;=15, HOUR(E325)&lt;19), "Evening",
    AND(HOUR(E325)&gt;=19, HOUR(E325)&lt;=23), "Night"
)</f>
        <v>Morning</v>
      </c>
    </row>
    <row r="326" spans="1:14" x14ac:dyDescent="0.25">
      <c r="A326" s="3">
        <v>42482.423611111109</v>
      </c>
      <c r="B326" s="2">
        <f t="shared" si="32"/>
        <v>42482</v>
      </c>
      <c r="C326" t="str">
        <f t="shared" si="33"/>
        <v>April</v>
      </c>
      <c r="D326" t="str">
        <f t="shared" si="34"/>
        <v>Friday</v>
      </c>
      <c r="E326" t="str">
        <f t="shared" si="30"/>
        <v>10:10:00 AM</v>
      </c>
      <c r="F326" s="3">
        <v>42482.444444444445</v>
      </c>
      <c r="G326" s="4">
        <f t="shared" si="35"/>
        <v>0.44444444444525288</v>
      </c>
      <c r="H326" t="str">
        <f t="shared" si="31"/>
        <v>30 min</v>
      </c>
      <c r="I326" t="s">
        <v>2</v>
      </c>
      <c r="J326" t="s">
        <v>79</v>
      </c>
      <c r="K326" t="s">
        <v>55</v>
      </c>
      <c r="L326">
        <v>22.5</v>
      </c>
      <c r="M326" t="s">
        <v>10</v>
      </c>
      <c r="N326" t="str" cm="1">
        <f t="array" ref="N326">_xlfn.IFS(
    AND(HOUR(A326)&gt;=0, HOUR(A326)&lt;10), "Morning",
    AND(HOUR(A326)&gt;=10, HOUR(A326)&lt;15), "Afternoon",
    AND(HOUR(E326)&gt;=15, HOUR(E326)&lt;19), "Evening",
    AND(HOUR(E326)&gt;=19, HOUR(E326)&lt;=23), "Night"
)</f>
        <v>Afternoon</v>
      </c>
    </row>
    <row r="327" spans="1:14" x14ac:dyDescent="0.25">
      <c r="A327" s="3">
        <v>42482.505555555559</v>
      </c>
      <c r="B327" s="2">
        <f t="shared" si="32"/>
        <v>42482</v>
      </c>
      <c r="C327" t="str">
        <f t="shared" si="33"/>
        <v>April</v>
      </c>
      <c r="D327" t="str">
        <f t="shared" si="34"/>
        <v>Friday</v>
      </c>
      <c r="E327" t="str">
        <f t="shared" si="30"/>
        <v>12:08:00 PM</v>
      </c>
      <c r="F327" s="3">
        <v>42482.519444444442</v>
      </c>
      <c r="G327" s="4">
        <f t="shared" si="35"/>
        <v>0.5194444444423425</v>
      </c>
      <c r="H327" t="str">
        <f t="shared" si="31"/>
        <v>20 min</v>
      </c>
      <c r="I327" t="s">
        <v>2</v>
      </c>
      <c r="J327" t="s">
        <v>55</v>
      </c>
      <c r="K327" t="s">
        <v>75</v>
      </c>
      <c r="L327">
        <v>10.4</v>
      </c>
      <c r="M327" t="s">
        <v>10</v>
      </c>
      <c r="N327" t="str" cm="1">
        <f t="array" ref="N327">_xlfn.IFS(
    AND(HOUR(A327)&gt;=0, HOUR(A327)&lt;10), "Morning",
    AND(HOUR(A327)&gt;=10, HOUR(A327)&lt;15), "Afternoon",
    AND(HOUR(E327)&gt;=15, HOUR(E327)&lt;19), "Evening",
    AND(HOUR(E327)&gt;=19, HOUR(E327)&lt;=23), "Night"
)</f>
        <v>Afternoon</v>
      </c>
    </row>
    <row r="328" spans="1:14" x14ac:dyDescent="0.25">
      <c r="A328" s="3">
        <v>42482.543055555558</v>
      </c>
      <c r="B328" s="2">
        <f t="shared" si="32"/>
        <v>42482</v>
      </c>
      <c r="C328" t="str">
        <f t="shared" si="33"/>
        <v>April</v>
      </c>
      <c r="D328" t="str">
        <f t="shared" si="34"/>
        <v>Friday</v>
      </c>
      <c r="E328" t="str">
        <f t="shared" si="30"/>
        <v>01:02:00 PM</v>
      </c>
      <c r="F328" s="3">
        <v>42482.55972222222</v>
      </c>
      <c r="G328" s="4">
        <f t="shared" si="35"/>
        <v>0.55972222222044365</v>
      </c>
      <c r="H328" t="str">
        <f t="shared" si="31"/>
        <v>24 min</v>
      </c>
      <c r="I328" t="s">
        <v>2</v>
      </c>
      <c r="J328" t="s">
        <v>75</v>
      </c>
      <c r="K328" t="s">
        <v>55</v>
      </c>
      <c r="L328">
        <v>10</v>
      </c>
      <c r="M328" t="s">
        <v>10</v>
      </c>
      <c r="N328" t="str" cm="1">
        <f t="array" ref="N328">_xlfn.IFS(
    AND(HOUR(A328)&gt;=0, HOUR(A328)&lt;10), "Morning",
    AND(HOUR(A328)&gt;=10, HOUR(A328)&lt;15), "Afternoon",
    AND(HOUR(E328)&gt;=15, HOUR(E328)&lt;19), "Evening",
    AND(HOUR(E328)&gt;=19, HOUR(E328)&lt;=23), "Night"
)</f>
        <v>Afternoon</v>
      </c>
    </row>
    <row r="329" spans="1:14" x14ac:dyDescent="0.25">
      <c r="A329" s="3">
        <v>42483.710416666669</v>
      </c>
      <c r="B329" s="2">
        <f t="shared" si="32"/>
        <v>42483</v>
      </c>
      <c r="C329" t="str">
        <f t="shared" si="33"/>
        <v>April</v>
      </c>
      <c r="D329" t="str">
        <f t="shared" si="34"/>
        <v>Saturday</v>
      </c>
      <c r="E329" t="str">
        <f t="shared" si="30"/>
        <v>05:03:00 PM</v>
      </c>
      <c r="F329" s="3">
        <v>42483.719444444447</v>
      </c>
      <c r="G329" s="4">
        <f t="shared" si="35"/>
        <v>0.71944444444670808</v>
      </c>
      <c r="H329" t="str">
        <f t="shared" si="31"/>
        <v>13 min</v>
      </c>
      <c r="I329" t="s">
        <v>2</v>
      </c>
      <c r="J329" t="s">
        <v>77</v>
      </c>
      <c r="K329" t="s">
        <v>93</v>
      </c>
      <c r="L329">
        <v>6</v>
      </c>
      <c r="M329" t="s">
        <v>9</v>
      </c>
      <c r="N329" t="str" cm="1">
        <f t="array" ref="N329">_xlfn.IFS(
    AND(HOUR(A329)&gt;=0, HOUR(A329)&lt;10), "Morning",
    AND(HOUR(A329)&gt;=10, HOUR(A329)&lt;15), "Afternoon",
    AND(HOUR(E329)&gt;=15, HOUR(E329)&lt;19), "Evening",
    AND(HOUR(E329)&gt;=19, HOUR(E329)&lt;=23), "Night"
)</f>
        <v>Evening</v>
      </c>
    </row>
    <row r="330" spans="1:14" x14ac:dyDescent="0.25">
      <c r="A330" s="3">
        <v>42483.78402777778</v>
      </c>
      <c r="B330" s="2">
        <f t="shared" si="32"/>
        <v>42483</v>
      </c>
      <c r="C330" t="str">
        <f t="shared" si="33"/>
        <v>April</v>
      </c>
      <c r="D330" t="str">
        <f t="shared" si="34"/>
        <v>Saturday</v>
      </c>
      <c r="E330" t="str">
        <f t="shared" si="30"/>
        <v>06:49:00 PM</v>
      </c>
      <c r="F330" s="3">
        <v>42483.795138888891</v>
      </c>
      <c r="G330" s="4">
        <f t="shared" si="35"/>
        <v>0.79513888889050577</v>
      </c>
      <c r="H330" t="str">
        <f t="shared" si="31"/>
        <v>16 min</v>
      </c>
      <c r="I330" t="s">
        <v>2</v>
      </c>
      <c r="J330" t="s">
        <v>93</v>
      </c>
      <c r="K330" t="s">
        <v>77</v>
      </c>
      <c r="L330">
        <v>6.5</v>
      </c>
      <c r="M330" t="s">
        <v>9</v>
      </c>
      <c r="N330" t="str" cm="1">
        <f t="array" ref="N330">_xlfn.IFS(
    AND(HOUR(A330)&gt;=0, HOUR(A330)&lt;10), "Morning",
    AND(HOUR(A330)&gt;=10, HOUR(A330)&lt;15), "Afternoon",
    AND(HOUR(E330)&gt;=15, HOUR(E330)&lt;19), "Evening",
    AND(HOUR(E330)&gt;=19, HOUR(E330)&lt;=23), "Night"
)</f>
        <v>Evening</v>
      </c>
    </row>
    <row r="331" spans="1:14" x14ac:dyDescent="0.25">
      <c r="A331" s="3">
        <v>42484.796527777777</v>
      </c>
      <c r="B331" s="2">
        <f t="shared" si="32"/>
        <v>42484</v>
      </c>
      <c r="C331" t="str">
        <f t="shared" si="33"/>
        <v>April</v>
      </c>
      <c r="D331" t="str">
        <f t="shared" si="34"/>
        <v>Sunday</v>
      </c>
      <c r="E331" t="str">
        <f t="shared" si="30"/>
        <v>07:07:00 PM</v>
      </c>
      <c r="F331" s="3">
        <v>42484.802777777775</v>
      </c>
      <c r="G331" s="4">
        <f t="shared" si="35"/>
        <v>0.80277777777519077</v>
      </c>
      <c r="H331" t="str">
        <f t="shared" si="31"/>
        <v>9 min</v>
      </c>
      <c r="I331" t="s">
        <v>2</v>
      </c>
      <c r="J331" t="s">
        <v>55</v>
      </c>
      <c r="K331" t="s">
        <v>56</v>
      </c>
      <c r="L331">
        <v>3.1</v>
      </c>
      <c r="M331" t="s">
        <v>8</v>
      </c>
      <c r="N331" t="str" cm="1">
        <f t="array" ref="N331">_xlfn.IFS(
    AND(HOUR(A331)&gt;=0, HOUR(A331)&lt;10), "Morning",
    AND(HOUR(A331)&gt;=10, HOUR(A331)&lt;15), "Afternoon",
    AND(HOUR(E331)&gt;=15, HOUR(E331)&lt;19), "Evening",
    AND(HOUR(E331)&gt;=19, HOUR(E331)&lt;=23), "Night"
)</f>
        <v>Night</v>
      </c>
    </row>
    <row r="332" spans="1:14" x14ac:dyDescent="0.25">
      <c r="A332" s="3">
        <v>42484.823611111111</v>
      </c>
      <c r="B332" s="2">
        <f t="shared" si="32"/>
        <v>42484</v>
      </c>
      <c r="C332" t="str">
        <f t="shared" si="33"/>
        <v>April</v>
      </c>
      <c r="D332" t="str">
        <f t="shared" si="34"/>
        <v>Sunday</v>
      </c>
      <c r="E332" t="str">
        <f t="shared" si="30"/>
        <v>07:46:00 PM</v>
      </c>
      <c r="F332" s="3">
        <v>42484.827777777777</v>
      </c>
      <c r="G332" s="4">
        <f t="shared" si="35"/>
        <v>0.82777777777664596</v>
      </c>
      <c r="H332" t="str">
        <f t="shared" si="31"/>
        <v>6 min</v>
      </c>
      <c r="I332" t="s">
        <v>2</v>
      </c>
      <c r="J332" t="s">
        <v>151</v>
      </c>
      <c r="K332" t="s">
        <v>151</v>
      </c>
      <c r="L332">
        <v>1.9</v>
      </c>
      <c r="M332" t="s">
        <v>8</v>
      </c>
      <c r="N332" t="str" cm="1">
        <f t="array" ref="N332">_xlfn.IFS(
    AND(HOUR(A332)&gt;=0, HOUR(A332)&lt;10), "Morning",
    AND(HOUR(A332)&gt;=10, HOUR(A332)&lt;15), "Afternoon",
    AND(HOUR(E332)&gt;=15, HOUR(E332)&lt;19), "Evening",
    AND(HOUR(E332)&gt;=19, HOUR(E332)&lt;=23), "Night"
)</f>
        <v>Night</v>
      </c>
    </row>
    <row r="333" spans="1:14" x14ac:dyDescent="0.25">
      <c r="A333" s="3">
        <v>42484.90347222222</v>
      </c>
      <c r="B333" s="2">
        <f t="shared" si="32"/>
        <v>42484</v>
      </c>
      <c r="C333" t="str">
        <f t="shared" si="33"/>
        <v>April</v>
      </c>
      <c r="D333" t="str">
        <f t="shared" si="34"/>
        <v>Sunday</v>
      </c>
      <c r="E333" t="str">
        <f t="shared" si="30"/>
        <v>09:41:00 PM</v>
      </c>
      <c r="F333" s="3">
        <v>42484.909722222219</v>
      </c>
      <c r="G333" s="4">
        <f t="shared" si="35"/>
        <v>0.90972222221898846</v>
      </c>
      <c r="H333" t="str">
        <f t="shared" si="31"/>
        <v>9 min</v>
      </c>
      <c r="I333" t="s">
        <v>2</v>
      </c>
      <c r="J333" t="s">
        <v>56</v>
      </c>
      <c r="K333" t="s">
        <v>55</v>
      </c>
      <c r="L333">
        <v>4.2</v>
      </c>
      <c r="M333" t="s">
        <v>6</v>
      </c>
      <c r="N333" t="str" cm="1">
        <f t="array" ref="N333">_xlfn.IFS(
    AND(HOUR(A333)&gt;=0, HOUR(A333)&lt;10), "Morning",
    AND(HOUR(A333)&gt;=10, HOUR(A333)&lt;15), "Afternoon",
    AND(HOUR(E333)&gt;=15, HOUR(E333)&lt;19), "Evening",
    AND(HOUR(E333)&gt;=19, HOUR(E333)&lt;=23), "Night"
)</f>
        <v>Night</v>
      </c>
    </row>
    <row r="334" spans="1:14" x14ac:dyDescent="0.25">
      <c r="A334" s="3">
        <v>42487.5625</v>
      </c>
      <c r="B334" s="2">
        <f t="shared" si="32"/>
        <v>42487</v>
      </c>
      <c r="C334" t="str">
        <f t="shared" si="33"/>
        <v>April</v>
      </c>
      <c r="D334" t="str">
        <f t="shared" si="34"/>
        <v>Wednesday</v>
      </c>
      <c r="E334" t="str">
        <f t="shared" si="30"/>
        <v>01:30:00 PM</v>
      </c>
      <c r="F334" s="3">
        <v>42487.569444444445</v>
      </c>
      <c r="G334" s="4">
        <f t="shared" si="35"/>
        <v>0.56944444444525288</v>
      </c>
      <c r="H334" t="str">
        <f t="shared" si="31"/>
        <v>10 min</v>
      </c>
      <c r="I334" t="s">
        <v>2</v>
      </c>
      <c r="J334" t="s">
        <v>77</v>
      </c>
      <c r="K334" t="s">
        <v>152</v>
      </c>
      <c r="L334">
        <v>4.9000000000000004</v>
      </c>
      <c r="M334" t="s">
        <v>6</v>
      </c>
      <c r="N334" t="str" cm="1">
        <f t="array" ref="N334">_xlfn.IFS(
    AND(HOUR(A334)&gt;=0, HOUR(A334)&lt;10), "Morning",
    AND(HOUR(A334)&gt;=10, HOUR(A334)&lt;15), "Afternoon",
    AND(HOUR(E334)&gt;=15, HOUR(E334)&lt;19), "Evening",
    AND(HOUR(E334)&gt;=19, HOUR(E334)&lt;=23), "Night"
)</f>
        <v>Afternoon</v>
      </c>
    </row>
    <row r="335" spans="1:14" x14ac:dyDescent="0.25">
      <c r="A335" s="3">
        <v>42487.592361111114</v>
      </c>
      <c r="B335" s="2">
        <f t="shared" si="32"/>
        <v>42487</v>
      </c>
      <c r="C335" t="str">
        <f t="shared" si="33"/>
        <v>April</v>
      </c>
      <c r="D335" t="str">
        <f t="shared" si="34"/>
        <v>Wednesday</v>
      </c>
      <c r="E335" t="str">
        <f t="shared" si="30"/>
        <v>02:13:00 PM</v>
      </c>
      <c r="F335" s="3">
        <v>42487.600694444445</v>
      </c>
      <c r="G335" s="4">
        <f t="shared" si="35"/>
        <v>0.60069444444525288</v>
      </c>
      <c r="H335" t="str">
        <f t="shared" si="31"/>
        <v>12 min</v>
      </c>
      <c r="I335" t="s">
        <v>2</v>
      </c>
      <c r="J335" t="s">
        <v>152</v>
      </c>
      <c r="K335" t="s">
        <v>77</v>
      </c>
      <c r="L335">
        <v>4.8</v>
      </c>
      <c r="M335" t="s">
        <v>6</v>
      </c>
      <c r="N335" t="str" cm="1">
        <f t="array" ref="N335">_xlfn.IFS(
    AND(HOUR(A335)&gt;=0, HOUR(A335)&lt;10), "Morning",
    AND(HOUR(A335)&gt;=10, HOUR(A335)&lt;15), "Afternoon",
    AND(HOUR(E335)&gt;=15, HOUR(E335)&lt;19), "Evening",
    AND(HOUR(E335)&gt;=19, HOUR(E335)&lt;=23), "Night"
)</f>
        <v>Afternoon</v>
      </c>
    </row>
    <row r="336" spans="1:14" x14ac:dyDescent="0.25">
      <c r="A336" s="3">
        <v>42488.506249999999</v>
      </c>
      <c r="B336" s="2">
        <f t="shared" si="32"/>
        <v>42488</v>
      </c>
      <c r="C336" t="str">
        <f t="shared" si="33"/>
        <v>April</v>
      </c>
      <c r="D336" t="str">
        <f t="shared" si="34"/>
        <v>Thursday</v>
      </c>
      <c r="E336" t="str">
        <f t="shared" si="30"/>
        <v>12:09:00 PM</v>
      </c>
      <c r="F336" s="3">
        <v>42488.523611111108</v>
      </c>
      <c r="G336" s="4">
        <f t="shared" si="35"/>
        <v>0.52361111110803904</v>
      </c>
      <c r="H336" t="str">
        <f t="shared" si="31"/>
        <v>25 min</v>
      </c>
      <c r="I336" t="s">
        <v>2</v>
      </c>
      <c r="J336" t="s">
        <v>55</v>
      </c>
      <c r="K336" t="s">
        <v>79</v>
      </c>
      <c r="L336">
        <v>12.4</v>
      </c>
      <c r="M336" t="s">
        <v>7</v>
      </c>
      <c r="N336" t="str" cm="1">
        <f t="array" ref="N336">_xlfn.IFS(
    AND(HOUR(A336)&gt;=0, HOUR(A336)&lt;10), "Morning",
    AND(HOUR(A336)&gt;=10, HOUR(A336)&lt;15), "Afternoon",
    AND(HOUR(E336)&gt;=15, HOUR(E336)&lt;19), "Evening",
    AND(HOUR(E336)&gt;=19, HOUR(E336)&lt;=23), "Night"
)</f>
        <v>Afternoon</v>
      </c>
    </row>
    <row r="337" spans="1:14" x14ac:dyDescent="0.25">
      <c r="A337" s="3">
        <v>42488.5625</v>
      </c>
      <c r="B337" s="2">
        <f t="shared" si="32"/>
        <v>42488</v>
      </c>
      <c r="C337" t="str">
        <f t="shared" si="33"/>
        <v>April</v>
      </c>
      <c r="D337" t="str">
        <f t="shared" si="34"/>
        <v>Thursday</v>
      </c>
      <c r="E337" t="str">
        <f t="shared" si="30"/>
        <v>01:30:00 PM</v>
      </c>
      <c r="F337" s="3">
        <v>42488.575694444444</v>
      </c>
      <c r="G337" s="4">
        <f t="shared" si="35"/>
        <v>0.57569444444379769</v>
      </c>
      <c r="H337" t="str">
        <f t="shared" si="31"/>
        <v>19 min</v>
      </c>
      <c r="I337" t="s">
        <v>2</v>
      </c>
      <c r="J337" t="s">
        <v>79</v>
      </c>
      <c r="K337" t="s">
        <v>55</v>
      </c>
      <c r="L337">
        <v>32.799999999999997</v>
      </c>
      <c r="M337" t="s">
        <v>7</v>
      </c>
      <c r="N337" t="str" cm="1">
        <f t="array" ref="N337">_xlfn.IFS(
    AND(HOUR(A337)&gt;=0, HOUR(A337)&lt;10), "Morning",
    AND(HOUR(A337)&gt;=10, HOUR(A337)&lt;15), "Afternoon",
    AND(HOUR(E337)&gt;=15, HOUR(E337)&lt;19), "Evening",
    AND(HOUR(E337)&gt;=19, HOUR(E337)&lt;=23), "Night"
)</f>
        <v>Afternoon</v>
      </c>
    </row>
    <row r="338" spans="1:14" x14ac:dyDescent="0.25">
      <c r="A338" s="3">
        <v>42488.923611111109</v>
      </c>
      <c r="B338" s="2">
        <f t="shared" si="32"/>
        <v>42488</v>
      </c>
      <c r="C338" t="str">
        <f t="shared" si="33"/>
        <v>April</v>
      </c>
      <c r="D338" t="str">
        <f t="shared" si="34"/>
        <v>Thursday</v>
      </c>
      <c r="E338" t="str">
        <f t="shared" si="30"/>
        <v>10:10:00 PM</v>
      </c>
      <c r="F338" s="3">
        <v>42488.936111111114</v>
      </c>
      <c r="G338" s="4">
        <f t="shared" si="35"/>
        <v>0.93611111111385981</v>
      </c>
      <c r="H338" t="str">
        <f t="shared" si="31"/>
        <v>18 min</v>
      </c>
      <c r="I338" t="s">
        <v>2</v>
      </c>
      <c r="J338" t="s">
        <v>56</v>
      </c>
      <c r="K338" t="s">
        <v>55</v>
      </c>
      <c r="L338">
        <v>5.5</v>
      </c>
      <c r="M338" t="s">
        <v>7</v>
      </c>
      <c r="N338" t="str" cm="1">
        <f t="array" ref="N338">_xlfn.IFS(
    AND(HOUR(A338)&gt;=0, HOUR(A338)&lt;10), "Morning",
    AND(HOUR(A338)&gt;=10, HOUR(A338)&lt;15), "Afternoon",
    AND(HOUR(E338)&gt;=15, HOUR(E338)&lt;19), "Evening",
    AND(HOUR(E338)&gt;=19, HOUR(E338)&lt;=23), "Night"
)</f>
        <v>Night</v>
      </c>
    </row>
    <row r="339" spans="1:14" x14ac:dyDescent="0.25">
      <c r="A339" s="3">
        <v>42489.488888888889</v>
      </c>
      <c r="B339" s="2">
        <f t="shared" si="32"/>
        <v>42489</v>
      </c>
      <c r="C339" t="str">
        <f t="shared" si="33"/>
        <v>April</v>
      </c>
      <c r="D339" t="str">
        <f t="shared" si="34"/>
        <v>Friday</v>
      </c>
      <c r="E339" t="str">
        <f t="shared" si="30"/>
        <v>11:44:00 AM</v>
      </c>
      <c r="F339" s="3">
        <v>42489.500694444447</v>
      </c>
      <c r="G339" s="4">
        <f t="shared" si="35"/>
        <v>0.50069444444670808</v>
      </c>
      <c r="H339" t="str">
        <f t="shared" si="31"/>
        <v>17 min</v>
      </c>
      <c r="I339" t="s">
        <v>2</v>
      </c>
      <c r="J339" t="s">
        <v>55</v>
      </c>
      <c r="K339" t="s">
        <v>75</v>
      </c>
      <c r="L339">
        <v>9.9</v>
      </c>
      <c r="M339" t="s">
        <v>10</v>
      </c>
      <c r="N339" t="str" cm="1">
        <f t="array" ref="N339">_xlfn.IFS(
    AND(HOUR(A339)&gt;=0, HOUR(A339)&lt;10), "Morning",
    AND(HOUR(A339)&gt;=10, HOUR(A339)&lt;15), "Afternoon",
    AND(HOUR(E339)&gt;=15, HOUR(E339)&lt;19), "Evening",
    AND(HOUR(E339)&gt;=19, HOUR(E339)&lt;=23), "Night"
)</f>
        <v>Afternoon</v>
      </c>
    </row>
    <row r="340" spans="1:14" x14ac:dyDescent="0.25">
      <c r="A340" s="3">
        <v>42489.550694444442</v>
      </c>
      <c r="B340" s="2">
        <f t="shared" si="32"/>
        <v>42489</v>
      </c>
      <c r="C340" t="str">
        <f t="shared" si="33"/>
        <v>April</v>
      </c>
      <c r="D340" t="str">
        <f t="shared" si="34"/>
        <v>Friday</v>
      </c>
      <c r="E340" t="str">
        <f t="shared" si="30"/>
        <v>01:13:00 PM</v>
      </c>
      <c r="F340" s="3">
        <v>42489.56527777778</v>
      </c>
      <c r="G340" s="4">
        <f t="shared" si="35"/>
        <v>0.56527777777955635</v>
      </c>
      <c r="H340" t="str">
        <f t="shared" si="31"/>
        <v>21 min</v>
      </c>
      <c r="I340" t="s">
        <v>2</v>
      </c>
      <c r="J340" t="s">
        <v>75</v>
      </c>
      <c r="K340" t="s">
        <v>55</v>
      </c>
      <c r="L340">
        <v>10</v>
      </c>
      <c r="M340" t="s">
        <v>10</v>
      </c>
      <c r="N340" t="str" cm="1">
        <f t="array" ref="N340">_xlfn.IFS(
    AND(HOUR(A340)&gt;=0, HOUR(A340)&lt;10), "Morning",
    AND(HOUR(A340)&gt;=10, HOUR(A340)&lt;15), "Afternoon",
    AND(HOUR(E340)&gt;=15, HOUR(E340)&lt;19), "Evening",
    AND(HOUR(E340)&gt;=19, HOUR(E340)&lt;=23), "Night"
)</f>
        <v>Afternoon</v>
      </c>
    </row>
    <row r="341" spans="1:14" x14ac:dyDescent="0.25">
      <c r="A341" s="3">
        <v>42489.781944444447</v>
      </c>
      <c r="B341" s="2">
        <f t="shared" si="32"/>
        <v>42489</v>
      </c>
      <c r="C341" t="str">
        <f t="shared" si="33"/>
        <v>April</v>
      </c>
      <c r="D341" t="str">
        <f t="shared" si="34"/>
        <v>Friday</v>
      </c>
      <c r="E341" t="str">
        <f t="shared" si="30"/>
        <v>06:46:00 PM</v>
      </c>
      <c r="F341" s="3">
        <v>42489.804166666669</v>
      </c>
      <c r="G341" s="4">
        <f t="shared" si="35"/>
        <v>0.80416666666860692</v>
      </c>
      <c r="H341" t="str">
        <f t="shared" si="31"/>
        <v>32 min</v>
      </c>
      <c r="I341" t="s">
        <v>2</v>
      </c>
      <c r="J341" t="s">
        <v>55</v>
      </c>
      <c r="K341" t="s">
        <v>75</v>
      </c>
      <c r="L341">
        <v>14.2</v>
      </c>
      <c r="M341" t="s">
        <v>7</v>
      </c>
      <c r="N341" t="str" cm="1">
        <f t="array" ref="N341">_xlfn.IFS(
    AND(HOUR(A341)&gt;=0, HOUR(A341)&lt;10), "Morning",
    AND(HOUR(A341)&gt;=10, HOUR(A341)&lt;15), "Afternoon",
    AND(HOUR(E341)&gt;=15, HOUR(E341)&lt;19), "Evening",
    AND(HOUR(E341)&gt;=19, HOUR(E341)&lt;=23), "Night"
)</f>
        <v>Evening</v>
      </c>
    </row>
    <row r="342" spans="1:14" x14ac:dyDescent="0.25">
      <c r="A342" s="3">
        <v>42489.947222222225</v>
      </c>
      <c r="B342" s="2">
        <f t="shared" si="32"/>
        <v>42489</v>
      </c>
      <c r="C342" t="str">
        <f t="shared" si="33"/>
        <v>April</v>
      </c>
      <c r="D342" t="str">
        <f t="shared" si="34"/>
        <v>Friday</v>
      </c>
      <c r="E342" t="str">
        <f t="shared" si="30"/>
        <v>10:44:00 PM</v>
      </c>
      <c r="F342" s="3">
        <v>42489.97152777778</v>
      </c>
      <c r="G342" s="4">
        <f t="shared" si="35"/>
        <v>0.97152777777955635</v>
      </c>
      <c r="H342" t="str">
        <f t="shared" si="31"/>
        <v>35 min</v>
      </c>
      <c r="I342" t="s">
        <v>2</v>
      </c>
      <c r="J342" t="s">
        <v>75</v>
      </c>
      <c r="K342" t="s">
        <v>55</v>
      </c>
      <c r="L342">
        <v>18.2</v>
      </c>
      <c r="M342" t="s">
        <v>10</v>
      </c>
      <c r="N342" t="str" cm="1">
        <f t="array" ref="N342">_xlfn.IFS(
    AND(HOUR(A342)&gt;=0, HOUR(A342)&lt;10), "Morning",
    AND(HOUR(A342)&gt;=10, HOUR(A342)&lt;15), "Afternoon",
    AND(HOUR(E342)&gt;=15, HOUR(E342)&lt;19), "Evening",
    AND(HOUR(E342)&gt;=19, HOUR(E342)&lt;=23), "Night"
)</f>
        <v>Night</v>
      </c>
    </row>
    <row r="343" spans="1:14" x14ac:dyDescent="0.25">
      <c r="A343" s="3">
        <v>42490.779166666667</v>
      </c>
      <c r="B343" s="2">
        <f t="shared" si="32"/>
        <v>42490</v>
      </c>
      <c r="C343" t="str">
        <f t="shared" si="33"/>
        <v>April</v>
      </c>
      <c r="D343" t="str">
        <f t="shared" si="34"/>
        <v>Saturday</v>
      </c>
      <c r="E343" t="str">
        <f t="shared" si="30"/>
        <v>06:42:00 PM</v>
      </c>
      <c r="F343" s="3">
        <v>42490.789583333331</v>
      </c>
      <c r="G343" s="4">
        <f t="shared" si="35"/>
        <v>0.78958333333139308</v>
      </c>
      <c r="H343" t="str">
        <f t="shared" si="31"/>
        <v>15 min</v>
      </c>
      <c r="I343" t="s">
        <v>2</v>
      </c>
      <c r="J343" t="s">
        <v>77</v>
      </c>
      <c r="K343" t="s">
        <v>109</v>
      </c>
      <c r="L343">
        <v>7.7</v>
      </c>
      <c r="M343" t="s">
        <v>9</v>
      </c>
      <c r="N343" t="str" cm="1">
        <f t="array" ref="N343">_xlfn.IFS(
    AND(HOUR(A343)&gt;=0, HOUR(A343)&lt;10), "Morning",
    AND(HOUR(A343)&gt;=10, HOUR(A343)&lt;15), "Afternoon",
    AND(HOUR(E343)&gt;=15, HOUR(E343)&lt;19), "Evening",
    AND(HOUR(E343)&gt;=19, HOUR(E343)&lt;=23), "Night"
)</f>
        <v>Evening</v>
      </c>
    </row>
    <row r="344" spans="1:14" x14ac:dyDescent="0.25">
      <c r="A344" s="3">
        <v>42490.927777777775</v>
      </c>
      <c r="B344" s="2">
        <f t="shared" si="32"/>
        <v>42490</v>
      </c>
      <c r="C344" t="str">
        <f t="shared" si="33"/>
        <v>April</v>
      </c>
      <c r="D344" t="str">
        <f t="shared" si="34"/>
        <v>Saturday</v>
      </c>
      <c r="E344" t="str">
        <f t="shared" si="30"/>
        <v>10:16:00 PM</v>
      </c>
      <c r="F344" s="3">
        <v>42490.94027777778</v>
      </c>
      <c r="G344" s="4">
        <f t="shared" si="35"/>
        <v>0.94027777777955635</v>
      </c>
      <c r="H344" t="str">
        <f t="shared" si="31"/>
        <v>18 min</v>
      </c>
      <c r="I344" t="s">
        <v>2</v>
      </c>
      <c r="J344" t="s">
        <v>109</v>
      </c>
      <c r="K344" t="s">
        <v>77</v>
      </c>
      <c r="L344">
        <v>6.8</v>
      </c>
      <c r="M344" t="s">
        <v>52</v>
      </c>
      <c r="N344" t="str" cm="1">
        <f t="array" ref="N344">_xlfn.IFS(
    AND(HOUR(A344)&gt;=0, HOUR(A344)&lt;10), "Morning",
    AND(HOUR(A344)&gt;=10, HOUR(A344)&lt;15), "Afternoon",
    AND(HOUR(E344)&gt;=15, HOUR(E344)&lt;19), "Evening",
    AND(HOUR(E344)&gt;=19, HOUR(E344)&lt;=23), "Night"
)</f>
        <v>Night</v>
      </c>
    </row>
    <row r="345" spans="1:14" x14ac:dyDescent="0.25">
      <c r="A345" s="3">
        <v>42491.572916666664</v>
      </c>
      <c r="B345" s="2">
        <f t="shared" si="32"/>
        <v>42491</v>
      </c>
      <c r="C345" t="str">
        <f t="shared" si="33"/>
        <v>May</v>
      </c>
      <c r="D345" t="str">
        <f t="shared" si="34"/>
        <v>Sunday</v>
      </c>
      <c r="E345" t="str">
        <f t="shared" si="30"/>
        <v>01:45:00 PM</v>
      </c>
      <c r="F345" s="3">
        <v>42491.578472222223</v>
      </c>
      <c r="G345" s="4">
        <f t="shared" si="35"/>
        <v>0.57847222222335404</v>
      </c>
      <c r="H345" t="str">
        <f t="shared" si="31"/>
        <v>8 min</v>
      </c>
      <c r="I345" t="s">
        <v>2</v>
      </c>
      <c r="J345" t="s">
        <v>77</v>
      </c>
      <c r="K345" t="s">
        <v>83</v>
      </c>
      <c r="L345">
        <v>2.1</v>
      </c>
      <c r="M345" t="s">
        <v>9</v>
      </c>
      <c r="N345" t="str" cm="1">
        <f t="array" ref="N345">_xlfn.IFS(
    AND(HOUR(A345)&gt;=0, HOUR(A345)&lt;10), "Morning",
    AND(HOUR(A345)&gt;=10, HOUR(A345)&lt;15), "Afternoon",
    AND(HOUR(E345)&gt;=15, HOUR(E345)&lt;19), "Evening",
    AND(HOUR(E345)&gt;=19, HOUR(E345)&lt;=23), "Night"
)</f>
        <v>Afternoon</v>
      </c>
    </row>
    <row r="346" spans="1:14" x14ac:dyDescent="0.25">
      <c r="A346" s="3">
        <v>42491.601388888892</v>
      </c>
      <c r="B346" s="2">
        <f t="shared" si="32"/>
        <v>42491</v>
      </c>
      <c r="C346" t="str">
        <f t="shared" si="33"/>
        <v>May</v>
      </c>
      <c r="D346" t="str">
        <f t="shared" si="34"/>
        <v>Sunday</v>
      </c>
      <c r="E346" t="str">
        <f t="shared" si="30"/>
        <v>02:26:00 PM</v>
      </c>
      <c r="F346" s="3">
        <v>42491.604861111111</v>
      </c>
      <c r="G346" s="4">
        <f t="shared" si="35"/>
        <v>0.60486111111094942</v>
      </c>
      <c r="H346" t="str">
        <f t="shared" si="31"/>
        <v>5 min</v>
      </c>
      <c r="I346" t="s">
        <v>2</v>
      </c>
      <c r="J346" t="s">
        <v>83</v>
      </c>
      <c r="K346" t="s">
        <v>77</v>
      </c>
      <c r="L346">
        <v>2.2999999999999998</v>
      </c>
      <c r="M346" t="s">
        <v>52</v>
      </c>
      <c r="N346" t="str" cm="1">
        <f t="array" ref="N346">_xlfn.IFS(
    AND(HOUR(A346)&gt;=0, HOUR(A346)&lt;10), "Morning",
    AND(HOUR(A346)&gt;=10, HOUR(A346)&lt;15), "Afternoon",
    AND(HOUR(E346)&gt;=15, HOUR(E346)&lt;19), "Evening",
    AND(HOUR(E346)&gt;=19, HOUR(E346)&lt;=23), "Night"
)</f>
        <v>Afternoon</v>
      </c>
    </row>
    <row r="347" spans="1:14" x14ac:dyDescent="0.25">
      <c r="A347" s="3">
        <v>42491.731249999997</v>
      </c>
      <c r="B347" s="2">
        <f t="shared" si="32"/>
        <v>42491</v>
      </c>
      <c r="C347" t="str">
        <f t="shared" si="33"/>
        <v>May</v>
      </c>
      <c r="D347" t="str">
        <f t="shared" si="34"/>
        <v>Sunday</v>
      </c>
      <c r="E347" t="str">
        <f t="shared" si="30"/>
        <v>05:33:00 PM</v>
      </c>
      <c r="F347" s="3">
        <v>42491.739583333336</v>
      </c>
      <c r="G347" s="4">
        <f t="shared" si="35"/>
        <v>0.73958333333575865</v>
      </c>
      <c r="H347" t="str">
        <f t="shared" si="31"/>
        <v>12 min</v>
      </c>
      <c r="I347" t="s">
        <v>2</v>
      </c>
      <c r="J347" t="s">
        <v>77</v>
      </c>
      <c r="K347" t="s">
        <v>93</v>
      </c>
      <c r="L347">
        <v>6.2</v>
      </c>
      <c r="M347" t="s">
        <v>6</v>
      </c>
      <c r="N347" t="str" cm="1">
        <f t="array" ref="N347">_xlfn.IFS(
    AND(HOUR(A347)&gt;=0, HOUR(A347)&lt;10), "Morning",
    AND(HOUR(A347)&gt;=10, HOUR(A347)&lt;15), "Afternoon",
    AND(HOUR(E347)&gt;=15, HOUR(E347)&lt;19), "Evening",
    AND(HOUR(E347)&gt;=19, HOUR(E347)&lt;=23), "Night"
)</f>
        <v>Evening</v>
      </c>
    </row>
    <row r="348" spans="1:14" x14ac:dyDescent="0.25">
      <c r="A348" s="3">
        <v>42491.745833333334</v>
      </c>
      <c r="B348" s="2">
        <f t="shared" si="32"/>
        <v>42491</v>
      </c>
      <c r="C348" t="str">
        <f t="shared" si="33"/>
        <v>May</v>
      </c>
      <c r="D348" t="str">
        <f t="shared" si="34"/>
        <v>Sunday</v>
      </c>
      <c r="E348" t="str">
        <f t="shared" si="30"/>
        <v>05:54:00 PM</v>
      </c>
      <c r="F348" s="3">
        <v>42491.756944444445</v>
      </c>
      <c r="G348" s="4">
        <f t="shared" si="35"/>
        <v>0.75694444444525288</v>
      </c>
      <c r="H348" t="str">
        <f t="shared" si="31"/>
        <v>16 min</v>
      </c>
      <c r="I348" t="s">
        <v>2</v>
      </c>
      <c r="J348" t="s">
        <v>93</v>
      </c>
      <c r="K348" t="s">
        <v>153</v>
      </c>
      <c r="L348">
        <v>7.5</v>
      </c>
      <c r="M348" t="s">
        <v>10</v>
      </c>
      <c r="N348" t="str" cm="1">
        <f t="array" ref="N348">_xlfn.IFS(
    AND(HOUR(A348)&gt;=0, HOUR(A348)&lt;10), "Morning",
    AND(HOUR(A348)&gt;=10, HOUR(A348)&lt;15), "Afternoon",
    AND(HOUR(E348)&gt;=15, HOUR(E348)&lt;19), "Evening",
    AND(HOUR(E348)&gt;=19, HOUR(E348)&lt;=23), "Night"
)</f>
        <v>Evening</v>
      </c>
    </row>
    <row r="349" spans="1:14" x14ac:dyDescent="0.25">
      <c r="A349" s="3">
        <v>42491.943055555559</v>
      </c>
      <c r="B349" s="2">
        <f t="shared" si="32"/>
        <v>42491</v>
      </c>
      <c r="C349" t="str">
        <f t="shared" si="33"/>
        <v>May</v>
      </c>
      <c r="D349" t="str">
        <f t="shared" si="34"/>
        <v>Sunday</v>
      </c>
      <c r="E349" t="str">
        <f t="shared" si="30"/>
        <v>10:38:00 PM</v>
      </c>
      <c r="F349" s="3">
        <v>42491.950694444444</v>
      </c>
      <c r="G349" s="4">
        <f t="shared" si="35"/>
        <v>0.95069444444379769</v>
      </c>
      <c r="H349" t="str">
        <f t="shared" si="31"/>
        <v>11 min</v>
      </c>
      <c r="I349" t="s">
        <v>2</v>
      </c>
      <c r="J349" t="s">
        <v>153</v>
      </c>
      <c r="K349" t="s">
        <v>77</v>
      </c>
      <c r="L349">
        <v>3.1</v>
      </c>
      <c r="M349" t="s">
        <v>8</v>
      </c>
      <c r="N349" t="str" cm="1">
        <f t="array" ref="N349">_xlfn.IFS(
    AND(HOUR(A349)&gt;=0, HOUR(A349)&lt;10), "Morning",
    AND(HOUR(A349)&gt;=10, HOUR(A349)&lt;15), "Afternoon",
    AND(HOUR(E349)&gt;=15, HOUR(E349)&lt;19), "Evening",
    AND(HOUR(E349)&gt;=19, HOUR(E349)&lt;=23), "Night"
)</f>
        <v>Night</v>
      </c>
    </row>
    <row r="350" spans="1:14" x14ac:dyDescent="0.25">
      <c r="A350" s="3">
        <v>42492.593055555553</v>
      </c>
      <c r="B350" s="2">
        <f t="shared" si="32"/>
        <v>42492</v>
      </c>
      <c r="C350" t="str">
        <f t="shared" si="33"/>
        <v>May</v>
      </c>
      <c r="D350" t="str">
        <f t="shared" si="34"/>
        <v>Monday</v>
      </c>
      <c r="E350" t="str">
        <f t="shared" si="30"/>
        <v>02:14:00 PM</v>
      </c>
      <c r="F350" s="3">
        <v>42492.597916666666</v>
      </c>
      <c r="G350" s="4">
        <f t="shared" si="35"/>
        <v>0.59791666666569654</v>
      </c>
      <c r="H350" t="str">
        <f t="shared" si="31"/>
        <v>7 min</v>
      </c>
      <c r="I350" t="s">
        <v>2</v>
      </c>
      <c r="J350" t="s">
        <v>77</v>
      </c>
      <c r="K350" t="s">
        <v>83</v>
      </c>
      <c r="L350">
        <v>2.2000000000000002</v>
      </c>
      <c r="M350" t="s">
        <v>8</v>
      </c>
      <c r="N350" t="str" cm="1">
        <f t="array" ref="N350">_xlfn.IFS(
    AND(HOUR(A350)&gt;=0, HOUR(A350)&lt;10), "Morning",
    AND(HOUR(A350)&gt;=10, HOUR(A350)&lt;15), "Afternoon",
    AND(HOUR(E350)&gt;=15, HOUR(E350)&lt;19), "Evening",
    AND(HOUR(E350)&gt;=19, HOUR(E350)&lt;=23), "Night"
)</f>
        <v>Afternoon</v>
      </c>
    </row>
    <row r="351" spans="1:14" x14ac:dyDescent="0.25">
      <c r="A351" s="3">
        <v>42492.650694444441</v>
      </c>
      <c r="B351" s="2">
        <f t="shared" si="32"/>
        <v>42492</v>
      </c>
      <c r="C351" t="str">
        <f t="shared" si="33"/>
        <v>May</v>
      </c>
      <c r="D351" t="str">
        <f t="shared" si="34"/>
        <v>Monday</v>
      </c>
      <c r="E351" t="str">
        <f t="shared" si="30"/>
        <v>03:37:00 PM</v>
      </c>
      <c r="F351" s="3">
        <v>42492.658333333333</v>
      </c>
      <c r="G351" s="4">
        <f t="shared" si="35"/>
        <v>0.65833333333284827</v>
      </c>
      <c r="H351" t="str">
        <f t="shared" si="31"/>
        <v>11 min</v>
      </c>
      <c r="I351" t="s">
        <v>2</v>
      </c>
      <c r="J351" t="s">
        <v>83</v>
      </c>
      <c r="K351" t="s">
        <v>77</v>
      </c>
      <c r="L351">
        <v>3.9</v>
      </c>
      <c r="M351" t="s">
        <v>9</v>
      </c>
      <c r="N351" t="str" cm="1">
        <f t="array" ref="N351">_xlfn.IFS(
    AND(HOUR(A351)&gt;=0, HOUR(A351)&lt;10), "Morning",
    AND(HOUR(A351)&gt;=10, HOUR(A351)&lt;15), "Afternoon",
    AND(HOUR(E351)&gt;=15, HOUR(E351)&lt;19), "Evening",
    AND(HOUR(E351)&gt;=19, HOUR(E351)&lt;=23), "Night"
)</f>
        <v>Evening</v>
      </c>
    </row>
    <row r="352" spans="1:14" x14ac:dyDescent="0.25">
      <c r="A352" s="3">
        <v>42493.930555555555</v>
      </c>
      <c r="B352" s="2">
        <f t="shared" si="32"/>
        <v>42493</v>
      </c>
      <c r="C352" t="str">
        <f t="shared" si="33"/>
        <v>May</v>
      </c>
      <c r="D352" t="str">
        <f t="shared" si="34"/>
        <v>Tuesday</v>
      </c>
      <c r="E352" t="str">
        <f t="shared" si="30"/>
        <v>10:20:00 PM</v>
      </c>
      <c r="F352" s="3">
        <v>42493.936111111114</v>
      </c>
      <c r="G352" s="4">
        <f t="shared" si="35"/>
        <v>0.93611111111385981</v>
      </c>
      <c r="H352" t="str">
        <f t="shared" si="31"/>
        <v>8 min</v>
      </c>
      <c r="I352" t="s">
        <v>2</v>
      </c>
      <c r="J352" t="s">
        <v>56</v>
      </c>
      <c r="K352" t="s">
        <v>55</v>
      </c>
      <c r="L352">
        <v>2.5</v>
      </c>
      <c r="M352" t="s">
        <v>9</v>
      </c>
      <c r="N352" t="str" cm="1">
        <f t="array" ref="N352">_xlfn.IFS(
    AND(HOUR(A352)&gt;=0, HOUR(A352)&lt;10), "Morning",
    AND(HOUR(A352)&gt;=10, HOUR(A352)&lt;15), "Afternoon",
    AND(HOUR(E352)&gt;=15, HOUR(E352)&lt;19), "Evening",
    AND(HOUR(E352)&gt;=19, HOUR(E352)&lt;=23), "Night"
)</f>
        <v>Night</v>
      </c>
    </row>
    <row r="353" spans="1:14" x14ac:dyDescent="0.25">
      <c r="A353" s="3">
        <v>42494.636111111111</v>
      </c>
      <c r="B353" s="2">
        <f t="shared" si="32"/>
        <v>42494</v>
      </c>
      <c r="C353" t="str">
        <f t="shared" si="33"/>
        <v>May</v>
      </c>
      <c r="D353" t="str">
        <f t="shared" si="34"/>
        <v>Wednesday</v>
      </c>
      <c r="E353" t="str">
        <f t="shared" si="30"/>
        <v>03:16:00 PM</v>
      </c>
      <c r="F353" s="3">
        <v>42494.650694444441</v>
      </c>
      <c r="G353" s="4">
        <f t="shared" si="35"/>
        <v>0.65069444444088731</v>
      </c>
      <c r="H353" t="str">
        <f t="shared" si="31"/>
        <v>21 min</v>
      </c>
      <c r="I353" t="s">
        <v>2</v>
      </c>
      <c r="J353" t="s">
        <v>55</v>
      </c>
      <c r="K353" t="s">
        <v>56</v>
      </c>
      <c r="L353">
        <v>8.6999999999999993</v>
      </c>
      <c r="M353" t="s">
        <v>9</v>
      </c>
      <c r="N353" t="str" cm="1">
        <f t="array" ref="N353">_xlfn.IFS(
    AND(HOUR(A353)&gt;=0, HOUR(A353)&lt;10), "Morning",
    AND(HOUR(A353)&gt;=10, HOUR(A353)&lt;15), "Afternoon",
    AND(HOUR(E353)&gt;=15, HOUR(E353)&lt;19), "Evening",
    AND(HOUR(E353)&gt;=19, HOUR(E353)&lt;=23), "Night"
)</f>
        <v>Evening</v>
      </c>
    </row>
    <row r="354" spans="1:14" x14ac:dyDescent="0.25">
      <c r="A354" s="3">
        <v>42494.871527777781</v>
      </c>
      <c r="B354" s="2">
        <f t="shared" si="32"/>
        <v>42494</v>
      </c>
      <c r="C354" t="str">
        <f t="shared" si="33"/>
        <v>May</v>
      </c>
      <c r="D354" t="str">
        <f t="shared" si="34"/>
        <v>Wednesday</v>
      </c>
      <c r="E354" t="str">
        <f t="shared" si="30"/>
        <v>08:55:00 PM</v>
      </c>
      <c r="F354" s="3">
        <v>42494.884722222225</v>
      </c>
      <c r="G354" s="4">
        <f t="shared" si="35"/>
        <v>0.88472222222480923</v>
      </c>
      <c r="H354" t="str">
        <f t="shared" si="31"/>
        <v>19 min</v>
      </c>
      <c r="I354" t="s">
        <v>2</v>
      </c>
      <c r="J354" t="s">
        <v>154</v>
      </c>
      <c r="K354" t="s">
        <v>155</v>
      </c>
      <c r="L354">
        <v>14.5</v>
      </c>
      <c r="M354" t="s">
        <v>8</v>
      </c>
      <c r="N354" t="str" cm="1">
        <f t="array" ref="N354">_xlfn.IFS(
    AND(HOUR(A354)&gt;=0, HOUR(A354)&lt;10), "Morning",
    AND(HOUR(A354)&gt;=10, HOUR(A354)&lt;15), "Afternoon",
    AND(HOUR(E354)&gt;=15, HOUR(E354)&lt;19), "Evening",
    AND(HOUR(E354)&gt;=19, HOUR(E354)&lt;=23), "Night"
)</f>
        <v>Night</v>
      </c>
    </row>
    <row r="355" spans="1:14" x14ac:dyDescent="0.25">
      <c r="A355" s="3">
        <v>42494.895833333336</v>
      </c>
      <c r="B355" s="2">
        <f t="shared" si="32"/>
        <v>42494</v>
      </c>
      <c r="C355" t="str">
        <f t="shared" si="33"/>
        <v>May</v>
      </c>
      <c r="D355" t="str">
        <f t="shared" si="34"/>
        <v>Wednesday</v>
      </c>
      <c r="E355" t="str">
        <f t="shared" si="30"/>
        <v>09:30:00 PM</v>
      </c>
      <c r="F355" s="3">
        <v>42494.9</v>
      </c>
      <c r="G355" s="4">
        <f t="shared" si="35"/>
        <v>0.90000000000145519</v>
      </c>
      <c r="H355" t="str">
        <f t="shared" si="31"/>
        <v>6 min</v>
      </c>
      <c r="I355" t="s">
        <v>2</v>
      </c>
      <c r="J355" t="s">
        <v>155</v>
      </c>
      <c r="K355" t="s">
        <v>156</v>
      </c>
      <c r="L355">
        <v>4.5</v>
      </c>
      <c r="M355" t="s">
        <v>9</v>
      </c>
      <c r="N355" t="str" cm="1">
        <f t="array" ref="N355">_xlfn.IFS(
    AND(HOUR(A355)&gt;=0, HOUR(A355)&lt;10), "Morning",
    AND(HOUR(A355)&gt;=10, HOUR(A355)&lt;15), "Afternoon",
    AND(HOUR(E355)&gt;=15, HOUR(E355)&lt;19), "Evening",
    AND(HOUR(E355)&gt;=19, HOUR(E355)&lt;=23), "Night"
)</f>
        <v>Night</v>
      </c>
    </row>
    <row r="356" spans="1:14" x14ac:dyDescent="0.25">
      <c r="A356" s="3">
        <v>42494.929861111108</v>
      </c>
      <c r="B356" s="2">
        <f t="shared" si="32"/>
        <v>42494</v>
      </c>
      <c r="C356" t="str">
        <f t="shared" si="33"/>
        <v>May</v>
      </c>
      <c r="D356" t="str">
        <f t="shared" si="34"/>
        <v>Wednesday</v>
      </c>
      <c r="E356" t="str">
        <f t="shared" si="30"/>
        <v>10:19:00 PM</v>
      </c>
      <c r="F356" s="3">
        <v>42494.935416666667</v>
      </c>
      <c r="G356" s="4">
        <f t="shared" si="35"/>
        <v>0.93541666666715173</v>
      </c>
      <c r="H356" t="str">
        <f t="shared" si="31"/>
        <v>8 min</v>
      </c>
      <c r="I356" t="s">
        <v>2</v>
      </c>
      <c r="J356" t="s">
        <v>156</v>
      </c>
      <c r="K356" t="s">
        <v>155</v>
      </c>
      <c r="L356">
        <v>5</v>
      </c>
      <c r="M356" t="s">
        <v>9</v>
      </c>
      <c r="N356" t="str" cm="1">
        <f t="array" ref="N356">_xlfn.IFS(
    AND(HOUR(A356)&gt;=0, HOUR(A356)&lt;10), "Morning",
    AND(HOUR(A356)&gt;=10, HOUR(A356)&lt;15), "Afternoon",
    AND(HOUR(E356)&gt;=15, HOUR(E356)&lt;19), "Evening",
    AND(HOUR(E356)&gt;=19, HOUR(E356)&lt;=23), "Night"
)</f>
        <v>Night</v>
      </c>
    </row>
    <row r="357" spans="1:14" x14ac:dyDescent="0.25">
      <c r="A357" s="3">
        <v>42495.89166666667</v>
      </c>
      <c r="B357" s="2">
        <f t="shared" si="32"/>
        <v>42495</v>
      </c>
      <c r="C357" t="str">
        <f t="shared" si="33"/>
        <v>May</v>
      </c>
      <c r="D357" t="str">
        <f t="shared" si="34"/>
        <v>Thursday</v>
      </c>
      <c r="E357" t="str">
        <f t="shared" si="30"/>
        <v>09:24:00 PM</v>
      </c>
      <c r="F357" s="3">
        <v>42495.9</v>
      </c>
      <c r="G357" s="4">
        <f t="shared" si="35"/>
        <v>0.90000000000145519</v>
      </c>
      <c r="H357" t="str">
        <f t="shared" si="31"/>
        <v>12 min</v>
      </c>
      <c r="I357" t="s">
        <v>2</v>
      </c>
      <c r="J357" t="s">
        <v>157</v>
      </c>
      <c r="K357" t="s">
        <v>158</v>
      </c>
      <c r="L357">
        <v>14.2</v>
      </c>
      <c r="M357" t="s">
        <v>9</v>
      </c>
      <c r="N357" t="str" cm="1">
        <f t="array" ref="N357">_xlfn.IFS(
    AND(HOUR(A357)&gt;=0, HOUR(A357)&lt;10), "Morning",
    AND(HOUR(A357)&gt;=10, HOUR(A357)&lt;15), "Afternoon",
    AND(HOUR(E357)&gt;=15, HOUR(E357)&lt;19), "Evening",
    AND(HOUR(E357)&gt;=19, HOUR(E357)&lt;=23), "Night"
)</f>
        <v>Night</v>
      </c>
    </row>
    <row r="358" spans="1:14" x14ac:dyDescent="0.25">
      <c r="A358" s="3">
        <v>42495.94027777778</v>
      </c>
      <c r="B358" s="2">
        <f t="shared" si="32"/>
        <v>42495</v>
      </c>
      <c r="C358" t="str">
        <f t="shared" si="33"/>
        <v>May</v>
      </c>
      <c r="D358" t="str">
        <f t="shared" si="34"/>
        <v>Thursday</v>
      </c>
      <c r="E358" t="str">
        <f t="shared" si="30"/>
        <v>10:34:00 PM</v>
      </c>
      <c r="F358" s="3">
        <v>42495.944444444445</v>
      </c>
      <c r="G358" s="4">
        <f t="shared" si="35"/>
        <v>0.94444444444525288</v>
      </c>
      <c r="H358" t="str">
        <f t="shared" si="31"/>
        <v>6 min</v>
      </c>
      <c r="I358" t="s">
        <v>2</v>
      </c>
      <c r="J358" t="s">
        <v>158</v>
      </c>
      <c r="K358" t="s">
        <v>159</v>
      </c>
      <c r="L358">
        <v>2.9</v>
      </c>
      <c r="M358" t="s">
        <v>8</v>
      </c>
      <c r="N358" t="str" cm="1">
        <f t="array" ref="N358">_xlfn.IFS(
    AND(HOUR(A358)&gt;=0, HOUR(A358)&lt;10), "Morning",
    AND(HOUR(A358)&gt;=10, HOUR(A358)&lt;15), "Afternoon",
    AND(HOUR(E358)&gt;=15, HOUR(E358)&lt;19), "Evening",
    AND(HOUR(E358)&gt;=19, HOUR(E358)&lt;=23), "Night"
)</f>
        <v>Night</v>
      </c>
    </row>
    <row r="359" spans="1:14" x14ac:dyDescent="0.25">
      <c r="A359" s="3">
        <v>42495.996527777781</v>
      </c>
      <c r="B359" s="2">
        <f t="shared" si="32"/>
        <v>42495</v>
      </c>
      <c r="C359" t="str">
        <f t="shared" si="33"/>
        <v>May</v>
      </c>
      <c r="D359" t="str">
        <f t="shared" si="34"/>
        <v>Thursday</v>
      </c>
      <c r="E359" t="str">
        <f t="shared" si="30"/>
        <v>11:55:00 PM</v>
      </c>
      <c r="F359" s="3">
        <v>42496.005555555559</v>
      </c>
      <c r="G359" s="4">
        <f t="shared" si="35"/>
        <v>5.5555555591126904E-3</v>
      </c>
      <c r="H359" t="str">
        <f t="shared" si="31"/>
        <v>13 min</v>
      </c>
      <c r="I359" t="s">
        <v>2</v>
      </c>
      <c r="J359" t="s">
        <v>159</v>
      </c>
      <c r="K359" t="s">
        <v>157</v>
      </c>
      <c r="L359">
        <v>12.9</v>
      </c>
      <c r="M359" t="s">
        <v>10</v>
      </c>
      <c r="N359" t="str" cm="1">
        <f t="array" ref="N359">_xlfn.IFS(
    AND(HOUR(A359)&gt;=0, HOUR(A359)&lt;10), "Morning",
    AND(HOUR(A359)&gt;=10, HOUR(A359)&lt;15), "Afternoon",
    AND(HOUR(E359)&gt;=15, HOUR(E359)&lt;19), "Evening",
    AND(HOUR(E359)&gt;=19, HOUR(E359)&lt;=23), "Night"
)</f>
        <v>Night</v>
      </c>
    </row>
    <row r="360" spans="1:14" x14ac:dyDescent="0.25">
      <c r="A360" s="3">
        <v>42496.240972222222</v>
      </c>
      <c r="B360" s="2">
        <f t="shared" si="32"/>
        <v>42496</v>
      </c>
      <c r="C360" t="str">
        <f t="shared" si="33"/>
        <v>May</v>
      </c>
      <c r="D360" t="str">
        <f t="shared" si="34"/>
        <v>Friday</v>
      </c>
      <c r="E360" t="str">
        <f t="shared" si="30"/>
        <v>05:47:00 AM</v>
      </c>
      <c r="F360" s="3">
        <v>42496.251388888886</v>
      </c>
      <c r="G360" s="4">
        <f t="shared" si="35"/>
        <v>0.25138888888614019</v>
      </c>
      <c r="H360" t="str">
        <f t="shared" si="31"/>
        <v>15 min</v>
      </c>
      <c r="I360" t="s">
        <v>2</v>
      </c>
      <c r="J360" t="s">
        <v>155</v>
      </c>
      <c r="K360" t="s">
        <v>154</v>
      </c>
      <c r="L360">
        <v>14.4</v>
      </c>
      <c r="M360" t="s">
        <v>10</v>
      </c>
      <c r="N360" t="str" cm="1">
        <f t="array" ref="N360">_xlfn.IFS(
    AND(HOUR(A360)&gt;=0, HOUR(A360)&lt;10), "Morning",
    AND(HOUR(A360)&gt;=10, HOUR(A360)&lt;15), "Afternoon",
    AND(HOUR(E360)&gt;=15, HOUR(E360)&lt;19), "Evening",
    AND(HOUR(E360)&gt;=19, HOUR(E360)&lt;=23), "Night"
)</f>
        <v>Morning</v>
      </c>
    </row>
    <row r="361" spans="1:14" x14ac:dyDescent="0.25">
      <c r="A361" s="3">
        <v>42496.697916666664</v>
      </c>
      <c r="B361" s="2">
        <f t="shared" si="32"/>
        <v>42496</v>
      </c>
      <c r="C361" t="str">
        <f t="shared" si="33"/>
        <v>May</v>
      </c>
      <c r="D361" t="str">
        <f t="shared" si="34"/>
        <v>Friday</v>
      </c>
      <c r="E361" t="str">
        <f t="shared" si="30"/>
        <v>04:45:00 PM</v>
      </c>
      <c r="F361" s="3">
        <v>42496.707638888889</v>
      </c>
      <c r="G361" s="4">
        <f t="shared" si="35"/>
        <v>0.70763888888905058</v>
      </c>
      <c r="H361" t="str">
        <f t="shared" si="31"/>
        <v>14 min</v>
      </c>
      <c r="I361" t="s">
        <v>2</v>
      </c>
      <c r="J361" t="s">
        <v>88</v>
      </c>
      <c r="K361" t="s">
        <v>56</v>
      </c>
      <c r="L361">
        <v>17</v>
      </c>
      <c r="M361" t="s">
        <v>10</v>
      </c>
      <c r="N361" t="str" cm="1">
        <f t="array" ref="N361">_xlfn.IFS(
    AND(HOUR(A361)&gt;=0, HOUR(A361)&lt;10), "Morning",
    AND(HOUR(A361)&gt;=10, HOUR(A361)&lt;15), "Afternoon",
    AND(HOUR(E361)&gt;=15, HOUR(E361)&lt;19), "Evening",
    AND(HOUR(E361)&gt;=19, HOUR(E361)&lt;=23), "Night"
)</f>
        <v>Evening</v>
      </c>
    </row>
    <row r="362" spans="1:14" x14ac:dyDescent="0.25">
      <c r="A362" s="3">
        <v>42496.720833333333</v>
      </c>
      <c r="B362" s="2">
        <f t="shared" si="32"/>
        <v>42496</v>
      </c>
      <c r="C362" t="str">
        <f t="shared" si="33"/>
        <v>May</v>
      </c>
      <c r="D362" t="str">
        <f t="shared" si="34"/>
        <v>Friday</v>
      </c>
      <c r="E362" t="str">
        <f t="shared" si="30"/>
        <v>05:18:00 PM</v>
      </c>
      <c r="F362" s="3">
        <v>42496.738888888889</v>
      </c>
      <c r="G362" s="4">
        <f t="shared" si="35"/>
        <v>0.73888888888905058</v>
      </c>
      <c r="H362" t="str">
        <f t="shared" si="31"/>
        <v>26 min</v>
      </c>
      <c r="I362" t="s">
        <v>2</v>
      </c>
      <c r="J362" t="s">
        <v>56</v>
      </c>
      <c r="K362" t="s">
        <v>55</v>
      </c>
      <c r="L362">
        <v>7.9</v>
      </c>
      <c r="M362" t="s">
        <v>7</v>
      </c>
      <c r="N362" t="str" cm="1">
        <f t="array" ref="N362">_xlfn.IFS(
    AND(HOUR(A362)&gt;=0, HOUR(A362)&lt;10), "Morning",
    AND(HOUR(A362)&gt;=10, HOUR(A362)&lt;15), "Afternoon",
    AND(HOUR(E362)&gt;=15, HOUR(E362)&lt;19), "Evening",
    AND(HOUR(E362)&gt;=19, HOUR(E362)&lt;=23), "Night"
)</f>
        <v>Evening</v>
      </c>
    </row>
    <row r="363" spans="1:14" x14ac:dyDescent="0.25">
      <c r="A363" s="3">
        <v>42499.255555555559</v>
      </c>
      <c r="B363" s="2">
        <f t="shared" si="32"/>
        <v>42499</v>
      </c>
      <c r="C363" t="str">
        <f t="shared" si="33"/>
        <v>May</v>
      </c>
      <c r="D363" t="str">
        <f t="shared" si="34"/>
        <v>Monday</v>
      </c>
      <c r="E363" t="str">
        <f t="shared" si="30"/>
        <v>06:08:00 AM</v>
      </c>
      <c r="F363" s="3">
        <v>42499.267361111109</v>
      </c>
      <c r="G363" s="4">
        <f t="shared" si="35"/>
        <v>0.26736111110949423</v>
      </c>
      <c r="H363" t="str">
        <f t="shared" si="31"/>
        <v>17 min</v>
      </c>
      <c r="I363" t="s">
        <v>2</v>
      </c>
      <c r="J363" t="s">
        <v>55</v>
      </c>
      <c r="K363" t="s">
        <v>56</v>
      </c>
      <c r="L363">
        <v>8.4</v>
      </c>
      <c r="M363" t="s">
        <v>7</v>
      </c>
      <c r="N363" t="str" cm="1">
        <f t="array" ref="N363">_xlfn.IFS(
    AND(HOUR(A363)&gt;=0, HOUR(A363)&lt;10), "Morning",
    AND(HOUR(A363)&gt;=10, HOUR(A363)&lt;15), "Afternoon",
    AND(HOUR(E363)&gt;=15, HOUR(E363)&lt;19), "Evening",
    AND(HOUR(E363)&gt;=19, HOUR(E363)&lt;=23), "Night"
)</f>
        <v>Morning</v>
      </c>
    </row>
    <row r="364" spans="1:14" x14ac:dyDescent="0.25">
      <c r="A364" s="3">
        <v>42499.61041666667</v>
      </c>
      <c r="B364" s="2">
        <f t="shared" si="32"/>
        <v>42499</v>
      </c>
      <c r="C364" t="str">
        <f t="shared" si="33"/>
        <v>May</v>
      </c>
      <c r="D364" t="str">
        <f t="shared" si="34"/>
        <v>Monday</v>
      </c>
      <c r="E364" t="str">
        <f t="shared" si="30"/>
        <v>02:39:00 PM</v>
      </c>
      <c r="F364" s="3">
        <v>42499.629166666666</v>
      </c>
      <c r="G364" s="4">
        <f t="shared" si="35"/>
        <v>0.62916666666569654</v>
      </c>
      <c r="H364" t="str">
        <f t="shared" si="31"/>
        <v>27 min</v>
      </c>
      <c r="I364" t="s">
        <v>2</v>
      </c>
      <c r="J364" t="s">
        <v>160</v>
      </c>
      <c r="K364" t="s">
        <v>161</v>
      </c>
      <c r="L364">
        <v>20.5</v>
      </c>
      <c r="M364" t="s">
        <v>6</v>
      </c>
      <c r="N364" t="str" cm="1">
        <f t="array" ref="N364">_xlfn.IFS(
    AND(HOUR(A364)&gt;=0, HOUR(A364)&lt;10), "Morning",
    AND(HOUR(A364)&gt;=10, HOUR(A364)&lt;15), "Afternoon",
    AND(HOUR(E364)&gt;=15, HOUR(E364)&lt;19), "Evening",
    AND(HOUR(E364)&gt;=19, HOUR(E364)&lt;=23), "Night"
)</f>
        <v>Afternoon</v>
      </c>
    </row>
    <row r="365" spans="1:14" x14ac:dyDescent="0.25">
      <c r="A365" s="3">
        <v>42499.748611111114</v>
      </c>
      <c r="B365" s="2">
        <f t="shared" si="32"/>
        <v>42499</v>
      </c>
      <c r="C365" t="str">
        <f t="shared" si="33"/>
        <v>May</v>
      </c>
      <c r="D365" t="str">
        <f t="shared" si="34"/>
        <v>Monday</v>
      </c>
      <c r="E365" t="str">
        <f t="shared" si="30"/>
        <v>05:58:00 PM</v>
      </c>
      <c r="F365" s="3">
        <v>42499.768055555556</v>
      </c>
      <c r="G365" s="4">
        <f t="shared" si="35"/>
        <v>0.76805555555620231</v>
      </c>
      <c r="H365" t="str">
        <f t="shared" si="31"/>
        <v>28 min</v>
      </c>
      <c r="I365" t="s">
        <v>2</v>
      </c>
      <c r="J365" t="s">
        <v>161</v>
      </c>
      <c r="K365" t="s">
        <v>162</v>
      </c>
      <c r="L365">
        <v>9.8000000000000007</v>
      </c>
      <c r="M365" t="s">
        <v>7</v>
      </c>
      <c r="N365" t="str" cm="1">
        <f t="array" ref="N365">_xlfn.IFS(
    AND(HOUR(A365)&gt;=0, HOUR(A365)&lt;10), "Morning",
    AND(HOUR(A365)&gt;=10, HOUR(A365)&lt;15), "Afternoon",
    AND(HOUR(E365)&gt;=15, HOUR(E365)&lt;19), "Evening",
    AND(HOUR(E365)&gt;=19, HOUR(E365)&lt;=23), "Night"
)</f>
        <v>Evening</v>
      </c>
    </row>
    <row r="366" spans="1:14" x14ac:dyDescent="0.25">
      <c r="A366" s="3">
        <v>42499.815972222219</v>
      </c>
      <c r="B366" s="2">
        <f t="shared" si="32"/>
        <v>42499</v>
      </c>
      <c r="C366" t="str">
        <f t="shared" si="33"/>
        <v>May</v>
      </c>
      <c r="D366" t="str">
        <f t="shared" si="34"/>
        <v>Monday</v>
      </c>
      <c r="E366" t="str">
        <f t="shared" si="30"/>
        <v>07:35:00 PM</v>
      </c>
      <c r="F366" s="3">
        <v>42499.832638888889</v>
      </c>
      <c r="G366" s="4">
        <f t="shared" si="35"/>
        <v>0.83263888888905058</v>
      </c>
      <c r="H366" t="str">
        <f t="shared" si="31"/>
        <v>24 min</v>
      </c>
      <c r="I366" t="s">
        <v>2</v>
      </c>
      <c r="J366" t="s">
        <v>162</v>
      </c>
      <c r="K366" t="s">
        <v>163</v>
      </c>
      <c r="L366">
        <v>17.600000000000001</v>
      </c>
      <c r="M366" t="s">
        <v>7</v>
      </c>
      <c r="N366" t="str" cm="1">
        <f t="array" ref="N366">_xlfn.IFS(
    AND(HOUR(A366)&gt;=0, HOUR(A366)&lt;10), "Morning",
    AND(HOUR(A366)&gt;=10, HOUR(A366)&lt;15), "Afternoon",
    AND(HOUR(E366)&gt;=15, HOUR(E366)&lt;19), "Evening",
    AND(HOUR(E366)&gt;=19, HOUR(E366)&lt;=23), "Night"
)</f>
        <v>Night</v>
      </c>
    </row>
    <row r="367" spans="1:14" x14ac:dyDescent="0.25">
      <c r="A367" s="3">
        <v>42500.377083333333</v>
      </c>
      <c r="B367" s="2">
        <f t="shared" si="32"/>
        <v>42500</v>
      </c>
      <c r="C367" t="str">
        <f t="shared" si="33"/>
        <v>May</v>
      </c>
      <c r="D367" t="str">
        <f t="shared" si="34"/>
        <v>Tuesday</v>
      </c>
      <c r="E367" t="str">
        <f t="shared" si="30"/>
        <v>09:03:00 AM</v>
      </c>
      <c r="F367" s="3">
        <v>42500.388888888891</v>
      </c>
      <c r="G367" s="4">
        <f t="shared" si="35"/>
        <v>0.38888888889050577</v>
      </c>
      <c r="H367" t="str">
        <f t="shared" si="31"/>
        <v>17 min</v>
      </c>
      <c r="I367" t="s">
        <v>2</v>
      </c>
      <c r="J367" t="s">
        <v>163</v>
      </c>
      <c r="K367" t="s">
        <v>164</v>
      </c>
      <c r="L367">
        <v>9.3000000000000007</v>
      </c>
      <c r="M367" t="s">
        <v>7</v>
      </c>
      <c r="N367" t="str" cm="1">
        <f t="array" ref="N367">_xlfn.IFS(
    AND(HOUR(A367)&gt;=0, HOUR(A367)&lt;10), "Morning",
    AND(HOUR(A367)&gt;=10, HOUR(A367)&lt;15), "Afternoon",
    AND(HOUR(E367)&gt;=15, HOUR(E367)&lt;19), "Evening",
    AND(HOUR(E367)&gt;=19, HOUR(E367)&lt;=23), "Night"
)</f>
        <v>Morning</v>
      </c>
    </row>
    <row r="368" spans="1:14" x14ac:dyDescent="0.25">
      <c r="A368" s="3">
        <v>42500.72152777778</v>
      </c>
      <c r="B368" s="2">
        <f t="shared" si="32"/>
        <v>42500</v>
      </c>
      <c r="C368" t="str">
        <f t="shared" si="33"/>
        <v>May</v>
      </c>
      <c r="D368" t="str">
        <f t="shared" si="34"/>
        <v>Tuesday</v>
      </c>
      <c r="E368" t="str">
        <f t="shared" si="30"/>
        <v>05:19:00 PM</v>
      </c>
      <c r="F368" s="3">
        <v>42500.729861111111</v>
      </c>
      <c r="G368" s="4">
        <f t="shared" si="35"/>
        <v>0.72986111111094942</v>
      </c>
      <c r="H368" t="str">
        <f t="shared" si="31"/>
        <v>12 min</v>
      </c>
      <c r="I368" t="s">
        <v>2</v>
      </c>
      <c r="J368" t="s">
        <v>164</v>
      </c>
      <c r="K368" t="s">
        <v>163</v>
      </c>
      <c r="L368">
        <v>7.9</v>
      </c>
      <c r="M368" t="s">
        <v>7</v>
      </c>
      <c r="N368" t="str" cm="1">
        <f t="array" ref="N368">_xlfn.IFS(
    AND(HOUR(A368)&gt;=0, HOUR(A368)&lt;10), "Morning",
    AND(HOUR(A368)&gt;=10, HOUR(A368)&lt;15), "Afternoon",
    AND(HOUR(E368)&gt;=15, HOUR(E368)&lt;19), "Evening",
    AND(HOUR(E368)&gt;=19, HOUR(E368)&lt;=23), "Night"
)</f>
        <v>Evening</v>
      </c>
    </row>
    <row r="369" spans="1:14" x14ac:dyDescent="0.25">
      <c r="A369" s="3">
        <v>42501.357638888891</v>
      </c>
      <c r="B369" s="2">
        <f t="shared" si="32"/>
        <v>42501</v>
      </c>
      <c r="C369" t="str">
        <f t="shared" si="33"/>
        <v>May</v>
      </c>
      <c r="D369" t="str">
        <f t="shared" si="34"/>
        <v>Wednesday</v>
      </c>
      <c r="E369" t="str">
        <f t="shared" si="30"/>
        <v>08:35:00 AM</v>
      </c>
      <c r="F369" s="3">
        <v>42501.383333333331</v>
      </c>
      <c r="G369" s="4">
        <f t="shared" si="35"/>
        <v>0.38333333333139308</v>
      </c>
      <c r="H369" t="str">
        <f t="shared" si="31"/>
        <v>37 min</v>
      </c>
      <c r="I369" t="s">
        <v>2</v>
      </c>
      <c r="J369" t="s">
        <v>163</v>
      </c>
      <c r="K369" t="s">
        <v>160</v>
      </c>
      <c r="L369">
        <v>25.6</v>
      </c>
      <c r="M369" t="s">
        <v>10</v>
      </c>
      <c r="N369" t="str" cm="1">
        <f t="array" ref="N369">_xlfn.IFS(
    AND(HOUR(A369)&gt;=0, HOUR(A369)&lt;10), "Morning",
    AND(HOUR(A369)&gt;=10, HOUR(A369)&lt;15), "Afternoon",
    AND(HOUR(E369)&gt;=15, HOUR(E369)&lt;19), "Evening",
    AND(HOUR(E369)&gt;=19, HOUR(E369)&lt;=23), "Night"
)</f>
        <v>Morning</v>
      </c>
    </row>
    <row r="370" spans="1:14" x14ac:dyDescent="0.25">
      <c r="A370" s="3">
        <v>42501.907638888886</v>
      </c>
      <c r="B370" s="2">
        <f t="shared" si="32"/>
        <v>42501</v>
      </c>
      <c r="C370" t="str">
        <f t="shared" si="33"/>
        <v>May</v>
      </c>
      <c r="D370" t="str">
        <f t="shared" si="34"/>
        <v>Wednesday</v>
      </c>
      <c r="E370" t="str">
        <f t="shared" si="30"/>
        <v>09:47:00 PM</v>
      </c>
      <c r="F370" s="3">
        <v>42501.919444444444</v>
      </c>
      <c r="G370" s="4">
        <f t="shared" si="35"/>
        <v>0.91944444444379769</v>
      </c>
      <c r="H370" t="str">
        <f t="shared" si="31"/>
        <v>17 min</v>
      </c>
      <c r="I370" t="s">
        <v>2</v>
      </c>
      <c r="J370" t="s">
        <v>56</v>
      </c>
      <c r="K370" t="s">
        <v>55</v>
      </c>
      <c r="L370">
        <v>8.1</v>
      </c>
      <c r="M370" t="s">
        <v>10</v>
      </c>
      <c r="N370" t="str" cm="1">
        <f t="array" ref="N370">_xlfn.IFS(
    AND(HOUR(A370)&gt;=0, HOUR(A370)&lt;10), "Morning",
    AND(HOUR(A370)&gt;=10, HOUR(A370)&lt;15), "Afternoon",
    AND(HOUR(E370)&gt;=15, HOUR(E370)&lt;19), "Evening",
    AND(HOUR(E370)&gt;=19, HOUR(E370)&lt;=23), "Night"
)</f>
        <v>Night</v>
      </c>
    </row>
    <row r="371" spans="1:14" x14ac:dyDescent="0.25">
      <c r="A371" s="3">
        <v>42504.774305555555</v>
      </c>
      <c r="B371" s="2">
        <f t="shared" si="32"/>
        <v>42504</v>
      </c>
      <c r="C371" t="str">
        <f t="shared" si="33"/>
        <v>May</v>
      </c>
      <c r="D371" t="str">
        <f t="shared" si="34"/>
        <v>Saturday</v>
      </c>
      <c r="E371" t="str">
        <f t="shared" si="30"/>
        <v>06:35:00 PM</v>
      </c>
      <c r="F371" s="3">
        <v>42504.777083333334</v>
      </c>
      <c r="G371" s="4">
        <f t="shared" si="35"/>
        <v>0.77708333333430346</v>
      </c>
      <c r="H371" t="str">
        <f t="shared" si="31"/>
        <v>4 min</v>
      </c>
      <c r="I371" t="s">
        <v>2</v>
      </c>
      <c r="J371" t="s">
        <v>55</v>
      </c>
      <c r="K371" t="s">
        <v>56</v>
      </c>
      <c r="L371">
        <v>3.1</v>
      </c>
      <c r="M371" t="s">
        <v>9</v>
      </c>
      <c r="N371" t="str" cm="1">
        <f t="array" ref="N371">_xlfn.IFS(
    AND(HOUR(A371)&gt;=0, HOUR(A371)&lt;10), "Morning",
    AND(HOUR(A371)&gt;=10, HOUR(A371)&lt;15), "Afternoon",
    AND(HOUR(E371)&gt;=15, HOUR(E371)&lt;19), "Evening",
    AND(HOUR(E371)&gt;=19, HOUR(E371)&lt;=23), "Night"
)</f>
        <v>Evening</v>
      </c>
    </row>
    <row r="372" spans="1:14" x14ac:dyDescent="0.25">
      <c r="A372" s="3">
        <v>42504.959027777775</v>
      </c>
      <c r="B372" s="2">
        <f t="shared" si="32"/>
        <v>42504</v>
      </c>
      <c r="C372" t="str">
        <f t="shared" si="33"/>
        <v>May</v>
      </c>
      <c r="D372" t="str">
        <f t="shared" si="34"/>
        <v>Saturday</v>
      </c>
      <c r="E372" t="str">
        <f t="shared" si="30"/>
        <v>11:01:00 PM</v>
      </c>
      <c r="F372" s="3">
        <v>42504.961805555555</v>
      </c>
      <c r="G372" s="4">
        <f t="shared" si="35"/>
        <v>0.96180555555474712</v>
      </c>
      <c r="H372" t="str">
        <f t="shared" si="31"/>
        <v>4 min</v>
      </c>
      <c r="I372" t="s">
        <v>2</v>
      </c>
      <c r="J372" t="s">
        <v>56</v>
      </c>
      <c r="K372" t="s">
        <v>55</v>
      </c>
      <c r="L372">
        <v>3.1</v>
      </c>
      <c r="M372" t="s">
        <v>9</v>
      </c>
      <c r="N372" t="str" cm="1">
        <f t="array" ref="N372">_xlfn.IFS(
    AND(HOUR(A372)&gt;=0, HOUR(A372)&lt;10), "Morning",
    AND(HOUR(A372)&gt;=10, HOUR(A372)&lt;15), "Afternoon",
    AND(HOUR(E372)&gt;=15, HOUR(E372)&lt;19), "Evening",
    AND(HOUR(E372)&gt;=19, HOUR(E372)&lt;=23), "Night"
)</f>
        <v>Night</v>
      </c>
    </row>
    <row r="373" spans="1:14" x14ac:dyDescent="0.25">
      <c r="A373" s="3">
        <v>42507.552083333336</v>
      </c>
      <c r="B373" s="2">
        <f t="shared" si="32"/>
        <v>42507</v>
      </c>
      <c r="C373" t="str">
        <f t="shared" si="33"/>
        <v>May</v>
      </c>
      <c r="D373" t="str">
        <f t="shared" si="34"/>
        <v>Tuesday</v>
      </c>
      <c r="E373" t="str">
        <f t="shared" si="30"/>
        <v>01:15:00 PM</v>
      </c>
      <c r="F373" s="3">
        <v>42507.557638888888</v>
      </c>
      <c r="G373" s="4">
        <f t="shared" si="35"/>
        <v>0.55763888888759539</v>
      </c>
      <c r="H373" t="str">
        <f t="shared" si="31"/>
        <v>8 min</v>
      </c>
      <c r="I373" t="s">
        <v>2</v>
      </c>
      <c r="J373" t="s">
        <v>77</v>
      </c>
      <c r="K373" t="s">
        <v>94</v>
      </c>
      <c r="L373">
        <v>2.8</v>
      </c>
      <c r="M373" t="s">
        <v>8</v>
      </c>
      <c r="N373" t="str" cm="1">
        <f t="array" ref="N373">_xlfn.IFS(
    AND(HOUR(A373)&gt;=0, HOUR(A373)&lt;10), "Morning",
    AND(HOUR(A373)&gt;=10, HOUR(A373)&lt;15), "Afternoon",
    AND(HOUR(E373)&gt;=15, HOUR(E373)&lt;19), "Evening",
    AND(HOUR(E373)&gt;=19, HOUR(E373)&lt;=23), "Night"
)</f>
        <v>Afternoon</v>
      </c>
    </row>
    <row r="374" spans="1:14" x14ac:dyDescent="0.25">
      <c r="A374" s="3">
        <v>42507.580555555556</v>
      </c>
      <c r="B374" s="2">
        <f t="shared" si="32"/>
        <v>42507</v>
      </c>
      <c r="C374" t="str">
        <f t="shared" si="33"/>
        <v>May</v>
      </c>
      <c r="D374" t="str">
        <f t="shared" si="34"/>
        <v>Tuesday</v>
      </c>
      <c r="E374" t="str">
        <f t="shared" si="30"/>
        <v>01:56:00 PM</v>
      </c>
      <c r="F374" s="3">
        <v>42507.588888888888</v>
      </c>
      <c r="G374" s="4">
        <f t="shared" si="35"/>
        <v>0.58888888888759539</v>
      </c>
      <c r="H374" t="str">
        <f t="shared" si="31"/>
        <v>12 min</v>
      </c>
      <c r="I374" t="s">
        <v>2</v>
      </c>
      <c r="J374" t="s">
        <v>94</v>
      </c>
      <c r="K374" t="s">
        <v>83</v>
      </c>
      <c r="L374">
        <v>2.7</v>
      </c>
      <c r="M374" t="s">
        <v>8</v>
      </c>
      <c r="N374" t="str" cm="1">
        <f t="array" ref="N374">_xlfn.IFS(
    AND(HOUR(A374)&gt;=0, HOUR(A374)&lt;10), "Morning",
    AND(HOUR(A374)&gt;=10, HOUR(A374)&lt;15), "Afternoon",
    AND(HOUR(E374)&gt;=15, HOUR(E374)&lt;19), "Evening",
    AND(HOUR(E374)&gt;=19, HOUR(E374)&lt;=23), "Night"
)</f>
        <v>Afternoon</v>
      </c>
    </row>
    <row r="375" spans="1:14" x14ac:dyDescent="0.25">
      <c r="A375" s="3">
        <v>42507.606944444444</v>
      </c>
      <c r="B375" s="2">
        <f t="shared" si="32"/>
        <v>42507</v>
      </c>
      <c r="C375" t="str">
        <f t="shared" si="33"/>
        <v>May</v>
      </c>
      <c r="D375" t="str">
        <f t="shared" si="34"/>
        <v>Tuesday</v>
      </c>
      <c r="E375" t="str">
        <f t="shared" si="30"/>
        <v>02:34:00 PM</v>
      </c>
      <c r="F375" s="3">
        <v>42507.611111111109</v>
      </c>
      <c r="G375" s="4">
        <f t="shared" si="35"/>
        <v>0.61111111110949423</v>
      </c>
      <c r="H375" t="str">
        <f t="shared" si="31"/>
        <v>6 min</v>
      </c>
      <c r="I375" t="s">
        <v>2</v>
      </c>
      <c r="J375" t="s">
        <v>83</v>
      </c>
      <c r="K375" t="s">
        <v>77</v>
      </c>
      <c r="L375">
        <v>1.9</v>
      </c>
      <c r="M375" t="s">
        <v>8</v>
      </c>
      <c r="N375" t="str" cm="1">
        <f t="array" ref="N375">_xlfn.IFS(
    AND(HOUR(A375)&gt;=0, HOUR(A375)&lt;10), "Morning",
    AND(HOUR(A375)&gt;=10, HOUR(A375)&lt;15), "Afternoon",
    AND(HOUR(E375)&gt;=15, HOUR(E375)&lt;19), "Evening",
    AND(HOUR(E375)&gt;=19, HOUR(E375)&lt;=23), "Night"
)</f>
        <v>Afternoon</v>
      </c>
    </row>
    <row r="376" spans="1:14" x14ac:dyDescent="0.25">
      <c r="A376" s="3">
        <v>42508.382638888892</v>
      </c>
      <c r="B376" s="2">
        <f t="shared" si="32"/>
        <v>42508</v>
      </c>
      <c r="C376" t="str">
        <f t="shared" si="33"/>
        <v>May</v>
      </c>
      <c r="D376" t="str">
        <f t="shared" si="34"/>
        <v>Wednesday</v>
      </c>
      <c r="E376" t="str">
        <f t="shared" si="30"/>
        <v>09:11:00 AM</v>
      </c>
      <c r="F376" s="3">
        <v>42508.40347222222</v>
      </c>
      <c r="G376" s="4">
        <f t="shared" si="35"/>
        <v>0.40347222222044365</v>
      </c>
      <c r="H376" t="str">
        <f t="shared" si="31"/>
        <v>30 min</v>
      </c>
      <c r="I376" t="s">
        <v>2</v>
      </c>
      <c r="J376" t="s">
        <v>55</v>
      </c>
      <c r="K376" t="s">
        <v>56</v>
      </c>
      <c r="L376">
        <v>8.4</v>
      </c>
      <c r="M376" t="s">
        <v>7</v>
      </c>
      <c r="N376" t="str" cm="1">
        <f t="array" ref="N376">_xlfn.IFS(
    AND(HOUR(A376)&gt;=0, HOUR(A376)&lt;10), "Morning",
    AND(HOUR(A376)&gt;=10, HOUR(A376)&lt;15), "Afternoon",
    AND(HOUR(E376)&gt;=15, HOUR(E376)&lt;19), "Evening",
    AND(HOUR(E376)&gt;=19, HOUR(E376)&lt;=23), "Night"
)</f>
        <v>Morning</v>
      </c>
    </row>
    <row r="377" spans="1:14" x14ac:dyDescent="0.25">
      <c r="A377" s="3">
        <v>42508.541666666664</v>
      </c>
      <c r="B377" s="2">
        <f t="shared" si="32"/>
        <v>42508</v>
      </c>
      <c r="C377" t="str">
        <f t="shared" si="33"/>
        <v>May</v>
      </c>
      <c r="D377" t="str">
        <f t="shared" si="34"/>
        <v>Wednesday</v>
      </c>
      <c r="E377" t="str">
        <f t="shared" si="30"/>
        <v>01:00:00 PM</v>
      </c>
      <c r="F377" s="3">
        <v>42508.543055555558</v>
      </c>
      <c r="G377" s="4">
        <f t="shared" si="35"/>
        <v>0.5430555555576575</v>
      </c>
      <c r="H377" t="str">
        <f t="shared" si="31"/>
        <v>2 min</v>
      </c>
      <c r="I377" t="s">
        <v>2</v>
      </c>
      <c r="J377" t="s">
        <v>56</v>
      </c>
      <c r="K377" t="s">
        <v>79</v>
      </c>
      <c r="L377">
        <v>7.6</v>
      </c>
      <c r="M377" t="s">
        <v>7</v>
      </c>
      <c r="N377" t="str" cm="1">
        <f t="array" ref="N377">_xlfn.IFS(
    AND(HOUR(A377)&gt;=0, HOUR(A377)&lt;10), "Morning",
    AND(HOUR(A377)&gt;=10, HOUR(A377)&lt;15), "Afternoon",
    AND(HOUR(E377)&gt;=15, HOUR(E377)&lt;19), "Evening",
    AND(HOUR(E377)&gt;=19, HOUR(E377)&lt;=23), "Night"
)</f>
        <v>Afternoon</v>
      </c>
    </row>
    <row r="378" spans="1:14" x14ac:dyDescent="0.25">
      <c r="A378" s="3">
        <v>42509.609027777777</v>
      </c>
      <c r="B378" s="2">
        <f t="shared" si="32"/>
        <v>42509</v>
      </c>
      <c r="C378" t="str">
        <f t="shared" si="33"/>
        <v>May</v>
      </c>
      <c r="D378" t="str">
        <f t="shared" si="34"/>
        <v>Thursday</v>
      </c>
      <c r="E378" t="str">
        <f t="shared" si="30"/>
        <v>02:37:00 PM</v>
      </c>
      <c r="F378" s="3">
        <v>42509.625694444447</v>
      </c>
      <c r="G378" s="4">
        <f t="shared" si="35"/>
        <v>0.62569444444670808</v>
      </c>
      <c r="H378" t="str">
        <f t="shared" si="31"/>
        <v>24 min</v>
      </c>
      <c r="I378" t="s">
        <v>2</v>
      </c>
      <c r="J378" t="s">
        <v>165</v>
      </c>
      <c r="K378" t="s">
        <v>166</v>
      </c>
      <c r="L378">
        <v>2.9</v>
      </c>
      <c r="M378" t="s">
        <v>9</v>
      </c>
      <c r="N378" t="str" cm="1">
        <f t="array" ref="N378">_xlfn.IFS(
    AND(HOUR(A378)&gt;=0, HOUR(A378)&lt;10), "Morning",
    AND(HOUR(A378)&gt;=10, HOUR(A378)&lt;15), "Afternoon",
    AND(HOUR(E378)&gt;=15, HOUR(E378)&lt;19), "Evening",
    AND(HOUR(E378)&gt;=19, HOUR(E378)&lt;=23), "Night"
)</f>
        <v>Afternoon</v>
      </c>
    </row>
    <row r="379" spans="1:14" x14ac:dyDescent="0.25">
      <c r="A379" s="3">
        <v>42510.455555555556</v>
      </c>
      <c r="B379" s="2">
        <f t="shared" si="32"/>
        <v>42510</v>
      </c>
      <c r="C379" t="str">
        <f t="shared" si="33"/>
        <v>May</v>
      </c>
      <c r="D379" t="str">
        <f t="shared" si="34"/>
        <v>Friday</v>
      </c>
      <c r="E379" t="str">
        <f t="shared" si="30"/>
        <v>10:56:00 AM</v>
      </c>
      <c r="F379" s="3">
        <v>42510.463194444441</v>
      </c>
      <c r="G379" s="4">
        <f t="shared" si="35"/>
        <v>0.46319444444088731</v>
      </c>
      <c r="H379" t="str">
        <f t="shared" si="31"/>
        <v>11 min</v>
      </c>
      <c r="I379" t="s">
        <v>2</v>
      </c>
      <c r="J379" t="s">
        <v>165</v>
      </c>
      <c r="K379" t="s">
        <v>167</v>
      </c>
      <c r="L379">
        <v>11.2</v>
      </c>
      <c r="M379" t="s">
        <v>10</v>
      </c>
      <c r="N379" t="str" cm="1">
        <f t="array" ref="N379">_xlfn.IFS(
    AND(HOUR(A379)&gt;=0, HOUR(A379)&lt;10), "Morning",
    AND(HOUR(A379)&gt;=10, HOUR(A379)&lt;15), "Afternoon",
    AND(HOUR(E379)&gt;=15, HOUR(E379)&lt;19), "Evening",
    AND(HOUR(E379)&gt;=19, HOUR(E379)&lt;=23), "Night"
)</f>
        <v>Afternoon</v>
      </c>
    </row>
    <row r="380" spans="1:14" x14ac:dyDescent="0.25">
      <c r="A380" s="3">
        <v>42510.654861111114</v>
      </c>
      <c r="B380" s="2">
        <f t="shared" si="32"/>
        <v>42510</v>
      </c>
      <c r="C380" t="str">
        <f t="shared" si="33"/>
        <v>May</v>
      </c>
      <c r="D380" t="str">
        <f t="shared" si="34"/>
        <v>Friday</v>
      </c>
      <c r="E380" t="str">
        <f t="shared" si="30"/>
        <v>03:43:00 PM</v>
      </c>
      <c r="F380" s="3">
        <v>42510.675000000003</v>
      </c>
      <c r="G380" s="4">
        <f t="shared" si="35"/>
        <v>0.67500000000291038</v>
      </c>
      <c r="H380" t="str">
        <f t="shared" si="31"/>
        <v>29 min</v>
      </c>
      <c r="I380" t="s">
        <v>2</v>
      </c>
      <c r="J380" t="s">
        <v>56</v>
      </c>
      <c r="K380" t="s">
        <v>55</v>
      </c>
      <c r="L380">
        <v>8.1999999999999993</v>
      </c>
      <c r="M380" t="s">
        <v>9</v>
      </c>
      <c r="N380" t="str" cm="1">
        <f t="array" ref="N380">_xlfn.IFS(
    AND(HOUR(A380)&gt;=0, HOUR(A380)&lt;10), "Morning",
    AND(HOUR(A380)&gt;=10, HOUR(A380)&lt;15), "Afternoon",
    AND(HOUR(E380)&gt;=15, HOUR(E380)&lt;19), "Evening",
    AND(HOUR(E380)&gt;=19, HOUR(E380)&lt;=23), "Night"
)</f>
        <v>Evening</v>
      </c>
    </row>
    <row r="381" spans="1:14" x14ac:dyDescent="0.25">
      <c r="A381" s="3">
        <v>42512.652083333334</v>
      </c>
      <c r="B381" s="2">
        <f t="shared" si="32"/>
        <v>42512</v>
      </c>
      <c r="C381" t="str">
        <f t="shared" si="33"/>
        <v>May</v>
      </c>
      <c r="D381" t="str">
        <f t="shared" si="34"/>
        <v>Sunday</v>
      </c>
      <c r="E381" t="str">
        <f t="shared" si="30"/>
        <v>03:39:00 PM</v>
      </c>
      <c r="F381" s="3">
        <v>42512.656944444447</v>
      </c>
      <c r="G381" s="4">
        <f t="shared" si="35"/>
        <v>0.65694444444670808</v>
      </c>
      <c r="H381" t="str">
        <f t="shared" si="31"/>
        <v>7 min</v>
      </c>
      <c r="I381" t="s">
        <v>2</v>
      </c>
      <c r="J381" t="s">
        <v>55</v>
      </c>
      <c r="K381" t="s">
        <v>56</v>
      </c>
      <c r="L381">
        <v>3</v>
      </c>
      <c r="M381" t="s">
        <v>9</v>
      </c>
      <c r="N381" t="str" cm="1">
        <f t="array" ref="N381">_xlfn.IFS(
    AND(HOUR(A381)&gt;=0, HOUR(A381)&lt;10), "Morning",
    AND(HOUR(A381)&gt;=10, HOUR(A381)&lt;15), "Afternoon",
    AND(HOUR(E381)&gt;=15, HOUR(E381)&lt;19), "Evening",
    AND(HOUR(E381)&gt;=19, HOUR(E381)&lt;=23), "Night"
)</f>
        <v>Evening</v>
      </c>
    </row>
    <row r="382" spans="1:14" x14ac:dyDescent="0.25">
      <c r="A382" s="3">
        <v>42512.781944444447</v>
      </c>
      <c r="B382" s="2">
        <f t="shared" si="32"/>
        <v>42512</v>
      </c>
      <c r="C382" t="str">
        <f t="shared" si="33"/>
        <v>May</v>
      </c>
      <c r="D382" t="str">
        <f t="shared" si="34"/>
        <v>Sunday</v>
      </c>
      <c r="E382" t="str">
        <f t="shared" si="30"/>
        <v>06:46:00 PM</v>
      </c>
      <c r="F382" s="3">
        <v>42512.786805555559</v>
      </c>
      <c r="G382" s="4">
        <f t="shared" si="35"/>
        <v>0.78680555555911269</v>
      </c>
      <c r="H382" t="str">
        <f t="shared" si="31"/>
        <v>7 min</v>
      </c>
      <c r="I382" t="s">
        <v>2</v>
      </c>
      <c r="J382" t="s">
        <v>56</v>
      </c>
      <c r="K382" t="s">
        <v>55</v>
      </c>
      <c r="L382">
        <v>2.5</v>
      </c>
      <c r="M382" t="s">
        <v>9</v>
      </c>
      <c r="N382" t="str" cm="1">
        <f t="array" ref="N382">_xlfn.IFS(
    AND(HOUR(A382)&gt;=0, HOUR(A382)&lt;10), "Morning",
    AND(HOUR(A382)&gt;=10, HOUR(A382)&lt;15), "Afternoon",
    AND(HOUR(E382)&gt;=15, HOUR(E382)&lt;19), "Evening",
    AND(HOUR(E382)&gt;=19, HOUR(E382)&lt;=23), "Night"
)</f>
        <v>Evening</v>
      </c>
    </row>
    <row r="383" spans="1:14" x14ac:dyDescent="0.25">
      <c r="A383" s="3">
        <v>42513.84652777778</v>
      </c>
      <c r="B383" s="2">
        <f t="shared" si="32"/>
        <v>42513</v>
      </c>
      <c r="C383" t="str">
        <f t="shared" si="33"/>
        <v>May</v>
      </c>
      <c r="D383" t="str">
        <f t="shared" si="34"/>
        <v>Monday</v>
      </c>
      <c r="E383" t="str">
        <f t="shared" si="30"/>
        <v>08:19:00 PM</v>
      </c>
      <c r="F383" s="3">
        <v>42513.852083333331</v>
      </c>
      <c r="G383" s="4">
        <f t="shared" si="35"/>
        <v>0.85208333333139308</v>
      </c>
      <c r="H383" t="str">
        <f t="shared" si="31"/>
        <v>8 min</v>
      </c>
      <c r="I383" t="s">
        <v>2</v>
      </c>
      <c r="J383" t="s">
        <v>77</v>
      </c>
      <c r="K383" t="s">
        <v>168</v>
      </c>
      <c r="L383">
        <v>3.6</v>
      </c>
      <c r="M383" t="s">
        <v>9</v>
      </c>
      <c r="N383" t="str" cm="1">
        <f t="array" ref="N383">_xlfn.IFS(
    AND(HOUR(A383)&gt;=0, HOUR(A383)&lt;10), "Morning",
    AND(HOUR(A383)&gt;=10, HOUR(A383)&lt;15), "Afternoon",
    AND(HOUR(E383)&gt;=15, HOUR(E383)&lt;19), "Evening",
    AND(HOUR(E383)&gt;=19, HOUR(E383)&lt;=23), "Night"
)</f>
        <v>Night</v>
      </c>
    </row>
    <row r="384" spans="1:14" x14ac:dyDescent="0.25">
      <c r="A384" s="3">
        <v>42513.881249999999</v>
      </c>
      <c r="B384" s="2">
        <f t="shared" si="32"/>
        <v>42513</v>
      </c>
      <c r="C384" t="str">
        <f t="shared" si="33"/>
        <v>May</v>
      </c>
      <c r="D384" t="str">
        <f t="shared" si="34"/>
        <v>Monday</v>
      </c>
      <c r="E384" t="str">
        <f t="shared" si="30"/>
        <v>09:09:00 PM</v>
      </c>
      <c r="F384" s="3">
        <v>42513.88958333333</v>
      </c>
      <c r="G384" s="4">
        <f t="shared" si="35"/>
        <v>0.88958333332993789</v>
      </c>
      <c r="H384" t="str">
        <f t="shared" si="31"/>
        <v>12 min</v>
      </c>
      <c r="I384" t="s">
        <v>2</v>
      </c>
      <c r="J384" t="s">
        <v>168</v>
      </c>
      <c r="K384" t="s">
        <v>77</v>
      </c>
      <c r="L384">
        <v>3.6</v>
      </c>
      <c r="M384" t="s">
        <v>8</v>
      </c>
      <c r="N384" t="str" cm="1">
        <f t="array" ref="N384">_xlfn.IFS(
    AND(HOUR(A384)&gt;=0, HOUR(A384)&lt;10), "Morning",
    AND(HOUR(A384)&gt;=10, HOUR(A384)&lt;15), "Afternoon",
    AND(HOUR(E384)&gt;=15, HOUR(E384)&lt;19), "Evening",
    AND(HOUR(E384)&gt;=19, HOUR(E384)&lt;=23), "Night"
)</f>
        <v>Night</v>
      </c>
    </row>
    <row r="385" spans="1:14" x14ac:dyDescent="0.25">
      <c r="A385" s="3">
        <v>42517.851388888892</v>
      </c>
      <c r="B385" s="2">
        <f t="shared" si="32"/>
        <v>42517</v>
      </c>
      <c r="C385" t="str">
        <f t="shared" si="33"/>
        <v>May</v>
      </c>
      <c r="D385" t="str">
        <f t="shared" si="34"/>
        <v>Friday</v>
      </c>
      <c r="E385" t="str">
        <f t="shared" si="30"/>
        <v>08:26:00 PM</v>
      </c>
      <c r="F385" s="3">
        <v>42517.854166666664</v>
      </c>
      <c r="G385" s="4">
        <f t="shared" si="35"/>
        <v>0.85416666666424135</v>
      </c>
      <c r="H385" t="str">
        <f t="shared" si="31"/>
        <v>4 min</v>
      </c>
      <c r="I385" t="s">
        <v>2</v>
      </c>
      <c r="J385" t="s">
        <v>77</v>
      </c>
      <c r="K385" t="s">
        <v>169</v>
      </c>
      <c r="L385">
        <v>4.5</v>
      </c>
      <c r="M385" t="s">
        <v>8</v>
      </c>
      <c r="N385" t="str" cm="1">
        <f t="array" ref="N385">_xlfn.IFS(
    AND(HOUR(A385)&gt;=0, HOUR(A385)&lt;10), "Morning",
    AND(HOUR(A385)&gt;=10, HOUR(A385)&lt;15), "Afternoon",
    AND(HOUR(E385)&gt;=15, HOUR(E385)&lt;19), "Evening",
    AND(HOUR(E385)&gt;=19, HOUR(E385)&lt;=23), "Night"
)</f>
        <v>Night</v>
      </c>
    </row>
    <row r="386" spans="1:14" x14ac:dyDescent="0.25">
      <c r="A386" s="3">
        <v>42517.865972222222</v>
      </c>
      <c r="B386" s="2">
        <f t="shared" si="32"/>
        <v>42517</v>
      </c>
      <c r="C386" t="str">
        <f t="shared" si="33"/>
        <v>May</v>
      </c>
      <c r="D386" t="str">
        <f t="shared" si="34"/>
        <v>Friday</v>
      </c>
      <c r="E386" t="str">
        <f t="shared" ref="E386:E449" si="36">TEXT(A386, "hh:mm:ss AM/PM")</f>
        <v>08:47:00 PM</v>
      </c>
      <c r="F386" s="3">
        <v>42517.870138888888</v>
      </c>
      <c r="G386" s="4">
        <f t="shared" si="35"/>
        <v>0.87013888888759539</v>
      </c>
      <c r="H386" t="str">
        <f t="shared" ref="H386:H449" si="37">HOUR(IF(G386&lt;E386, G386+1-E386, G386-E386))*60 + MINUTE(IF(G386&lt;E386, G386+1-E386, G386-E386)) &amp; " min"</f>
        <v>6 min</v>
      </c>
      <c r="I386" t="s">
        <v>2</v>
      </c>
      <c r="J386" t="s">
        <v>168</v>
      </c>
      <c r="K386" t="s">
        <v>170</v>
      </c>
      <c r="L386">
        <v>1.2</v>
      </c>
      <c r="M386" t="s">
        <v>52</v>
      </c>
      <c r="N386" t="str" cm="1">
        <f t="array" ref="N386">_xlfn.IFS(
    AND(HOUR(A386)&gt;=0, HOUR(A386)&lt;10), "Morning",
    AND(HOUR(A386)&gt;=10, HOUR(A386)&lt;15), "Afternoon",
    AND(HOUR(E386)&gt;=15, HOUR(E386)&lt;19), "Evening",
    AND(HOUR(E386)&gt;=19, HOUR(E386)&lt;=23), "Night"
)</f>
        <v>Night</v>
      </c>
    </row>
    <row r="387" spans="1:14" x14ac:dyDescent="0.25">
      <c r="A387" s="3">
        <v>42517.924305555556</v>
      </c>
      <c r="B387" s="2">
        <f t="shared" ref="B387:B450" si="38">INT(A387)</f>
        <v>42517</v>
      </c>
      <c r="C387" t="str">
        <f t="shared" ref="C387:C450" si="39">TEXT(B387, "mmmm")</f>
        <v>May</v>
      </c>
      <c r="D387" t="str">
        <f t="shared" ref="D387:D450" si="40">TEXT(B387, "dddd")</f>
        <v>Friday</v>
      </c>
      <c r="E387" t="str">
        <f t="shared" si="36"/>
        <v>10:11:00 PM</v>
      </c>
      <c r="F387" s="3">
        <v>42517.926388888889</v>
      </c>
      <c r="G387" s="4">
        <f t="shared" ref="G387:G450" si="41">F387-INT(F387)</f>
        <v>0.92638888888905058</v>
      </c>
      <c r="H387" t="str">
        <f t="shared" si="37"/>
        <v>3 min</v>
      </c>
      <c r="I387" t="s">
        <v>2</v>
      </c>
      <c r="J387" t="s">
        <v>170</v>
      </c>
      <c r="K387" t="s">
        <v>169</v>
      </c>
      <c r="L387">
        <v>1.7</v>
      </c>
      <c r="M387" t="s">
        <v>8</v>
      </c>
      <c r="N387" t="str" cm="1">
        <f t="array" ref="N387">_xlfn.IFS(
    AND(HOUR(A387)&gt;=0, HOUR(A387)&lt;10), "Morning",
    AND(HOUR(A387)&gt;=10, HOUR(A387)&lt;15), "Afternoon",
    AND(HOUR(E387)&gt;=15, HOUR(E387)&lt;19), "Evening",
    AND(HOUR(E387)&gt;=19, HOUR(E387)&lt;=23), "Night"
)</f>
        <v>Night</v>
      </c>
    </row>
    <row r="388" spans="1:14" x14ac:dyDescent="0.25">
      <c r="A388" s="3">
        <v>42518.010416666664</v>
      </c>
      <c r="B388" s="2">
        <f t="shared" si="38"/>
        <v>42518</v>
      </c>
      <c r="C388" t="str">
        <f t="shared" si="39"/>
        <v>May</v>
      </c>
      <c r="D388" t="str">
        <f t="shared" si="40"/>
        <v>Saturday</v>
      </c>
      <c r="E388" t="str">
        <f t="shared" si="36"/>
        <v>12:15:00 AM</v>
      </c>
      <c r="F388" s="3">
        <v>42518.01458333333</v>
      </c>
      <c r="G388" s="4">
        <f t="shared" si="41"/>
        <v>1.4583333329937886E-2</v>
      </c>
      <c r="H388" t="str">
        <f t="shared" si="37"/>
        <v>6 min</v>
      </c>
      <c r="I388" t="s">
        <v>2</v>
      </c>
      <c r="J388" t="s">
        <v>170</v>
      </c>
      <c r="K388" t="s">
        <v>77</v>
      </c>
      <c r="L388">
        <v>4.7</v>
      </c>
      <c r="M388" t="s">
        <v>8</v>
      </c>
      <c r="N388" t="str" cm="1">
        <f t="array" ref="N388">_xlfn.IFS(
    AND(HOUR(A388)&gt;=0, HOUR(A388)&lt;10), "Morning",
    AND(HOUR(A388)&gt;=10, HOUR(A388)&lt;15), "Afternoon",
    AND(HOUR(E388)&gt;=15, HOUR(E388)&lt;19), "Evening",
    AND(HOUR(E388)&gt;=19, HOUR(E388)&lt;=23), "Night"
)</f>
        <v>Morning</v>
      </c>
    </row>
    <row r="389" spans="1:14" x14ac:dyDescent="0.25">
      <c r="A389" s="3">
        <v>42518.536111111112</v>
      </c>
      <c r="B389" s="2">
        <f t="shared" si="38"/>
        <v>42518</v>
      </c>
      <c r="C389" t="str">
        <f t="shared" si="39"/>
        <v>May</v>
      </c>
      <c r="D389" t="str">
        <f t="shared" si="40"/>
        <v>Saturday</v>
      </c>
      <c r="E389" t="str">
        <f t="shared" si="36"/>
        <v>12:52:00 PM</v>
      </c>
      <c r="F389" s="3">
        <v>42518.54583333333</v>
      </c>
      <c r="G389" s="4">
        <f t="shared" si="41"/>
        <v>0.54583333332993789</v>
      </c>
      <c r="H389" t="str">
        <f t="shared" si="37"/>
        <v>14 min</v>
      </c>
      <c r="I389" t="s">
        <v>2</v>
      </c>
      <c r="J389" t="s">
        <v>55</v>
      </c>
      <c r="K389" t="s">
        <v>56</v>
      </c>
      <c r="L389">
        <v>6.1</v>
      </c>
      <c r="M389" t="s">
        <v>9</v>
      </c>
      <c r="N389" t="str" cm="1">
        <f t="array" ref="N389">_xlfn.IFS(
    AND(HOUR(A389)&gt;=0, HOUR(A389)&lt;10), "Morning",
    AND(HOUR(A389)&gt;=10, HOUR(A389)&lt;15), "Afternoon",
    AND(HOUR(E389)&gt;=15, HOUR(E389)&lt;19), "Evening",
    AND(HOUR(E389)&gt;=19, HOUR(E389)&lt;=23), "Night"
)</f>
        <v>Afternoon</v>
      </c>
    </row>
    <row r="390" spans="1:14" x14ac:dyDescent="0.25">
      <c r="A390" s="3">
        <v>42518.607638888891</v>
      </c>
      <c r="B390" s="2">
        <f t="shared" si="38"/>
        <v>42518</v>
      </c>
      <c r="C390" t="str">
        <f t="shared" si="39"/>
        <v>May</v>
      </c>
      <c r="D390" t="str">
        <f t="shared" si="40"/>
        <v>Saturday</v>
      </c>
      <c r="E390" t="str">
        <f t="shared" si="36"/>
        <v>02:35:00 PM</v>
      </c>
      <c r="F390" s="3">
        <v>42518.62777777778</v>
      </c>
      <c r="G390" s="4">
        <f t="shared" si="41"/>
        <v>0.62777777777955635</v>
      </c>
      <c r="H390" t="str">
        <f t="shared" si="37"/>
        <v>29 min</v>
      </c>
      <c r="I390" t="s">
        <v>2</v>
      </c>
      <c r="J390" t="s">
        <v>56</v>
      </c>
      <c r="K390" t="s">
        <v>55</v>
      </c>
      <c r="L390">
        <v>11.3</v>
      </c>
      <c r="M390" t="s">
        <v>7</v>
      </c>
      <c r="N390" t="str" cm="1">
        <f t="array" ref="N390">_xlfn.IFS(
    AND(HOUR(A390)&gt;=0, HOUR(A390)&lt;10), "Morning",
    AND(HOUR(A390)&gt;=10, HOUR(A390)&lt;15), "Afternoon",
    AND(HOUR(E390)&gt;=15, HOUR(E390)&lt;19), "Evening",
    AND(HOUR(E390)&gt;=19, HOUR(E390)&lt;=23), "Night"
)</f>
        <v>Afternoon</v>
      </c>
    </row>
    <row r="391" spans="1:14" x14ac:dyDescent="0.25">
      <c r="A391" s="3">
        <v>42521.57916666667</v>
      </c>
      <c r="B391" s="2">
        <f t="shared" si="38"/>
        <v>42521</v>
      </c>
      <c r="C391" t="str">
        <f t="shared" si="39"/>
        <v>May</v>
      </c>
      <c r="D391" t="str">
        <f t="shared" si="40"/>
        <v>Tuesday</v>
      </c>
      <c r="E391" t="str">
        <f t="shared" si="36"/>
        <v>01:54:00 PM</v>
      </c>
      <c r="F391" s="3">
        <v>42521.611805555556</v>
      </c>
      <c r="G391" s="4">
        <f t="shared" si="41"/>
        <v>0.61180555555620231</v>
      </c>
      <c r="H391" t="str">
        <f t="shared" si="37"/>
        <v>47 min</v>
      </c>
      <c r="I391" t="s">
        <v>2</v>
      </c>
      <c r="J391" t="s">
        <v>55</v>
      </c>
      <c r="K391" t="s">
        <v>79</v>
      </c>
      <c r="L391">
        <v>14.9</v>
      </c>
      <c r="M391" t="s">
        <v>10</v>
      </c>
      <c r="N391" t="str" cm="1">
        <f t="array" ref="N391">_xlfn.IFS(
    AND(HOUR(A391)&gt;=0, HOUR(A391)&lt;10), "Morning",
    AND(HOUR(A391)&gt;=10, HOUR(A391)&lt;15), "Afternoon",
    AND(HOUR(E391)&gt;=15, HOUR(E391)&lt;19), "Evening",
    AND(HOUR(E391)&gt;=19, HOUR(E391)&lt;=23), "Night"
)</f>
        <v>Afternoon</v>
      </c>
    </row>
    <row r="392" spans="1:14" x14ac:dyDescent="0.25">
      <c r="A392" s="3">
        <v>42521.668055555558</v>
      </c>
      <c r="B392" s="2">
        <f t="shared" si="38"/>
        <v>42521</v>
      </c>
      <c r="C392" t="str">
        <f t="shared" si="39"/>
        <v>May</v>
      </c>
      <c r="D392" t="str">
        <f t="shared" si="40"/>
        <v>Tuesday</v>
      </c>
      <c r="E392" t="str">
        <f t="shared" si="36"/>
        <v>04:02:00 PM</v>
      </c>
      <c r="F392" s="3">
        <v>42521.693749999999</v>
      </c>
      <c r="G392" s="4">
        <f t="shared" si="41"/>
        <v>0.69374999999854481</v>
      </c>
      <c r="H392" t="str">
        <f t="shared" si="37"/>
        <v>37 min</v>
      </c>
      <c r="I392" t="s">
        <v>2</v>
      </c>
      <c r="J392" t="s">
        <v>79</v>
      </c>
      <c r="K392" t="s">
        <v>55</v>
      </c>
      <c r="L392">
        <v>14</v>
      </c>
      <c r="M392" t="s">
        <v>10</v>
      </c>
      <c r="N392" t="str" cm="1">
        <f t="array" ref="N392">_xlfn.IFS(
    AND(HOUR(A392)&gt;=0, HOUR(A392)&lt;10), "Morning",
    AND(HOUR(A392)&gt;=10, HOUR(A392)&lt;15), "Afternoon",
    AND(HOUR(E392)&gt;=15, HOUR(E392)&lt;19), "Evening",
    AND(HOUR(E392)&gt;=19, HOUR(E392)&lt;=23), "Night"
)</f>
        <v>Evening</v>
      </c>
    </row>
    <row r="393" spans="1:14" x14ac:dyDescent="0.25">
      <c r="A393" s="3">
        <v>42521.743055555555</v>
      </c>
      <c r="B393" s="2">
        <f t="shared" si="38"/>
        <v>42521</v>
      </c>
      <c r="C393" t="str">
        <f t="shared" si="39"/>
        <v>May</v>
      </c>
      <c r="D393" t="str">
        <f t="shared" si="40"/>
        <v>Tuesday</v>
      </c>
      <c r="E393" t="str">
        <f t="shared" si="36"/>
        <v>05:50:00 PM</v>
      </c>
      <c r="F393" s="3">
        <v>42521.749305555553</v>
      </c>
      <c r="G393" s="4">
        <f t="shared" si="41"/>
        <v>0.74930555555329192</v>
      </c>
      <c r="H393" t="str">
        <f t="shared" si="37"/>
        <v>9 min</v>
      </c>
      <c r="I393" t="s">
        <v>2</v>
      </c>
      <c r="J393" t="s">
        <v>83</v>
      </c>
      <c r="K393" t="s">
        <v>77</v>
      </c>
      <c r="L393">
        <v>1.8</v>
      </c>
      <c r="M393" t="s">
        <v>52</v>
      </c>
      <c r="N393" t="str" cm="1">
        <f t="array" ref="N393">_xlfn.IFS(
    AND(HOUR(A393)&gt;=0, HOUR(A393)&lt;10), "Morning",
    AND(HOUR(A393)&gt;=10, HOUR(A393)&lt;15), "Afternoon",
    AND(HOUR(E393)&gt;=15, HOUR(E393)&lt;19), "Evening",
    AND(HOUR(E393)&gt;=19, HOUR(E393)&lt;=23), "Night"
)</f>
        <v>Evening</v>
      </c>
    </row>
    <row r="394" spans="1:14" x14ac:dyDescent="0.25">
      <c r="A394" s="3">
        <v>42522.429861111108</v>
      </c>
      <c r="B394" s="2">
        <f t="shared" si="38"/>
        <v>42522</v>
      </c>
      <c r="C394" t="str">
        <f t="shared" si="39"/>
        <v>June</v>
      </c>
      <c r="D394" t="str">
        <f t="shared" si="40"/>
        <v>Wednesday</v>
      </c>
      <c r="E394" t="str">
        <f t="shared" si="36"/>
        <v>10:19:00 AM</v>
      </c>
      <c r="F394" s="3">
        <v>42522.449305555558</v>
      </c>
      <c r="G394" s="4">
        <f t="shared" si="41"/>
        <v>0.4493055555576575</v>
      </c>
      <c r="H394" t="str">
        <f t="shared" si="37"/>
        <v>28 min</v>
      </c>
      <c r="I394" t="s">
        <v>2</v>
      </c>
      <c r="J394" t="s">
        <v>55</v>
      </c>
      <c r="K394" t="s">
        <v>56</v>
      </c>
      <c r="L394">
        <v>6.7</v>
      </c>
      <c r="M394" t="s">
        <v>7</v>
      </c>
      <c r="N394" t="str" cm="1">
        <f t="array" ref="N394">_xlfn.IFS(
    AND(HOUR(A394)&gt;=0, HOUR(A394)&lt;10), "Morning",
    AND(HOUR(A394)&gt;=10, HOUR(A394)&lt;15), "Afternoon",
    AND(HOUR(E394)&gt;=15, HOUR(E394)&lt;19), "Evening",
    AND(HOUR(E394)&gt;=19, HOUR(E394)&lt;=23), "Night"
)</f>
        <v>Afternoon</v>
      </c>
    </row>
    <row r="395" spans="1:14" x14ac:dyDescent="0.25">
      <c r="A395" s="3">
        <v>42522.548611111109</v>
      </c>
      <c r="B395" s="2">
        <f t="shared" si="38"/>
        <v>42522</v>
      </c>
      <c r="C395" t="str">
        <f t="shared" si="39"/>
        <v>June</v>
      </c>
      <c r="D395" t="str">
        <f t="shared" si="40"/>
        <v>Wednesday</v>
      </c>
      <c r="E395" t="str">
        <f t="shared" si="36"/>
        <v>01:10:00 PM</v>
      </c>
      <c r="F395" s="3">
        <v>42522.568749999999</v>
      </c>
      <c r="G395" s="4">
        <f t="shared" si="41"/>
        <v>0.56874999999854481</v>
      </c>
      <c r="H395" t="str">
        <f t="shared" si="37"/>
        <v>29 min</v>
      </c>
      <c r="I395" t="s">
        <v>2</v>
      </c>
      <c r="J395" t="s">
        <v>56</v>
      </c>
      <c r="K395" t="s">
        <v>55</v>
      </c>
      <c r="L395">
        <v>9.6</v>
      </c>
      <c r="M395" t="s">
        <v>10</v>
      </c>
      <c r="N395" t="str" cm="1">
        <f t="array" ref="N395">_xlfn.IFS(
    AND(HOUR(A395)&gt;=0, HOUR(A395)&lt;10), "Morning",
    AND(HOUR(A395)&gt;=10, HOUR(A395)&lt;15), "Afternoon",
    AND(HOUR(E395)&gt;=15, HOUR(E395)&lt;19), "Evening",
    AND(HOUR(E395)&gt;=19, HOUR(E395)&lt;=23), "Night"
)</f>
        <v>Afternoon</v>
      </c>
    </row>
    <row r="396" spans="1:14" x14ac:dyDescent="0.25">
      <c r="A396" s="3">
        <v>42524.478472222225</v>
      </c>
      <c r="B396" s="2">
        <f t="shared" si="38"/>
        <v>42524</v>
      </c>
      <c r="C396" t="str">
        <f t="shared" si="39"/>
        <v>June</v>
      </c>
      <c r="D396" t="str">
        <f t="shared" si="40"/>
        <v>Friday</v>
      </c>
      <c r="E396" t="str">
        <f t="shared" si="36"/>
        <v>11:29:00 AM</v>
      </c>
      <c r="F396" s="3">
        <v>42524.492361111108</v>
      </c>
      <c r="G396" s="4">
        <f t="shared" si="41"/>
        <v>0.49236111110803904</v>
      </c>
      <c r="H396" t="str">
        <f t="shared" si="37"/>
        <v>20 min</v>
      </c>
      <c r="I396" t="s">
        <v>2</v>
      </c>
      <c r="J396" t="s">
        <v>55</v>
      </c>
      <c r="K396" t="s">
        <v>75</v>
      </c>
      <c r="L396">
        <v>10.4</v>
      </c>
      <c r="M396" t="s">
        <v>10</v>
      </c>
      <c r="N396" t="str" cm="1">
        <f t="array" ref="N396">_xlfn.IFS(
    AND(HOUR(A396)&gt;=0, HOUR(A396)&lt;10), "Morning",
    AND(HOUR(A396)&gt;=10, HOUR(A396)&lt;15), "Afternoon",
    AND(HOUR(E396)&gt;=15, HOUR(E396)&lt;19), "Evening",
    AND(HOUR(E396)&gt;=19, HOUR(E396)&lt;=23), "Night"
)</f>
        <v>Afternoon</v>
      </c>
    </row>
    <row r="397" spans="1:14" x14ac:dyDescent="0.25">
      <c r="A397" s="3">
        <v>42524.547222222223</v>
      </c>
      <c r="B397" s="2">
        <f t="shared" si="38"/>
        <v>42524</v>
      </c>
      <c r="C397" t="str">
        <f t="shared" si="39"/>
        <v>June</v>
      </c>
      <c r="D397" t="str">
        <f t="shared" si="40"/>
        <v>Friday</v>
      </c>
      <c r="E397" t="str">
        <f t="shared" si="36"/>
        <v>01:08:00 PM</v>
      </c>
      <c r="F397" s="3">
        <v>42524.568055555559</v>
      </c>
      <c r="G397" s="4">
        <f t="shared" si="41"/>
        <v>0.56805555555911269</v>
      </c>
      <c r="H397" t="str">
        <f t="shared" si="37"/>
        <v>30 min</v>
      </c>
      <c r="I397" t="s">
        <v>2</v>
      </c>
      <c r="J397" t="s">
        <v>75</v>
      </c>
      <c r="K397" t="s">
        <v>55</v>
      </c>
      <c r="L397">
        <v>9.9</v>
      </c>
      <c r="M397" t="s">
        <v>10</v>
      </c>
      <c r="N397" t="str" cm="1">
        <f t="array" ref="N397">_xlfn.IFS(
    AND(HOUR(A397)&gt;=0, HOUR(A397)&lt;10), "Morning",
    AND(HOUR(A397)&gt;=10, HOUR(A397)&lt;15), "Afternoon",
    AND(HOUR(E397)&gt;=15, HOUR(E397)&lt;19), "Evening",
    AND(HOUR(E397)&gt;=19, HOUR(E397)&lt;=23), "Night"
)</f>
        <v>Afternoon</v>
      </c>
    </row>
    <row r="398" spans="1:14" x14ac:dyDescent="0.25">
      <c r="A398" s="3">
        <v>42524.646527777775</v>
      </c>
      <c r="B398" s="2">
        <f t="shared" si="38"/>
        <v>42524</v>
      </c>
      <c r="C398" t="str">
        <f t="shared" si="39"/>
        <v>June</v>
      </c>
      <c r="D398" t="str">
        <f t="shared" si="40"/>
        <v>Friday</v>
      </c>
      <c r="E398" t="str">
        <f t="shared" si="36"/>
        <v>03:31:00 PM</v>
      </c>
      <c r="F398" s="3">
        <v>42524.662499999999</v>
      </c>
      <c r="G398" s="4">
        <f t="shared" si="41"/>
        <v>0.66249999999854481</v>
      </c>
      <c r="H398" t="str">
        <f t="shared" si="37"/>
        <v>23 min</v>
      </c>
      <c r="I398" t="s">
        <v>2</v>
      </c>
      <c r="J398" t="s">
        <v>55</v>
      </c>
      <c r="K398" t="s">
        <v>56</v>
      </c>
      <c r="L398">
        <v>6</v>
      </c>
      <c r="M398" t="s">
        <v>9</v>
      </c>
      <c r="N398" t="str" cm="1">
        <f t="array" ref="N398">_xlfn.IFS(
    AND(HOUR(A398)&gt;=0, HOUR(A398)&lt;10), "Morning",
    AND(HOUR(A398)&gt;=10, HOUR(A398)&lt;15), "Afternoon",
    AND(HOUR(E398)&gt;=15, HOUR(E398)&lt;19), "Evening",
    AND(HOUR(E398)&gt;=19, HOUR(E398)&lt;=23), "Night"
)</f>
        <v>Evening</v>
      </c>
    </row>
    <row r="399" spans="1:14" x14ac:dyDescent="0.25">
      <c r="A399" s="3">
        <v>42524.759722222225</v>
      </c>
      <c r="B399" s="2">
        <f t="shared" si="38"/>
        <v>42524</v>
      </c>
      <c r="C399" t="str">
        <f t="shared" si="39"/>
        <v>June</v>
      </c>
      <c r="D399" t="str">
        <f t="shared" si="40"/>
        <v>Friday</v>
      </c>
      <c r="E399" t="str">
        <f t="shared" si="36"/>
        <v>06:14:00 PM</v>
      </c>
      <c r="F399" s="3">
        <v>42524.770138888889</v>
      </c>
      <c r="G399" s="4">
        <f t="shared" si="41"/>
        <v>0.77013888888905058</v>
      </c>
      <c r="H399" t="str">
        <f t="shared" si="37"/>
        <v>15 min</v>
      </c>
      <c r="I399" t="s">
        <v>2</v>
      </c>
      <c r="J399" t="s">
        <v>171</v>
      </c>
      <c r="K399" t="s">
        <v>151</v>
      </c>
      <c r="L399">
        <v>3.3</v>
      </c>
      <c r="M399" t="s">
        <v>8</v>
      </c>
      <c r="N399" t="str" cm="1">
        <f t="array" ref="N399">_xlfn.IFS(
    AND(HOUR(A399)&gt;=0, HOUR(A399)&lt;10), "Morning",
    AND(HOUR(A399)&gt;=10, HOUR(A399)&lt;15), "Afternoon",
    AND(HOUR(E399)&gt;=15, HOUR(E399)&lt;19), "Evening",
    AND(HOUR(E399)&gt;=19, HOUR(E399)&lt;=23), "Night"
)</f>
        <v>Evening</v>
      </c>
    </row>
    <row r="400" spans="1:14" x14ac:dyDescent="0.25">
      <c r="A400" s="3">
        <v>42524.77847222222</v>
      </c>
      <c r="B400" s="2">
        <f t="shared" si="38"/>
        <v>42524</v>
      </c>
      <c r="C400" t="str">
        <f t="shared" si="39"/>
        <v>June</v>
      </c>
      <c r="D400" t="str">
        <f t="shared" si="40"/>
        <v>Friday</v>
      </c>
      <c r="E400" t="str">
        <f t="shared" si="36"/>
        <v>06:41:00 PM</v>
      </c>
      <c r="F400" s="3">
        <v>42524.786805555559</v>
      </c>
      <c r="G400" s="4">
        <f t="shared" si="41"/>
        <v>0.78680555555911269</v>
      </c>
      <c r="H400" t="str">
        <f t="shared" si="37"/>
        <v>12 min</v>
      </c>
      <c r="I400" t="s">
        <v>2</v>
      </c>
      <c r="J400" t="s">
        <v>56</v>
      </c>
      <c r="K400" t="s">
        <v>55</v>
      </c>
      <c r="L400">
        <v>3.1</v>
      </c>
      <c r="M400" t="s">
        <v>8</v>
      </c>
      <c r="N400" t="str" cm="1">
        <f t="array" ref="N400">_xlfn.IFS(
    AND(HOUR(A400)&gt;=0, HOUR(A400)&lt;10), "Morning",
    AND(HOUR(A400)&gt;=10, HOUR(A400)&lt;15), "Afternoon",
    AND(HOUR(E400)&gt;=15, HOUR(E400)&lt;19), "Evening",
    AND(HOUR(E400)&gt;=19, HOUR(E400)&lt;=23), "Night"
)</f>
        <v>Evening</v>
      </c>
    </row>
    <row r="401" spans="1:14" x14ac:dyDescent="0.25">
      <c r="A401" s="3">
        <v>42524.816666666666</v>
      </c>
      <c r="B401" s="2">
        <f t="shared" si="38"/>
        <v>42524</v>
      </c>
      <c r="C401" t="str">
        <f t="shared" si="39"/>
        <v>June</v>
      </c>
      <c r="D401" t="str">
        <f t="shared" si="40"/>
        <v>Friday</v>
      </c>
      <c r="E401" t="str">
        <f t="shared" si="36"/>
        <v>07:36:00 PM</v>
      </c>
      <c r="F401" s="3">
        <v>42524.820833333331</v>
      </c>
      <c r="G401" s="4">
        <f t="shared" si="41"/>
        <v>0.82083333333139308</v>
      </c>
      <c r="H401" t="str">
        <f t="shared" si="37"/>
        <v>6 min</v>
      </c>
      <c r="I401" t="s">
        <v>2</v>
      </c>
      <c r="J401" t="s">
        <v>172</v>
      </c>
      <c r="K401" t="s">
        <v>112</v>
      </c>
      <c r="L401">
        <v>1.7</v>
      </c>
      <c r="M401" t="s">
        <v>8</v>
      </c>
      <c r="N401" t="str" cm="1">
        <f t="array" ref="N401">_xlfn.IFS(
    AND(HOUR(A401)&gt;=0, HOUR(A401)&lt;10), "Morning",
    AND(HOUR(A401)&gt;=10, HOUR(A401)&lt;15), "Afternoon",
    AND(HOUR(E401)&gt;=15, HOUR(E401)&lt;19), "Evening",
    AND(HOUR(E401)&gt;=19, HOUR(E401)&lt;=23), "Night"
)</f>
        <v>Night</v>
      </c>
    </row>
    <row r="402" spans="1:14" x14ac:dyDescent="0.25">
      <c r="A402" s="3">
        <v>42524.949305555558</v>
      </c>
      <c r="B402" s="2">
        <f t="shared" si="38"/>
        <v>42524</v>
      </c>
      <c r="C402" t="str">
        <f t="shared" si="39"/>
        <v>June</v>
      </c>
      <c r="D402" t="str">
        <f t="shared" si="40"/>
        <v>Friday</v>
      </c>
      <c r="E402" t="str">
        <f t="shared" si="36"/>
        <v>10:47:00 PM</v>
      </c>
      <c r="F402" s="3">
        <v>42524.962500000001</v>
      </c>
      <c r="G402" s="4">
        <f t="shared" si="41"/>
        <v>0.96250000000145519</v>
      </c>
      <c r="H402" t="str">
        <f t="shared" si="37"/>
        <v>19 min</v>
      </c>
      <c r="I402" t="s">
        <v>2</v>
      </c>
      <c r="J402" t="s">
        <v>56</v>
      </c>
      <c r="K402" t="s">
        <v>55</v>
      </c>
      <c r="L402">
        <v>4</v>
      </c>
      <c r="M402" t="s">
        <v>6</v>
      </c>
      <c r="N402" t="str" cm="1">
        <f t="array" ref="N402">_xlfn.IFS(
    AND(HOUR(A402)&gt;=0, HOUR(A402)&lt;10), "Morning",
    AND(HOUR(A402)&gt;=10, HOUR(A402)&lt;15), "Afternoon",
    AND(HOUR(E402)&gt;=15, HOUR(E402)&lt;19), "Evening",
    AND(HOUR(E402)&gt;=19, HOUR(E402)&lt;=23), "Night"
)</f>
        <v>Night</v>
      </c>
    </row>
    <row r="403" spans="1:14" x14ac:dyDescent="0.25">
      <c r="A403" s="3">
        <v>42526.585416666669</v>
      </c>
      <c r="B403" s="2">
        <f t="shared" si="38"/>
        <v>42526</v>
      </c>
      <c r="C403" t="str">
        <f t="shared" si="39"/>
        <v>June</v>
      </c>
      <c r="D403" t="str">
        <f t="shared" si="40"/>
        <v>Sunday</v>
      </c>
      <c r="E403" t="str">
        <f t="shared" si="36"/>
        <v>02:03:00 PM</v>
      </c>
      <c r="F403" s="3">
        <v>42526.606249999997</v>
      </c>
      <c r="G403" s="4">
        <f t="shared" si="41"/>
        <v>0.60624999999708962</v>
      </c>
      <c r="H403" t="str">
        <f t="shared" si="37"/>
        <v>30 min</v>
      </c>
      <c r="I403" t="s">
        <v>2</v>
      </c>
      <c r="J403" t="s">
        <v>77</v>
      </c>
      <c r="K403" t="s">
        <v>168</v>
      </c>
      <c r="L403">
        <v>7.8</v>
      </c>
      <c r="M403" t="s">
        <v>7</v>
      </c>
      <c r="N403" t="str" cm="1">
        <f t="array" ref="N403">_xlfn.IFS(
    AND(HOUR(A403)&gt;=0, HOUR(A403)&lt;10), "Morning",
    AND(HOUR(A403)&gt;=10, HOUR(A403)&lt;15), "Afternoon",
    AND(HOUR(E403)&gt;=15, HOUR(E403)&lt;19), "Evening",
    AND(HOUR(E403)&gt;=19, HOUR(E403)&lt;=23), "Night"
)</f>
        <v>Afternoon</v>
      </c>
    </row>
    <row r="404" spans="1:14" x14ac:dyDescent="0.25">
      <c r="A404" s="3">
        <v>42526.629166666666</v>
      </c>
      <c r="B404" s="2">
        <f t="shared" si="38"/>
        <v>42526</v>
      </c>
      <c r="C404" t="str">
        <f t="shared" si="39"/>
        <v>June</v>
      </c>
      <c r="D404" t="str">
        <f t="shared" si="40"/>
        <v>Sunday</v>
      </c>
      <c r="E404" t="str">
        <f t="shared" si="36"/>
        <v>03:06:00 PM</v>
      </c>
      <c r="F404" s="3">
        <v>42526.640277777777</v>
      </c>
      <c r="G404" s="4">
        <f t="shared" si="41"/>
        <v>0.64027777777664596</v>
      </c>
      <c r="H404" t="str">
        <f t="shared" si="37"/>
        <v>16 min</v>
      </c>
      <c r="I404" t="s">
        <v>2</v>
      </c>
      <c r="J404" t="s">
        <v>55</v>
      </c>
      <c r="K404" t="s">
        <v>56</v>
      </c>
      <c r="L404">
        <v>7.8</v>
      </c>
      <c r="M404" t="s">
        <v>7</v>
      </c>
      <c r="N404" t="str" cm="1">
        <f t="array" ref="N404">_xlfn.IFS(
    AND(HOUR(A404)&gt;=0, HOUR(A404)&lt;10), "Morning",
    AND(HOUR(A404)&gt;=10, HOUR(A404)&lt;15), "Afternoon",
    AND(HOUR(E404)&gt;=15, HOUR(E404)&lt;19), "Evening",
    AND(HOUR(E404)&gt;=19, HOUR(E404)&lt;=23), "Night"
)</f>
        <v>Evening</v>
      </c>
    </row>
    <row r="405" spans="1:14" x14ac:dyDescent="0.25">
      <c r="A405" s="3">
        <v>42526.664583333331</v>
      </c>
      <c r="B405" s="2">
        <f t="shared" si="38"/>
        <v>42526</v>
      </c>
      <c r="C405" t="str">
        <f t="shared" si="39"/>
        <v>June</v>
      </c>
      <c r="D405" t="str">
        <f t="shared" si="40"/>
        <v>Sunday</v>
      </c>
      <c r="E405" t="str">
        <f t="shared" si="36"/>
        <v>03:57:00 PM</v>
      </c>
      <c r="F405" s="3">
        <v>42526.672222222223</v>
      </c>
      <c r="G405" s="4">
        <f t="shared" si="41"/>
        <v>0.67222222222335404</v>
      </c>
      <c r="H405" t="str">
        <f t="shared" si="37"/>
        <v>11 min</v>
      </c>
      <c r="I405" t="s">
        <v>2</v>
      </c>
      <c r="J405" t="s">
        <v>112</v>
      </c>
      <c r="K405" t="s">
        <v>112</v>
      </c>
      <c r="L405">
        <v>3.8</v>
      </c>
      <c r="M405" t="s">
        <v>9</v>
      </c>
      <c r="N405" t="str" cm="1">
        <f t="array" ref="N405">_xlfn.IFS(
    AND(HOUR(A405)&gt;=0, HOUR(A405)&lt;10), "Morning",
    AND(HOUR(A405)&gt;=10, HOUR(A405)&lt;15), "Afternoon",
    AND(HOUR(E405)&gt;=15, HOUR(E405)&lt;19), "Evening",
    AND(HOUR(E405)&gt;=19, HOUR(E405)&lt;=23), "Night"
)</f>
        <v>Evening</v>
      </c>
    </row>
    <row r="406" spans="1:14" x14ac:dyDescent="0.25">
      <c r="A406" s="3">
        <v>42526.753472222219</v>
      </c>
      <c r="B406" s="2">
        <f t="shared" si="38"/>
        <v>42526</v>
      </c>
      <c r="C406" t="str">
        <f t="shared" si="39"/>
        <v>June</v>
      </c>
      <c r="D406" t="str">
        <f t="shared" si="40"/>
        <v>Sunday</v>
      </c>
      <c r="E406" t="str">
        <f t="shared" si="36"/>
        <v>06:05:00 PM</v>
      </c>
      <c r="F406" s="3">
        <v>42526.759722222225</v>
      </c>
      <c r="G406" s="4">
        <f t="shared" si="41"/>
        <v>0.75972222222480923</v>
      </c>
      <c r="H406" t="str">
        <f t="shared" si="37"/>
        <v>9 min</v>
      </c>
      <c r="I406" t="s">
        <v>2</v>
      </c>
      <c r="J406" t="s">
        <v>56</v>
      </c>
      <c r="K406" t="s">
        <v>55</v>
      </c>
      <c r="L406">
        <v>2.5</v>
      </c>
      <c r="M406" t="s">
        <v>9</v>
      </c>
      <c r="N406" t="str" cm="1">
        <f t="array" ref="N406">_xlfn.IFS(
    AND(HOUR(A406)&gt;=0, HOUR(A406)&lt;10), "Morning",
    AND(HOUR(A406)&gt;=10, HOUR(A406)&lt;15), "Afternoon",
    AND(HOUR(E406)&gt;=15, HOUR(E406)&lt;19), "Evening",
    AND(HOUR(E406)&gt;=19, HOUR(E406)&lt;=23), "Night"
)</f>
        <v>Evening</v>
      </c>
    </row>
    <row r="407" spans="1:14" x14ac:dyDescent="0.25">
      <c r="A407" s="3">
        <v>42526.911805555559</v>
      </c>
      <c r="B407" s="2">
        <f t="shared" si="38"/>
        <v>42526</v>
      </c>
      <c r="C407" t="str">
        <f t="shared" si="39"/>
        <v>June</v>
      </c>
      <c r="D407" t="str">
        <f t="shared" si="40"/>
        <v>Sunday</v>
      </c>
      <c r="E407" t="str">
        <f t="shared" si="36"/>
        <v>09:53:00 PM</v>
      </c>
      <c r="F407" s="3">
        <v>42526.920138888891</v>
      </c>
      <c r="G407" s="4">
        <f t="shared" si="41"/>
        <v>0.92013888889050577</v>
      </c>
      <c r="H407" t="str">
        <f t="shared" si="37"/>
        <v>12 min</v>
      </c>
      <c r="I407" t="s">
        <v>2</v>
      </c>
      <c r="J407" t="s">
        <v>55</v>
      </c>
      <c r="K407" t="s">
        <v>75</v>
      </c>
      <c r="L407">
        <v>9.9</v>
      </c>
      <c r="M407" t="s">
        <v>10</v>
      </c>
      <c r="N407" t="str" cm="1">
        <f t="array" ref="N407">_xlfn.IFS(
    AND(HOUR(A407)&gt;=0, HOUR(A407)&lt;10), "Morning",
    AND(HOUR(A407)&gt;=10, HOUR(A407)&lt;15), "Afternoon",
    AND(HOUR(E407)&gt;=15, HOUR(E407)&lt;19), "Evening",
    AND(HOUR(E407)&gt;=19, HOUR(E407)&lt;=23), "Night"
)</f>
        <v>Night</v>
      </c>
    </row>
    <row r="408" spans="1:14" x14ac:dyDescent="0.25">
      <c r="A408" s="3">
        <v>42526.994444444441</v>
      </c>
      <c r="B408" s="2">
        <f t="shared" si="38"/>
        <v>42526</v>
      </c>
      <c r="C408" t="str">
        <f t="shared" si="39"/>
        <v>June</v>
      </c>
      <c r="D408" t="str">
        <f t="shared" si="40"/>
        <v>Sunday</v>
      </c>
      <c r="E408" t="str">
        <f t="shared" si="36"/>
        <v>11:52:00 PM</v>
      </c>
      <c r="F408" s="3">
        <v>42527.005555555559</v>
      </c>
      <c r="G408" s="4">
        <f t="shared" si="41"/>
        <v>5.5555555591126904E-3</v>
      </c>
      <c r="H408" t="str">
        <f t="shared" si="37"/>
        <v>16 min</v>
      </c>
      <c r="I408" t="s">
        <v>2</v>
      </c>
      <c r="J408" t="s">
        <v>75</v>
      </c>
      <c r="K408" t="s">
        <v>55</v>
      </c>
      <c r="L408">
        <v>9.9</v>
      </c>
      <c r="M408" t="s">
        <v>10</v>
      </c>
      <c r="N408" t="str" cm="1">
        <f t="array" ref="N408">_xlfn.IFS(
    AND(HOUR(A408)&gt;=0, HOUR(A408)&lt;10), "Morning",
    AND(HOUR(A408)&gt;=10, HOUR(A408)&lt;15), "Afternoon",
    AND(HOUR(E408)&gt;=15, HOUR(E408)&lt;19), "Evening",
    AND(HOUR(E408)&gt;=19, HOUR(E408)&lt;=23), "Night"
)</f>
        <v>Night</v>
      </c>
    </row>
    <row r="409" spans="1:14" x14ac:dyDescent="0.25">
      <c r="A409" s="3">
        <v>42527.65</v>
      </c>
      <c r="B409" s="2">
        <f t="shared" si="38"/>
        <v>42527</v>
      </c>
      <c r="C409" t="str">
        <f t="shared" si="39"/>
        <v>June</v>
      </c>
      <c r="D409" t="str">
        <f t="shared" si="40"/>
        <v>Monday</v>
      </c>
      <c r="E409" t="str">
        <f t="shared" si="36"/>
        <v>03:36:00 PM</v>
      </c>
      <c r="F409" s="3">
        <v>42527.65625</v>
      </c>
      <c r="G409" s="4">
        <f t="shared" si="41"/>
        <v>0.65625</v>
      </c>
      <c r="H409" t="str">
        <f t="shared" si="37"/>
        <v>9 min</v>
      </c>
      <c r="I409" t="s">
        <v>2</v>
      </c>
      <c r="J409" t="s">
        <v>77</v>
      </c>
      <c r="K409" t="s">
        <v>82</v>
      </c>
      <c r="L409">
        <v>3</v>
      </c>
      <c r="M409" t="s">
        <v>8</v>
      </c>
      <c r="N409" t="str" cm="1">
        <f t="array" ref="N409">_xlfn.IFS(
    AND(HOUR(A409)&gt;=0, HOUR(A409)&lt;10), "Morning",
    AND(HOUR(A409)&gt;=10, HOUR(A409)&lt;15), "Afternoon",
    AND(HOUR(E409)&gt;=15, HOUR(E409)&lt;19), "Evening",
    AND(HOUR(E409)&gt;=19, HOUR(E409)&lt;=23), "Night"
)</f>
        <v>Evening</v>
      </c>
    </row>
    <row r="410" spans="1:14" x14ac:dyDescent="0.25">
      <c r="A410" s="3">
        <v>42527.677777777775</v>
      </c>
      <c r="B410" s="2">
        <f t="shared" si="38"/>
        <v>42527</v>
      </c>
      <c r="C410" t="str">
        <f t="shared" si="39"/>
        <v>June</v>
      </c>
      <c r="D410" t="str">
        <f t="shared" si="40"/>
        <v>Monday</v>
      </c>
      <c r="E410" t="str">
        <f t="shared" si="36"/>
        <v>04:16:00 PM</v>
      </c>
      <c r="F410" s="3">
        <v>42527.683333333334</v>
      </c>
      <c r="G410" s="4">
        <f t="shared" si="41"/>
        <v>0.68333333333430346</v>
      </c>
      <c r="H410" t="str">
        <f t="shared" si="37"/>
        <v>8 min</v>
      </c>
      <c r="I410" t="s">
        <v>2</v>
      </c>
      <c r="J410" t="s">
        <v>82</v>
      </c>
      <c r="K410" t="s">
        <v>77</v>
      </c>
      <c r="L410">
        <v>2.4</v>
      </c>
      <c r="M410" t="s">
        <v>8</v>
      </c>
      <c r="N410" t="str" cm="1">
        <f t="array" ref="N410">_xlfn.IFS(
    AND(HOUR(A410)&gt;=0, HOUR(A410)&lt;10), "Morning",
    AND(HOUR(A410)&gt;=10, HOUR(A410)&lt;15), "Afternoon",
    AND(HOUR(E410)&gt;=15, HOUR(E410)&lt;19), "Evening",
    AND(HOUR(E410)&gt;=19, HOUR(E410)&lt;=23), "Night"
)</f>
        <v>Evening</v>
      </c>
    </row>
    <row r="411" spans="1:14" x14ac:dyDescent="0.25">
      <c r="A411" s="3">
        <v>42527.837500000001</v>
      </c>
      <c r="B411" s="2">
        <f t="shared" si="38"/>
        <v>42527</v>
      </c>
      <c r="C411" t="str">
        <f t="shared" si="39"/>
        <v>June</v>
      </c>
      <c r="D411" t="str">
        <f t="shared" si="40"/>
        <v>Monday</v>
      </c>
      <c r="E411" t="str">
        <f t="shared" si="36"/>
        <v>08:06:00 PM</v>
      </c>
      <c r="F411" s="3">
        <v>42527.847222222219</v>
      </c>
      <c r="G411" s="4">
        <f t="shared" si="41"/>
        <v>0.84722222221898846</v>
      </c>
      <c r="H411" t="str">
        <f t="shared" si="37"/>
        <v>14 min</v>
      </c>
      <c r="I411" t="s">
        <v>2</v>
      </c>
      <c r="J411" t="s">
        <v>55</v>
      </c>
      <c r="K411" t="s">
        <v>87</v>
      </c>
      <c r="L411">
        <v>5.7</v>
      </c>
      <c r="M411" t="s">
        <v>9</v>
      </c>
      <c r="N411" t="str" cm="1">
        <f t="array" ref="N411">_xlfn.IFS(
    AND(HOUR(A411)&gt;=0, HOUR(A411)&lt;10), "Morning",
    AND(HOUR(A411)&gt;=10, HOUR(A411)&lt;15), "Afternoon",
    AND(HOUR(E411)&gt;=15, HOUR(E411)&lt;19), "Evening",
    AND(HOUR(E411)&gt;=19, HOUR(E411)&lt;=23), "Night"
)</f>
        <v>Night</v>
      </c>
    </row>
    <row r="412" spans="1:14" x14ac:dyDescent="0.25">
      <c r="A412" s="3">
        <v>42527.880555555559</v>
      </c>
      <c r="B412" s="2">
        <f t="shared" si="38"/>
        <v>42527</v>
      </c>
      <c r="C412" t="str">
        <f t="shared" si="39"/>
        <v>June</v>
      </c>
      <c r="D412" t="str">
        <f t="shared" si="40"/>
        <v>Monday</v>
      </c>
      <c r="E412" t="str">
        <f t="shared" si="36"/>
        <v>09:08:00 PM</v>
      </c>
      <c r="F412" s="3">
        <v>42527.900694444441</v>
      </c>
      <c r="G412" s="4">
        <f t="shared" si="41"/>
        <v>0.90069444444088731</v>
      </c>
      <c r="H412" t="str">
        <f t="shared" si="37"/>
        <v>29 min</v>
      </c>
      <c r="I412" t="s">
        <v>2</v>
      </c>
      <c r="J412" t="s">
        <v>87</v>
      </c>
      <c r="K412" t="s">
        <v>55</v>
      </c>
      <c r="L412">
        <v>7.2</v>
      </c>
      <c r="M412" t="s">
        <v>9</v>
      </c>
      <c r="N412" t="str" cm="1">
        <f t="array" ref="N412">_xlfn.IFS(
    AND(HOUR(A412)&gt;=0, HOUR(A412)&lt;10), "Morning",
    AND(HOUR(A412)&gt;=10, HOUR(A412)&lt;15), "Afternoon",
    AND(HOUR(E412)&gt;=15, HOUR(E412)&lt;19), "Evening",
    AND(HOUR(E412)&gt;=19, HOUR(E412)&lt;=23), "Night"
)</f>
        <v>Night</v>
      </c>
    </row>
    <row r="413" spans="1:14" x14ac:dyDescent="0.25">
      <c r="A413" s="3">
        <v>42527.90347222222</v>
      </c>
      <c r="B413" s="2">
        <f t="shared" si="38"/>
        <v>42527</v>
      </c>
      <c r="C413" t="str">
        <f t="shared" si="39"/>
        <v>June</v>
      </c>
      <c r="D413" t="str">
        <f t="shared" si="40"/>
        <v>Monday</v>
      </c>
      <c r="E413" t="str">
        <f t="shared" si="36"/>
        <v>09:41:00 PM</v>
      </c>
      <c r="F413" s="3">
        <v>42527.916666666664</v>
      </c>
      <c r="G413" s="4">
        <f t="shared" si="41"/>
        <v>0.91666666666424135</v>
      </c>
      <c r="H413" t="str">
        <f t="shared" si="37"/>
        <v>19 min</v>
      </c>
      <c r="I413" t="s">
        <v>2</v>
      </c>
      <c r="J413" t="s">
        <v>55</v>
      </c>
      <c r="K413" t="s">
        <v>75</v>
      </c>
      <c r="L413">
        <v>10.4</v>
      </c>
      <c r="M413" t="s">
        <v>10</v>
      </c>
      <c r="N413" t="str" cm="1">
        <f t="array" ref="N413">_xlfn.IFS(
    AND(HOUR(A413)&gt;=0, HOUR(A413)&lt;10), "Morning",
    AND(HOUR(A413)&gt;=10, HOUR(A413)&lt;15), "Afternoon",
    AND(HOUR(E413)&gt;=15, HOUR(E413)&lt;19), "Evening",
    AND(HOUR(E413)&gt;=19, HOUR(E413)&lt;=23), "Night"
)</f>
        <v>Night</v>
      </c>
    </row>
    <row r="414" spans="1:14" x14ac:dyDescent="0.25">
      <c r="A414" s="3">
        <v>42527.981944444444</v>
      </c>
      <c r="B414" s="2">
        <f t="shared" si="38"/>
        <v>42527</v>
      </c>
      <c r="C414" t="str">
        <f t="shared" si="39"/>
        <v>June</v>
      </c>
      <c r="D414" t="str">
        <f t="shared" si="40"/>
        <v>Monday</v>
      </c>
      <c r="E414" t="str">
        <f t="shared" si="36"/>
        <v>11:34:00 PM</v>
      </c>
      <c r="F414" s="3">
        <v>42527.991666666669</v>
      </c>
      <c r="G414" s="4">
        <f t="shared" si="41"/>
        <v>0.99166666666860692</v>
      </c>
      <c r="H414" t="str">
        <f t="shared" si="37"/>
        <v>14 min</v>
      </c>
      <c r="I414" t="s">
        <v>2</v>
      </c>
      <c r="J414" t="s">
        <v>75</v>
      </c>
      <c r="K414" t="s">
        <v>55</v>
      </c>
      <c r="L414">
        <v>9.9</v>
      </c>
      <c r="M414" t="s">
        <v>10</v>
      </c>
      <c r="N414" t="str" cm="1">
        <f t="array" ref="N414">_xlfn.IFS(
    AND(HOUR(A414)&gt;=0, HOUR(A414)&lt;10), "Morning",
    AND(HOUR(A414)&gt;=10, HOUR(A414)&lt;15), "Afternoon",
    AND(HOUR(E414)&gt;=15, HOUR(E414)&lt;19), "Evening",
    AND(HOUR(E414)&gt;=19, HOUR(E414)&lt;=23), "Night"
)</f>
        <v>Night</v>
      </c>
    </row>
    <row r="415" spans="1:14" x14ac:dyDescent="0.25">
      <c r="A415" s="3">
        <v>42528.904166666667</v>
      </c>
      <c r="B415" s="2">
        <f t="shared" si="38"/>
        <v>42528</v>
      </c>
      <c r="C415" t="str">
        <f t="shared" si="39"/>
        <v>June</v>
      </c>
      <c r="D415" t="str">
        <f t="shared" si="40"/>
        <v>Tuesday</v>
      </c>
      <c r="E415" t="str">
        <f t="shared" si="36"/>
        <v>09:42:00 PM</v>
      </c>
      <c r="F415" s="3">
        <v>42528.916666666664</v>
      </c>
      <c r="G415" s="4">
        <f t="shared" si="41"/>
        <v>0.91666666666424135</v>
      </c>
      <c r="H415" t="str">
        <f t="shared" si="37"/>
        <v>18 min</v>
      </c>
      <c r="I415" t="s">
        <v>2</v>
      </c>
      <c r="J415" t="s">
        <v>55</v>
      </c>
      <c r="K415" t="s">
        <v>75</v>
      </c>
      <c r="L415">
        <v>10.4</v>
      </c>
      <c r="M415" t="s">
        <v>10</v>
      </c>
      <c r="N415" t="str" cm="1">
        <f t="array" ref="N415">_xlfn.IFS(
    AND(HOUR(A415)&gt;=0, HOUR(A415)&lt;10), "Morning",
    AND(HOUR(A415)&gt;=10, HOUR(A415)&lt;15), "Afternoon",
    AND(HOUR(E415)&gt;=15, HOUR(E415)&lt;19), "Evening",
    AND(HOUR(E415)&gt;=19, HOUR(E415)&lt;=23), "Night"
)</f>
        <v>Night</v>
      </c>
    </row>
    <row r="416" spans="1:14" x14ac:dyDescent="0.25">
      <c r="A416" s="3">
        <v>42528.986805555556</v>
      </c>
      <c r="B416" s="2">
        <f t="shared" si="38"/>
        <v>42528</v>
      </c>
      <c r="C416" t="str">
        <f t="shared" si="39"/>
        <v>June</v>
      </c>
      <c r="D416" t="str">
        <f t="shared" si="40"/>
        <v>Tuesday</v>
      </c>
      <c r="E416" t="str">
        <f t="shared" si="36"/>
        <v>11:41:00 PM</v>
      </c>
      <c r="F416" s="3">
        <v>42529.00277777778</v>
      </c>
      <c r="G416" s="4">
        <f t="shared" si="41"/>
        <v>2.7777777795563452E-3</v>
      </c>
      <c r="H416" t="str">
        <f t="shared" si="37"/>
        <v>23 min</v>
      </c>
      <c r="I416" t="s">
        <v>2</v>
      </c>
      <c r="J416" t="s">
        <v>75</v>
      </c>
      <c r="K416" t="s">
        <v>55</v>
      </c>
      <c r="L416">
        <v>9.9</v>
      </c>
      <c r="M416" t="s">
        <v>10</v>
      </c>
      <c r="N416" t="str" cm="1">
        <f t="array" ref="N416">_xlfn.IFS(
    AND(HOUR(A416)&gt;=0, HOUR(A416)&lt;10), "Morning",
    AND(HOUR(A416)&gt;=10, HOUR(A416)&lt;15), "Afternoon",
    AND(HOUR(E416)&gt;=15, HOUR(E416)&lt;19), "Evening",
    AND(HOUR(E416)&gt;=19, HOUR(E416)&lt;=23), "Night"
)</f>
        <v>Night</v>
      </c>
    </row>
    <row r="417" spans="1:14" x14ac:dyDescent="0.25">
      <c r="A417" s="3">
        <v>42529.349305555559</v>
      </c>
      <c r="B417" s="2">
        <f t="shared" si="38"/>
        <v>42529</v>
      </c>
      <c r="C417" t="str">
        <f t="shared" si="39"/>
        <v>June</v>
      </c>
      <c r="D417" t="str">
        <f t="shared" si="40"/>
        <v>Wednesday</v>
      </c>
      <c r="E417" t="str">
        <f t="shared" si="36"/>
        <v>08:23:00 AM</v>
      </c>
      <c r="F417" s="3">
        <v>42529.370138888888</v>
      </c>
      <c r="G417" s="4">
        <f t="shared" si="41"/>
        <v>0.37013888888759539</v>
      </c>
      <c r="H417" t="str">
        <f t="shared" si="37"/>
        <v>30 min</v>
      </c>
      <c r="I417" t="s">
        <v>2</v>
      </c>
      <c r="J417" t="s">
        <v>55</v>
      </c>
      <c r="K417" t="s">
        <v>56</v>
      </c>
      <c r="L417">
        <v>8.6999999999999993</v>
      </c>
      <c r="M417" t="s">
        <v>9</v>
      </c>
      <c r="N417" t="str" cm="1">
        <f t="array" ref="N417">_xlfn.IFS(
    AND(HOUR(A417)&gt;=0, HOUR(A417)&lt;10), "Morning",
    AND(HOUR(A417)&gt;=10, HOUR(A417)&lt;15), "Afternoon",
    AND(HOUR(E417)&gt;=15, HOUR(E417)&lt;19), "Evening",
    AND(HOUR(E417)&gt;=19, HOUR(E417)&lt;=23), "Night"
)</f>
        <v>Morning</v>
      </c>
    </row>
    <row r="418" spans="1:14" x14ac:dyDescent="0.25">
      <c r="A418" s="3">
        <v>42529.50277777778</v>
      </c>
      <c r="B418" s="2">
        <f t="shared" si="38"/>
        <v>42529</v>
      </c>
      <c r="C418" t="str">
        <f t="shared" si="39"/>
        <v>June</v>
      </c>
      <c r="D418" t="str">
        <f t="shared" si="40"/>
        <v>Wednesday</v>
      </c>
      <c r="E418" t="str">
        <f t="shared" si="36"/>
        <v>12:04:00 PM</v>
      </c>
      <c r="F418" s="3">
        <v>42529.542361111111</v>
      </c>
      <c r="G418" s="4">
        <f t="shared" si="41"/>
        <v>0.54236111111094942</v>
      </c>
      <c r="H418" t="str">
        <f t="shared" si="37"/>
        <v>57 min</v>
      </c>
      <c r="I418" t="s">
        <v>2</v>
      </c>
      <c r="J418" t="s">
        <v>57</v>
      </c>
      <c r="K418" t="s">
        <v>58</v>
      </c>
      <c r="L418">
        <v>22.3</v>
      </c>
      <c r="M418" t="s">
        <v>8</v>
      </c>
      <c r="N418" t="str" cm="1">
        <f t="array" ref="N418">_xlfn.IFS(
    AND(HOUR(A418)&gt;=0, HOUR(A418)&lt;10), "Morning",
    AND(HOUR(A418)&gt;=10, HOUR(A418)&lt;15), "Afternoon",
    AND(HOUR(E418)&gt;=15, HOUR(E418)&lt;19), "Evening",
    AND(HOUR(E418)&gt;=19, HOUR(E418)&lt;=23), "Night"
)</f>
        <v>Afternoon</v>
      </c>
    </row>
    <row r="419" spans="1:14" x14ac:dyDescent="0.25">
      <c r="A419" s="3">
        <v>42529.55</v>
      </c>
      <c r="B419" s="2">
        <f t="shared" si="38"/>
        <v>42529</v>
      </c>
      <c r="C419" t="str">
        <f t="shared" si="39"/>
        <v>June</v>
      </c>
      <c r="D419" t="str">
        <f t="shared" si="40"/>
        <v>Wednesday</v>
      </c>
      <c r="E419" t="str">
        <f t="shared" si="36"/>
        <v>01:12:00 PM</v>
      </c>
      <c r="F419" s="3">
        <v>42529.561805555553</v>
      </c>
      <c r="G419" s="4">
        <f t="shared" si="41"/>
        <v>0.56180555555329192</v>
      </c>
      <c r="H419" t="str">
        <f t="shared" si="37"/>
        <v>17 min</v>
      </c>
      <c r="I419" t="s">
        <v>2</v>
      </c>
      <c r="J419" t="s">
        <v>173</v>
      </c>
      <c r="K419" t="s">
        <v>174</v>
      </c>
      <c r="L419">
        <v>3.3</v>
      </c>
      <c r="M419" t="s">
        <v>9</v>
      </c>
      <c r="N419" t="str" cm="1">
        <f t="array" ref="N419">_xlfn.IFS(
    AND(HOUR(A419)&gt;=0, HOUR(A419)&lt;10), "Morning",
    AND(HOUR(A419)&gt;=10, HOUR(A419)&lt;15), "Afternoon",
    AND(HOUR(E419)&gt;=15, HOUR(E419)&lt;19), "Evening",
    AND(HOUR(E419)&gt;=19, HOUR(E419)&lt;=23), "Night"
)</f>
        <v>Afternoon</v>
      </c>
    </row>
    <row r="420" spans="1:14" x14ac:dyDescent="0.25">
      <c r="A420" s="3">
        <v>42529.604861111111</v>
      </c>
      <c r="B420" s="2">
        <f t="shared" si="38"/>
        <v>42529</v>
      </c>
      <c r="C420" t="str">
        <f t="shared" si="39"/>
        <v>June</v>
      </c>
      <c r="D420" t="str">
        <f t="shared" si="40"/>
        <v>Wednesday</v>
      </c>
      <c r="E420" t="str">
        <f t="shared" si="36"/>
        <v>02:31:00 PM</v>
      </c>
      <c r="F420" s="3">
        <v>42529.609027777777</v>
      </c>
      <c r="G420" s="4">
        <f t="shared" si="41"/>
        <v>0.60902777777664596</v>
      </c>
      <c r="H420" t="str">
        <f t="shared" si="37"/>
        <v>6 min</v>
      </c>
      <c r="I420" t="s">
        <v>2</v>
      </c>
      <c r="J420" t="s">
        <v>175</v>
      </c>
      <c r="K420" t="s">
        <v>176</v>
      </c>
      <c r="L420">
        <v>0.7</v>
      </c>
      <c r="M420" t="s">
        <v>8</v>
      </c>
      <c r="N420" t="str" cm="1">
        <f t="array" ref="N420">_xlfn.IFS(
    AND(HOUR(A420)&gt;=0, HOUR(A420)&lt;10), "Morning",
    AND(HOUR(A420)&gt;=10, HOUR(A420)&lt;15), "Afternoon",
    AND(HOUR(E420)&gt;=15, HOUR(E420)&lt;19), "Evening",
    AND(HOUR(E420)&gt;=19, HOUR(E420)&lt;=23), "Night"
)</f>
        <v>Afternoon</v>
      </c>
    </row>
    <row r="421" spans="1:14" x14ac:dyDescent="0.25">
      <c r="A421" s="3">
        <v>42529.704861111109</v>
      </c>
      <c r="B421" s="2">
        <f t="shared" si="38"/>
        <v>42529</v>
      </c>
      <c r="C421" t="str">
        <f t="shared" si="39"/>
        <v>June</v>
      </c>
      <c r="D421" t="str">
        <f t="shared" si="40"/>
        <v>Wednesday</v>
      </c>
      <c r="E421" t="str">
        <f t="shared" si="36"/>
        <v>04:55:00 PM</v>
      </c>
      <c r="F421" s="3">
        <v>42529.71597222222</v>
      </c>
      <c r="G421" s="4">
        <f t="shared" si="41"/>
        <v>0.71597222222044365</v>
      </c>
      <c r="H421" t="str">
        <f t="shared" si="37"/>
        <v>16 min</v>
      </c>
      <c r="I421" t="s">
        <v>2</v>
      </c>
      <c r="J421" t="s">
        <v>177</v>
      </c>
      <c r="K421" t="s">
        <v>178</v>
      </c>
      <c r="L421">
        <v>2.5</v>
      </c>
      <c r="M421" t="s">
        <v>9</v>
      </c>
      <c r="N421" t="str" cm="1">
        <f t="array" ref="N421">_xlfn.IFS(
    AND(HOUR(A421)&gt;=0, HOUR(A421)&lt;10), "Morning",
    AND(HOUR(A421)&gt;=10, HOUR(A421)&lt;15), "Afternoon",
    AND(HOUR(E421)&gt;=15, HOUR(E421)&lt;19), "Evening",
    AND(HOUR(E421)&gt;=19, HOUR(E421)&lt;=23), "Night"
)</f>
        <v>Evening</v>
      </c>
    </row>
    <row r="422" spans="1:14" x14ac:dyDescent="0.25">
      <c r="A422" s="3">
        <v>42529.719444444447</v>
      </c>
      <c r="B422" s="2">
        <f t="shared" si="38"/>
        <v>42529</v>
      </c>
      <c r="C422" t="str">
        <f t="shared" si="39"/>
        <v>June</v>
      </c>
      <c r="D422" t="str">
        <f t="shared" si="40"/>
        <v>Wednesday</v>
      </c>
      <c r="E422" t="str">
        <f t="shared" si="36"/>
        <v>05:16:00 PM</v>
      </c>
      <c r="F422" s="3">
        <v>42529.720833333333</v>
      </c>
      <c r="G422" s="4">
        <f t="shared" si="41"/>
        <v>0.72083333333284827</v>
      </c>
      <c r="H422" t="str">
        <f t="shared" si="37"/>
        <v>2 min</v>
      </c>
      <c r="I422" t="s">
        <v>2</v>
      </c>
      <c r="J422" t="s">
        <v>178</v>
      </c>
      <c r="K422" t="s">
        <v>179</v>
      </c>
      <c r="L422">
        <v>0.5</v>
      </c>
      <c r="M422" t="s">
        <v>8</v>
      </c>
      <c r="N422" t="str" cm="1">
        <f t="array" ref="N422">_xlfn.IFS(
    AND(HOUR(A422)&gt;=0, HOUR(A422)&lt;10), "Morning",
    AND(HOUR(A422)&gt;=10, HOUR(A422)&lt;15), "Afternoon",
    AND(HOUR(E422)&gt;=15, HOUR(E422)&lt;19), "Evening",
    AND(HOUR(E422)&gt;=19, HOUR(E422)&lt;=23), "Night"
)</f>
        <v>Evening</v>
      </c>
    </row>
    <row r="423" spans="1:14" x14ac:dyDescent="0.25">
      <c r="A423" s="3">
        <v>42529.749305555553</v>
      </c>
      <c r="B423" s="2">
        <f t="shared" si="38"/>
        <v>42529</v>
      </c>
      <c r="C423" t="str">
        <f t="shared" si="39"/>
        <v>June</v>
      </c>
      <c r="D423" t="str">
        <f t="shared" si="40"/>
        <v>Wednesday</v>
      </c>
      <c r="E423" t="str">
        <f t="shared" si="36"/>
        <v>05:59:00 PM</v>
      </c>
      <c r="F423" s="3">
        <v>42529.753472222219</v>
      </c>
      <c r="G423" s="4">
        <f t="shared" si="41"/>
        <v>0.75347222221898846</v>
      </c>
      <c r="H423" t="str">
        <f t="shared" si="37"/>
        <v>6 min</v>
      </c>
      <c r="I423" t="s">
        <v>2</v>
      </c>
      <c r="J423" t="s">
        <v>179</v>
      </c>
      <c r="K423" t="s">
        <v>180</v>
      </c>
      <c r="L423">
        <v>0.9</v>
      </c>
      <c r="M423" t="s">
        <v>8</v>
      </c>
      <c r="N423" t="str" cm="1">
        <f t="array" ref="N423">_xlfn.IFS(
    AND(HOUR(A423)&gt;=0, HOUR(A423)&lt;10), "Morning",
    AND(HOUR(A423)&gt;=10, HOUR(A423)&lt;15), "Afternoon",
    AND(HOUR(E423)&gt;=15, HOUR(E423)&lt;19), "Evening",
    AND(HOUR(E423)&gt;=19, HOUR(E423)&lt;=23), "Night"
)</f>
        <v>Evening</v>
      </c>
    </row>
    <row r="424" spans="1:14" x14ac:dyDescent="0.25">
      <c r="A424" s="3">
        <v>42529.84097222222</v>
      </c>
      <c r="B424" s="2">
        <f t="shared" si="38"/>
        <v>42529</v>
      </c>
      <c r="C424" t="str">
        <f t="shared" si="39"/>
        <v>June</v>
      </c>
      <c r="D424" t="str">
        <f t="shared" si="40"/>
        <v>Wednesday</v>
      </c>
      <c r="E424" t="str">
        <f t="shared" si="36"/>
        <v>08:11:00 PM</v>
      </c>
      <c r="F424" s="3">
        <v>42529.850694444445</v>
      </c>
      <c r="G424" s="4">
        <f t="shared" si="41"/>
        <v>0.85069444444525288</v>
      </c>
      <c r="H424" t="str">
        <f t="shared" si="37"/>
        <v>14 min</v>
      </c>
      <c r="I424" t="s">
        <v>2</v>
      </c>
      <c r="J424" t="s">
        <v>180</v>
      </c>
      <c r="K424" t="s">
        <v>181</v>
      </c>
      <c r="L424">
        <v>4.8</v>
      </c>
      <c r="M424" t="s">
        <v>8</v>
      </c>
      <c r="N424" t="str" cm="1">
        <f t="array" ref="N424">_xlfn.IFS(
    AND(HOUR(A424)&gt;=0, HOUR(A424)&lt;10), "Morning",
    AND(HOUR(A424)&gt;=10, HOUR(A424)&lt;15), "Afternoon",
    AND(HOUR(E424)&gt;=15, HOUR(E424)&lt;19), "Evening",
    AND(HOUR(E424)&gt;=19, HOUR(E424)&lt;=23), "Night"
)</f>
        <v>Night</v>
      </c>
    </row>
    <row r="425" spans="1:14" x14ac:dyDescent="0.25">
      <c r="A425" s="3">
        <v>42531.638194444444</v>
      </c>
      <c r="B425" s="2">
        <f t="shared" si="38"/>
        <v>42531</v>
      </c>
      <c r="C425" t="str">
        <f t="shared" si="39"/>
        <v>June</v>
      </c>
      <c r="D425" t="str">
        <f t="shared" si="40"/>
        <v>Friday</v>
      </c>
      <c r="E425" t="str">
        <f t="shared" si="36"/>
        <v>03:19:00 PM</v>
      </c>
      <c r="F425" s="3">
        <v>42531.686111111114</v>
      </c>
      <c r="G425" s="4">
        <f t="shared" si="41"/>
        <v>0.68611111111385981</v>
      </c>
      <c r="H425" t="str">
        <f t="shared" si="37"/>
        <v>69 min</v>
      </c>
      <c r="I425" t="s">
        <v>2</v>
      </c>
      <c r="J425" t="s">
        <v>58</v>
      </c>
      <c r="K425" t="s">
        <v>57</v>
      </c>
      <c r="L425">
        <v>16.3</v>
      </c>
      <c r="M425" t="s">
        <v>10</v>
      </c>
      <c r="N425" t="str" cm="1">
        <f t="array" ref="N425">_xlfn.IFS(
    AND(HOUR(A425)&gt;=0, HOUR(A425)&lt;10), "Morning",
    AND(HOUR(A425)&gt;=10, HOUR(A425)&lt;15), "Afternoon",
    AND(HOUR(E425)&gt;=15, HOUR(E425)&lt;19), "Evening",
    AND(HOUR(E425)&gt;=19, HOUR(E425)&lt;=23), "Night"
)</f>
        <v>Evening</v>
      </c>
    </row>
    <row r="426" spans="1:14" x14ac:dyDescent="0.25">
      <c r="A426" s="3">
        <v>42531.907638888886</v>
      </c>
      <c r="B426" s="2">
        <f t="shared" si="38"/>
        <v>42531</v>
      </c>
      <c r="C426" t="str">
        <f t="shared" si="39"/>
        <v>June</v>
      </c>
      <c r="D426" t="str">
        <f t="shared" si="40"/>
        <v>Friday</v>
      </c>
      <c r="E426" t="str">
        <f t="shared" si="36"/>
        <v>09:47:00 PM</v>
      </c>
      <c r="F426" s="3">
        <v>42531.919444444444</v>
      </c>
      <c r="G426" s="4">
        <f t="shared" si="41"/>
        <v>0.91944444444379769</v>
      </c>
      <c r="H426" t="str">
        <f t="shared" si="37"/>
        <v>17 min</v>
      </c>
      <c r="I426" t="s">
        <v>2</v>
      </c>
      <c r="J426" t="s">
        <v>55</v>
      </c>
      <c r="K426" t="s">
        <v>75</v>
      </c>
      <c r="L426">
        <v>10.4</v>
      </c>
      <c r="M426" t="s">
        <v>10</v>
      </c>
      <c r="N426" t="str" cm="1">
        <f t="array" ref="N426">_xlfn.IFS(
    AND(HOUR(A426)&gt;=0, HOUR(A426)&lt;10), "Morning",
    AND(HOUR(A426)&gt;=10, HOUR(A426)&lt;15), "Afternoon",
    AND(HOUR(E426)&gt;=15, HOUR(E426)&lt;19), "Evening",
    AND(HOUR(E426)&gt;=19, HOUR(E426)&lt;=23), "Night"
)</f>
        <v>Night</v>
      </c>
    </row>
    <row r="427" spans="1:14" x14ac:dyDescent="0.25">
      <c r="A427" s="3">
        <v>42531.995138888888</v>
      </c>
      <c r="B427" s="2">
        <f t="shared" si="38"/>
        <v>42531</v>
      </c>
      <c r="C427" t="str">
        <f t="shared" si="39"/>
        <v>June</v>
      </c>
      <c r="D427" t="str">
        <f t="shared" si="40"/>
        <v>Friday</v>
      </c>
      <c r="E427" t="str">
        <f t="shared" si="36"/>
        <v>11:53:00 PM</v>
      </c>
      <c r="F427" s="3">
        <v>42532.000694444447</v>
      </c>
      <c r="G427" s="4">
        <f t="shared" si="41"/>
        <v>6.944444467080757E-4</v>
      </c>
      <c r="H427" t="str">
        <f t="shared" si="37"/>
        <v>8 min</v>
      </c>
      <c r="I427" t="s">
        <v>2</v>
      </c>
      <c r="J427" t="s">
        <v>75</v>
      </c>
      <c r="K427" t="s">
        <v>55</v>
      </c>
      <c r="L427">
        <v>9.9</v>
      </c>
      <c r="M427" t="s">
        <v>10</v>
      </c>
      <c r="N427" t="str" cm="1">
        <f t="array" ref="N427">_xlfn.IFS(
    AND(HOUR(A427)&gt;=0, HOUR(A427)&lt;10), "Morning",
    AND(HOUR(A427)&gt;=10, HOUR(A427)&lt;15), "Afternoon",
    AND(HOUR(E427)&gt;=15, HOUR(E427)&lt;19), "Evening",
    AND(HOUR(E427)&gt;=19, HOUR(E427)&lt;=23), "Night"
)</f>
        <v>Night</v>
      </c>
    </row>
    <row r="428" spans="1:14" x14ac:dyDescent="0.25">
      <c r="A428" s="3">
        <v>42532.713888888888</v>
      </c>
      <c r="B428" s="2">
        <f t="shared" si="38"/>
        <v>42532</v>
      </c>
      <c r="C428" t="str">
        <f t="shared" si="39"/>
        <v>June</v>
      </c>
      <c r="D428" t="str">
        <f t="shared" si="40"/>
        <v>Saturday</v>
      </c>
      <c r="E428" t="str">
        <f t="shared" si="36"/>
        <v>05:08:00 PM</v>
      </c>
      <c r="F428" s="3">
        <v>42532.719444444447</v>
      </c>
      <c r="G428" s="4">
        <f t="shared" si="41"/>
        <v>0.71944444444670808</v>
      </c>
      <c r="H428" t="str">
        <f t="shared" si="37"/>
        <v>8 min</v>
      </c>
      <c r="I428" t="s">
        <v>2</v>
      </c>
      <c r="J428" t="s">
        <v>55</v>
      </c>
      <c r="K428" t="s">
        <v>56</v>
      </c>
      <c r="L428">
        <v>3.7</v>
      </c>
      <c r="M428" t="s">
        <v>8</v>
      </c>
      <c r="N428" t="str" cm="1">
        <f t="array" ref="N428">_xlfn.IFS(
    AND(HOUR(A428)&gt;=0, HOUR(A428)&lt;10), "Morning",
    AND(HOUR(A428)&gt;=10, HOUR(A428)&lt;15), "Afternoon",
    AND(HOUR(E428)&gt;=15, HOUR(E428)&lt;19), "Evening",
    AND(HOUR(E428)&gt;=19, HOUR(E428)&lt;=23), "Night"
)</f>
        <v>Evening</v>
      </c>
    </row>
    <row r="429" spans="1:14" x14ac:dyDescent="0.25">
      <c r="A429" s="3">
        <v>42532.731944444444</v>
      </c>
      <c r="B429" s="2">
        <f t="shared" si="38"/>
        <v>42532</v>
      </c>
      <c r="C429" t="str">
        <f t="shared" si="39"/>
        <v>June</v>
      </c>
      <c r="D429" t="str">
        <f t="shared" si="40"/>
        <v>Saturday</v>
      </c>
      <c r="E429" t="str">
        <f t="shared" si="36"/>
        <v>05:34:00 PM</v>
      </c>
      <c r="F429" s="3">
        <v>42532.73541666667</v>
      </c>
      <c r="G429" s="4">
        <f t="shared" si="41"/>
        <v>0.73541666667006211</v>
      </c>
      <c r="H429" t="str">
        <f t="shared" si="37"/>
        <v>5 min</v>
      </c>
      <c r="I429" t="s">
        <v>2</v>
      </c>
      <c r="J429" t="s">
        <v>56</v>
      </c>
      <c r="K429" t="s">
        <v>55</v>
      </c>
      <c r="L429">
        <v>4.5999999999999996</v>
      </c>
      <c r="M429" t="s">
        <v>9</v>
      </c>
      <c r="N429" t="str" cm="1">
        <f t="array" ref="N429">_xlfn.IFS(
    AND(HOUR(A429)&gt;=0, HOUR(A429)&lt;10), "Morning",
    AND(HOUR(A429)&gt;=10, HOUR(A429)&lt;15), "Afternoon",
    AND(HOUR(E429)&gt;=15, HOUR(E429)&lt;19), "Evening",
    AND(HOUR(E429)&gt;=19, HOUR(E429)&lt;=23), "Night"
)</f>
        <v>Evening</v>
      </c>
    </row>
    <row r="430" spans="1:14" x14ac:dyDescent="0.25">
      <c r="A430" s="3">
        <v>42532.743055555555</v>
      </c>
      <c r="B430" s="2">
        <f t="shared" si="38"/>
        <v>42532</v>
      </c>
      <c r="C430" t="str">
        <f t="shared" si="39"/>
        <v>June</v>
      </c>
      <c r="D430" t="str">
        <f t="shared" si="40"/>
        <v>Saturday</v>
      </c>
      <c r="E430" t="str">
        <f t="shared" si="36"/>
        <v>05:50:00 PM</v>
      </c>
      <c r="F430" s="3">
        <v>42532.74722222222</v>
      </c>
      <c r="G430" s="4">
        <f t="shared" si="41"/>
        <v>0.74722222222044365</v>
      </c>
      <c r="H430" t="str">
        <f t="shared" si="37"/>
        <v>6 min</v>
      </c>
      <c r="I430" t="s">
        <v>2</v>
      </c>
      <c r="J430" t="s">
        <v>83</v>
      </c>
      <c r="K430" t="s">
        <v>77</v>
      </c>
      <c r="L430">
        <v>1.7</v>
      </c>
      <c r="M430" t="s">
        <v>52</v>
      </c>
      <c r="N430" t="str" cm="1">
        <f t="array" ref="N430">_xlfn.IFS(
    AND(HOUR(A430)&gt;=0, HOUR(A430)&lt;10), "Morning",
    AND(HOUR(A430)&gt;=10, HOUR(A430)&lt;15), "Afternoon",
    AND(HOUR(E430)&gt;=15, HOUR(E430)&lt;19), "Evening",
    AND(HOUR(E430)&gt;=19, HOUR(E430)&lt;=23), "Night"
)</f>
        <v>Evening</v>
      </c>
    </row>
    <row r="431" spans="1:14" x14ac:dyDescent="0.25">
      <c r="A431" s="3">
        <v>42532.90625</v>
      </c>
      <c r="B431" s="2">
        <f t="shared" si="38"/>
        <v>42532</v>
      </c>
      <c r="C431" t="str">
        <f t="shared" si="39"/>
        <v>June</v>
      </c>
      <c r="D431" t="str">
        <f t="shared" si="40"/>
        <v>Saturday</v>
      </c>
      <c r="E431" t="str">
        <f t="shared" si="36"/>
        <v>09:45:00 PM</v>
      </c>
      <c r="F431" s="3">
        <v>42532.919444444444</v>
      </c>
      <c r="G431" s="4">
        <f t="shared" si="41"/>
        <v>0.91944444444379769</v>
      </c>
      <c r="H431" t="str">
        <f t="shared" si="37"/>
        <v>19 min</v>
      </c>
      <c r="I431" t="s">
        <v>2</v>
      </c>
      <c r="J431" t="s">
        <v>55</v>
      </c>
      <c r="K431" t="s">
        <v>75</v>
      </c>
      <c r="L431">
        <v>10.4</v>
      </c>
      <c r="M431" t="s">
        <v>10</v>
      </c>
      <c r="N431" t="str" cm="1">
        <f t="array" ref="N431">_xlfn.IFS(
    AND(HOUR(A431)&gt;=0, HOUR(A431)&lt;10), "Morning",
    AND(HOUR(A431)&gt;=10, HOUR(A431)&lt;15), "Afternoon",
    AND(HOUR(E431)&gt;=15, HOUR(E431)&lt;19), "Evening",
    AND(HOUR(E431)&gt;=19, HOUR(E431)&lt;=23), "Night"
)</f>
        <v>Night</v>
      </c>
    </row>
    <row r="432" spans="1:14" x14ac:dyDescent="0.25">
      <c r="A432" s="3">
        <v>42532.98541666667</v>
      </c>
      <c r="B432" s="2">
        <f t="shared" si="38"/>
        <v>42532</v>
      </c>
      <c r="C432" t="str">
        <f t="shared" si="39"/>
        <v>June</v>
      </c>
      <c r="D432" t="str">
        <f t="shared" si="40"/>
        <v>Saturday</v>
      </c>
      <c r="E432" t="str">
        <f t="shared" si="36"/>
        <v>11:39:00 PM</v>
      </c>
      <c r="F432" s="3">
        <v>42533.003472222219</v>
      </c>
      <c r="G432" s="4">
        <f t="shared" si="41"/>
        <v>3.4722222189884633E-3</v>
      </c>
      <c r="H432" t="str">
        <f t="shared" si="37"/>
        <v>26 min</v>
      </c>
      <c r="I432" t="s">
        <v>2</v>
      </c>
      <c r="J432" t="s">
        <v>75</v>
      </c>
      <c r="K432" t="s">
        <v>55</v>
      </c>
      <c r="L432">
        <v>9.9</v>
      </c>
      <c r="M432" t="s">
        <v>10</v>
      </c>
      <c r="N432" t="str" cm="1">
        <f t="array" ref="N432">_xlfn.IFS(
    AND(HOUR(A432)&gt;=0, HOUR(A432)&lt;10), "Morning",
    AND(HOUR(A432)&gt;=10, HOUR(A432)&lt;15), "Afternoon",
    AND(HOUR(E432)&gt;=15, HOUR(E432)&lt;19), "Evening",
    AND(HOUR(E432)&gt;=19, HOUR(E432)&lt;=23), "Night"
)</f>
        <v>Night</v>
      </c>
    </row>
    <row r="433" spans="1:14" x14ac:dyDescent="0.25">
      <c r="A433" s="3">
        <v>42533.828472222223</v>
      </c>
      <c r="B433" s="2">
        <f t="shared" si="38"/>
        <v>42533</v>
      </c>
      <c r="C433" t="str">
        <f t="shared" si="39"/>
        <v>June</v>
      </c>
      <c r="D433" t="str">
        <f t="shared" si="40"/>
        <v>Sunday</v>
      </c>
      <c r="E433" t="str">
        <f t="shared" si="36"/>
        <v>07:53:00 PM</v>
      </c>
      <c r="F433" s="3">
        <v>42533.830555555556</v>
      </c>
      <c r="G433" s="4">
        <f t="shared" si="41"/>
        <v>0.83055555555620231</v>
      </c>
      <c r="H433" t="str">
        <f t="shared" si="37"/>
        <v>3 min</v>
      </c>
      <c r="I433" t="s">
        <v>2</v>
      </c>
      <c r="J433" t="s">
        <v>55</v>
      </c>
      <c r="K433" t="s">
        <v>56</v>
      </c>
      <c r="L433">
        <v>2.5</v>
      </c>
      <c r="M433" t="s">
        <v>9</v>
      </c>
      <c r="N433" t="str" cm="1">
        <f t="array" ref="N433">_xlfn.IFS(
    AND(HOUR(A433)&gt;=0, HOUR(A433)&lt;10), "Morning",
    AND(HOUR(A433)&gt;=10, HOUR(A433)&lt;15), "Afternoon",
    AND(HOUR(E433)&gt;=15, HOUR(E433)&lt;19), "Evening",
    AND(HOUR(E433)&gt;=19, HOUR(E433)&lt;=23), "Night"
)</f>
        <v>Night</v>
      </c>
    </row>
    <row r="434" spans="1:14" x14ac:dyDescent="0.25">
      <c r="A434" s="3">
        <v>42533.836805555555</v>
      </c>
      <c r="B434" s="2">
        <f t="shared" si="38"/>
        <v>42533</v>
      </c>
      <c r="C434" t="str">
        <f t="shared" si="39"/>
        <v>June</v>
      </c>
      <c r="D434" t="str">
        <f t="shared" si="40"/>
        <v>Sunday</v>
      </c>
      <c r="E434" t="str">
        <f t="shared" si="36"/>
        <v>08:05:00 PM</v>
      </c>
      <c r="F434" s="3">
        <v>42533.844444444447</v>
      </c>
      <c r="G434" s="4">
        <f t="shared" si="41"/>
        <v>0.84444444444670808</v>
      </c>
      <c r="H434" t="str">
        <f t="shared" si="37"/>
        <v>11 min</v>
      </c>
      <c r="I434" t="s">
        <v>2</v>
      </c>
      <c r="J434" t="s">
        <v>56</v>
      </c>
      <c r="K434" t="s">
        <v>55</v>
      </c>
      <c r="L434">
        <v>4.3</v>
      </c>
      <c r="M434" t="s">
        <v>8</v>
      </c>
      <c r="N434" t="str" cm="1">
        <f t="array" ref="N434">_xlfn.IFS(
    AND(HOUR(A434)&gt;=0, HOUR(A434)&lt;10), "Morning",
    AND(HOUR(A434)&gt;=10, HOUR(A434)&lt;15), "Afternoon",
    AND(HOUR(E434)&gt;=15, HOUR(E434)&lt;19), "Evening",
    AND(HOUR(E434)&gt;=19, HOUR(E434)&lt;=23), "Night"
)</f>
        <v>Night</v>
      </c>
    </row>
    <row r="435" spans="1:14" x14ac:dyDescent="0.25">
      <c r="A435" s="3">
        <v>42533.915277777778</v>
      </c>
      <c r="B435" s="2">
        <f t="shared" si="38"/>
        <v>42533</v>
      </c>
      <c r="C435" t="str">
        <f t="shared" si="39"/>
        <v>June</v>
      </c>
      <c r="D435" t="str">
        <f t="shared" si="40"/>
        <v>Sunday</v>
      </c>
      <c r="E435" t="str">
        <f t="shared" si="36"/>
        <v>09:58:00 PM</v>
      </c>
      <c r="F435" s="3">
        <v>42533.929861111108</v>
      </c>
      <c r="G435" s="4">
        <f t="shared" si="41"/>
        <v>0.92986111110803904</v>
      </c>
      <c r="H435" t="str">
        <f t="shared" si="37"/>
        <v>21 min</v>
      </c>
      <c r="I435" t="s">
        <v>2</v>
      </c>
      <c r="J435" t="s">
        <v>153</v>
      </c>
      <c r="K435" t="s">
        <v>77</v>
      </c>
      <c r="L435">
        <v>2.8</v>
      </c>
      <c r="M435" t="s">
        <v>8</v>
      </c>
      <c r="N435" t="str" cm="1">
        <f t="array" ref="N435">_xlfn.IFS(
    AND(HOUR(A435)&gt;=0, HOUR(A435)&lt;10), "Morning",
    AND(HOUR(A435)&gt;=10, HOUR(A435)&lt;15), "Afternoon",
    AND(HOUR(E435)&gt;=15, HOUR(E435)&lt;19), "Evening",
    AND(HOUR(E435)&gt;=19, HOUR(E435)&lt;=23), "Night"
)</f>
        <v>Night</v>
      </c>
    </row>
    <row r="436" spans="1:14" x14ac:dyDescent="0.25">
      <c r="A436" s="3">
        <v>42534.224305555559</v>
      </c>
      <c r="B436" s="2">
        <f t="shared" si="38"/>
        <v>42534</v>
      </c>
      <c r="C436" t="str">
        <f t="shared" si="39"/>
        <v>June</v>
      </c>
      <c r="D436" t="str">
        <f t="shared" si="40"/>
        <v>Monday</v>
      </c>
      <c r="E436" t="str">
        <f t="shared" si="36"/>
        <v>05:23:00 AM</v>
      </c>
      <c r="F436" s="3">
        <v>42534.237500000003</v>
      </c>
      <c r="G436" s="4">
        <f t="shared" si="41"/>
        <v>0.23750000000291038</v>
      </c>
      <c r="H436" t="str">
        <f t="shared" si="37"/>
        <v>19 min</v>
      </c>
      <c r="I436" t="s">
        <v>2</v>
      </c>
      <c r="J436" t="s">
        <v>55</v>
      </c>
      <c r="K436" t="s">
        <v>56</v>
      </c>
      <c r="L436">
        <v>8.4</v>
      </c>
      <c r="M436" t="s">
        <v>9</v>
      </c>
      <c r="N436" t="str" cm="1">
        <f t="array" ref="N436">_xlfn.IFS(
    AND(HOUR(A436)&gt;=0, HOUR(A436)&lt;10), "Morning",
    AND(HOUR(A436)&gt;=10, HOUR(A436)&lt;15), "Afternoon",
    AND(HOUR(E436)&gt;=15, HOUR(E436)&lt;19), "Evening",
    AND(HOUR(E436)&gt;=19, HOUR(E436)&lt;=23), "Night"
)</f>
        <v>Morning</v>
      </c>
    </row>
    <row r="437" spans="1:14" x14ac:dyDescent="0.25">
      <c r="A437" s="3">
        <v>42534.595138888886</v>
      </c>
      <c r="B437" s="2">
        <f t="shared" si="38"/>
        <v>42534</v>
      </c>
      <c r="C437" t="str">
        <f t="shared" si="39"/>
        <v>June</v>
      </c>
      <c r="D437" t="str">
        <f t="shared" si="40"/>
        <v>Monday</v>
      </c>
      <c r="E437" t="str">
        <f t="shared" si="36"/>
        <v>02:17:00 PM</v>
      </c>
      <c r="F437" s="3">
        <v>42534.615277777775</v>
      </c>
      <c r="G437" s="4">
        <f t="shared" si="41"/>
        <v>0.61527777777519077</v>
      </c>
      <c r="H437" t="str">
        <f t="shared" si="37"/>
        <v>29 min</v>
      </c>
      <c r="I437" t="s">
        <v>2</v>
      </c>
      <c r="J437" t="s">
        <v>182</v>
      </c>
      <c r="K437" t="s">
        <v>183</v>
      </c>
      <c r="L437">
        <v>13.2</v>
      </c>
      <c r="M437" t="s">
        <v>10</v>
      </c>
      <c r="N437" t="str" cm="1">
        <f t="array" ref="N437">_xlfn.IFS(
    AND(HOUR(A437)&gt;=0, HOUR(A437)&lt;10), "Morning",
    AND(HOUR(A437)&gt;=10, HOUR(A437)&lt;15), "Afternoon",
    AND(HOUR(E437)&gt;=15, HOUR(E437)&lt;19), "Evening",
    AND(HOUR(E437)&gt;=19, HOUR(E437)&lt;=23), "Night"
)</f>
        <v>Afternoon</v>
      </c>
    </row>
    <row r="438" spans="1:14" x14ac:dyDescent="0.25">
      <c r="A438" s="3">
        <v>42534.755555555559</v>
      </c>
      <c r="B438" s="2">
        <f t="shared" si="38"/>
        <v>42534</v>
      </c>
      <c r="C438" t="str">
        <f t="shared" si="39"/>
        <v>June</v>
      </c>
      <c r="D438" t="str">
        <f t="shared" si="40"/>
        <v>Monday</v>
      </c>
      <c r="E438" t="str">
        <f t="shared" si="36"/>
        <v>06:08:00 PM</v>
      </c>
      <c r="F438" s="3">
        <v>42534.782638888886</v>
      </c>
      <c r="G438" s="4">
        <f t="shared" si="41"/>
        <v>0.78263888888614019</v>
      </c>
      <c r="H438" t="str">
        <f t="shared" si="37"/>
        <v>39 min</v>
      </c>
      <c r="I438" t="s">
        <v>2</v>
      </c>
      <c r="J438" t="s">
        <v>183</v>
      </c>
      <c r="K438" t="s">
        <v>184</v>
      </c>
      <c r="L438">
        <v>3.9</v>
      </c>
      <c r="M438" t="s">
        <v>9</v>
      </c>
      <c r="N438" t="str" cm="1">
        <f t="array" ref="N438">_xlfn.IFS(
    AND(HOUR(A438)&gt;=0, HOUR(A438)&lt;10), "Morning",
    AND(HOUR(A438)&gt;=10, HOUR(A438)&lt;15), "Afternoon",
    AND(HOUR(E438)&gt;=15, HOUR(E438)&lt;19), "Evening",
    AND(HOUR(E438)&gt;=19, HOUR(E438)&lt;=23), "Night"
)</f>
        <v>Evening</v>
      </c>
    </row>
    <row r="439" spans="1:14" x14ac:dyDescent="0.25">
      <c r="A439" s="3">
        <v>42534.787499999999</v>
      </c>
      <c r="B439" s="2">
        <f t="shared" si="38"/>
        <v>42534</v>
      </c>
      <c r="C439" t="str">
        <f t="shared" si="39"/>
        <v>June</v>
      </c>
      <c r="D439" t="str">
        <f t="shared" si="40"/>
        <v>Monday</v>
      </c>
      <c r="E439" t="str">
        <f t="shared" si="36"/>
        <v>06:54:00 PM</v>
      </c>
      <c r="F439" s="3">
        <v>42534.807638888888</v>
      </c>
      <c r="G439" s="4">
        <f t="shared" si="41"/>
        <v>0.80763888888759539</v>
      </c>
      <c r="H439" t="str">
        <f t="shared" si="37"/>
        <v>29 min</v>
      </c>
      <c r="I439" t="s">
        <v>2</v>
      </c>
      <c r="J439" t="s">
        <v>184</v>
      </c>
      <c r="K439" t="s">
        <v>182</v>
      </c>
      <c r="L439">
        <v>5.0999999999999996</v>
      </c>
      <c r="M439" t="s">
        <v>9</v>
      </c>
      <c r="N439" t="str" cm="1">
        <f t="array" ref="N439">_xlfn.IFS(
    AND(HOUR(A439)&gt;=0, HOUR(A439)&lt;10), "Morning",
    AND(HOUR(A439)&gt;=10, HOUR(A439)&lt;15), "Afternoon",
    AND(HOUR(E439)&gt;=15, HOUR(E439)&lt;19), "Evening",
    AND(HOUR(E439)&gt;=19, HOUR(E439)&lt;=23), "Night"
)</f>
        <v>Evening</v>
      </c>
    </row>
    <row r="440" spans="1:14" x14ac:dyDescent="0.25">
      <c r="A440" s="3">
        <v>42534.833333333336</v>
      </c>
      <c r="B440" s="2">
        <f t="shared" si="38"/>
        <v>42534</v>
      </c>
      <c r="C440" t="str">
        <f t="shared" si="39"/>
        <v>June</v>
      </c>
      <c r="D440" t="str">
        <f t="shared" si="40"/>
        <v>Monday</v>
      </c>
      <c r="E440" t="str">
        <f t="shared" si="36"/>
        <v>08:00:00 PM</v>
      </c>
      <c r="F440" s="3">
        <v>42534.836805555555</v>
      </c>
      <c r="G440" s="4">
        <f t="shared" si="41"/>
        <v>0.83680555555474712</v>
      </c>
      <c r="H440" t="str">
        <f t="shared" si="37"/>
        <v>5 min</v>
      </c>
      <c r="I440" t="s">
        <v>2</v>
      </c>
      <c r="J440" t="s">
        <v>182</v>
      </c>
      <c r="K440" t="s">
        <v>102</v>
      </c>
      <c r="L440">
        <v>5.2</v>
      </c>
      <c r="M440" t="s">
        <v>7</v>
      </c>
      <c r="N440" t="str" cm="1">
        <f t="array" ref="N440">_xlfn.IFS(
    AND(HOUR(A440)&gt;=0, HOUR(A440)&lt;10), "Morning",
    AND(HOUR(A440)&gt;=10, HOUR(A440)&lt;15), "Afternoon",
    AND(HOUR(E440)&gt;=15, HOUR(E440)&lt;19), "Evening",
    AND(HOUR(E440)&gt;=19, HOUR(E440)&lt;=23), "Night"
)</f>
        <v>Night</v>
      </c>
    </row>
    <row r="441" spans="1:14" x14ac:dyDescent="0.25">
      <c r="A441" s="3">
        <v>42535.502083333333</v>
      </c>
      <c r="B441" s="2">
        <f t="shared" si="38"/>
        <v>42535</v>
      </c>
      <c r="C441" t="str">
        <f t="shared" si="39"/>
        <v>June</v>
      </c>
      <c r="D441" t="str">
        <f t="shared" si="40"/>
        <v>Tuesday</v>
      </c>
      <c r="E441" t="str">
        <f t="shared" si="36"/>
        <v>12:03:00 PM</v>
      </c>
      <c r="F441" s="3">
        <v>42535.51458333333</v>
      </c>
      <c r="G441" s="4">
        <f t="shared" si="41"/>
        <v>0.51458333332993789</v>
      </c>
      <c r="H441" t="str">
        <f t="shared" si="37"/>
        <v>18 min</v>
      </c>
      <c r="I441" t="s">
        <v>2</v>
      </c>
      <c r="J441" t="s">
        <v>183</v>
      </c>
      <c r="K441" t="s">
        <v>160</v>
      </c>
      <c r="L441">
        <v>9.8000000000000007</v>
      </c>
      <c r="M441" t="s">
        <v>52</v>
      </c>
      <c r="N441" t="str" cm="1">
        <f t="array" ref="N441">_xlfn.IFS(
    AND(HOUR(A441)&gt;=0, HOUR(A441)&lt;10), "Morning",
    AND(HOUR(A441)&gt;=10, HOUR(A441)&lt;15), "Afternoon",
    AND(HOUR(E441)&gt;=15, HOUR(E441)&lt;19), "Evening",
    AND(HOUR(E441)&gt;=19, HOUR(E441)&lt;=23), "Night"
)</f>
        <v>Afternoon</v>
      </c>
    </row>
    <row r="442" spans="1:14" x14ac:dyDescent="0.25">
      <c r="A442" s="3">
        <v>42535.67291666667</v>
      </c>
      <c r="B442" s="2">
        <f t="shared" si="38"/>
        <v>42535</v>
      </c>
      <c r="C442" t="str">
        <f t="shared" si="39"/>
        <v>June</v>
      </c>
      <c r="D442" t="str">
        <f t="shared" si="40"/>
        <v>Tuesday</v>
      </c>
      <c r="E442" t="str">
        <f t="shared" si="36"/>
        <v>04:09:00 PM</v>
      </c>
      <c r="F442" s="3">
        <v>42535.693749999999</v>
      </c>
      <c r="G442" s="4">
        <f t="shared" si="41"/>
        <v>0.69374999999854481</v>
      </c>
      <c r="H442" t="str">
        <f t="shared" si="37"/>
        <v>30 min</v>
      </c>
      <c r="I442" t="s">
        <v>2</v>
      </c>
      <c r="J442" t="s">
        <v>160</v>
      </c>
      <c r="K442" t="s">
        <v>183</v>
      </c>
      <c r="L442">
        <v>11.6</v>
      </c>
      <c r="M442" t="s">
        <v>10</v>
      </c>
      <c r="N442" t="str" cm="1">
        <f t="array" ref="N442">_xlfn.IFS(
    AND(HOUR(A442)&gt;=0, HOUR(A442)&lt;10), "Morning",
    AND(HOUR(A442)&gt;=10, HOUR(A442)&lt;15), "Afternoon",
    AND(HOUR(E442)&gt;=15, HOUR(E442)&lt;19), "Evening",
    AND(HOUR(E442)&gt;=19, HOUR(E442)&lt;=23), "Night"
)</f>
        <v>Evening</v>
      </c>
    </row>
    <row r="443" spans="1:14" x14ac:dyDescent="0.25">
      <c r="A443" s="3">
        <v>42535.71875</v>
      </c>
      <c r="B443" s="2">
        <f t="shared" si="38"/>
        <v>42535</v>
      </c>
      <c r="C443" t="str">
        <f t="shared" si="39"/>
        <v>June</v>
      </c>
      <c r="D443" t="str">
        <f t="shared" si="40"/>
        <v>Tuesday</v>
      </c>
      <c r="E443" t="str">
        <f t="shared" si="36"/>
        <v>05:15:00 PM</v>
      </c>
      <c r="F443" s="3">
        <v>42535.724999999999</v>
      </c>
      <c r="G443" s="4">
        <f t="shared" si="41"/>
        <v>0.72499999999854481</v>
      </c>
      <c r="H443" t="str">
        <f t="shared" si="37"/>
        <v>9 min</v>
      </c>
      <c r="I443" t="s">
        <v>2</v>
      </c>
      <c r="J443" t="s">
        <v>183</v>
      </c>
      <c r="K443" t="s">
        <v>182</v>
      </c>
      <c r="L443">
        <v>5.0999999999999996</v>
      </c>
      <c r="M443" t="s">
        <v>10</v>
      </c>
      <c r="N443" t="str" cm="1">
        <f t="array" ref="N443">_xlfn.IFS(
    AND(HOUR(A443)&gt;=0, HOUR(A443)&lt;10), "Morning",
    AND(HOUR(A443)&gt;=10, HOUR(A443)&lt;15), "Afternoon",
    AND(HOUR(E443)&gt;=15, HOUR(E443)&lt;19), "Evening",
    AND(HOUR(E443)&gt;=19, HOUR(E443)&lt;=23), "Night"
)</f>
        <v>Evening</v>
      </c>
    </row>
    <row r="444" spans="1:14" x14ac:dyDescent="0.25">
      <c r="A444" s="3">
        <v>42535.727083333331</v>
      </c>
      <c r="B444" s="2">
        <f t="shared" si="38"/>
        <v>42535</v>
      </c>
      <c r="C444" t="str">
        <f t="shared" si="39"/>
        <v>June</v>
      </c>
      <c r="D444" t="str">
        <f t="shared" si="40"/>
        <v>Tuesday</v>
      </c>
      <c r="E444" t="str">
        <f t="shared" si="36"/>
        <v>05:27:00 PM</v>
      </c>
      <c r="F444" s="3">
        <v>42535.747916666667</v>
      </c>
      <c r="G444" s="4">
        <f t="shared" si="41"/>
        <v>0.74791666666715173</v>
      </c>
      <c r="H444" t="str">
        <f t="shared" si="37"/>
        <v>30 min</v>
      </c>
      <c r="I444" t="s">
        <v>2</v>
      </c>
      <c r="J444" t="s">
        <v>70</v>
      </c>
      <c r="K444" t="s">
        <v>185</v>
      </c>
      <c r="L444">
        <v>9.3000000000000007</v>
      </c>
      <c r="M444" t="s">
        <v>8</v>
      </c>
      <c r="N444" t="str" cm="1">
        <f t="array" ref="N444">_xlfn.IFS(
    AND(HOUR(A444)&gt;=0, HOUR(A444)&lt;10), "Morning",
    AND(HOUR(A444)&gt;=10, HOUR(A444)&lt;15), "Afternoon",
    AND(HOUR(E444)&gt;=15, HOUR(E444)&lt;19), "Evening",
    AND(HOUR(E444)&gt;=19, HOUR(E444)&lt;=23), "Night"
)</f>
        <v>Evening</v>
      </c>
    </row>
    <row r="445" spans="1:14" x14ac:dyDescent="0.25">
      <c r="A445" s="3">
        <v>42536.073611111111</v>
      </c>
      <c r="B445" s="2">
        <f t="shared" si="38"/>
        <v>42536</v>
      </c>
      <c r="C445" t="str">
        <f t="shared" si="39"/>
        <v>June</v>
      </c>
      <c r="D445" t="str">
        <f t="shared" si="40"/>
        <v>Wednesday</v>
      </c>
      <c r="E445" t="str">
        <f t="shared" si="36"/>
        <v>01:46:00 AM</v>
      </c>
      <c r="F445" s="3">
        <v>42536.087500000001</v>
      </c>
      <c r="G445" s="4">
        <f t="shared" si="41"/>
        <v>8.7500000001455192E-2</v>
      </c>
      <c r="H445" t="str">
        <f t="shared" si="37"/>
        <v>20 min</v>
      </c>
      <c r="I445" t="s">
        <v>2</v>
      </c>
      <c r="J445" t="s">
        <v>186</v>
      </c>
      <c r="K445" t="s">
        <v>187</v>
      </c>
      <c r="L445">
        <v>12.4</v>
      </c>
      <c r="M445" t="s">
        <v>6</v>
      </c>
      <c r="N445" t="str" cm="1">
        <f t="array" ref="N445">_xlfn.IFS(
    AND(HOUR(A445)&gt;=0, HOUR(A445)&lt;10), "Morning",
    AND(HOUR(A445)&gt;=10, HOUR(A445)&lt;15), "Afternoon",
    AND(HOUR(E445)&gt;=15, HOUR(E445)&lt;19), "Evening",
    AND(HOUR(E445)&gt;=19, HOUR(E445)&lt;=23), "Night"
)</f>
        <v>Morning</v>
      </c>
    </row>
    <row r="446" spans="1:14" x14ac:dyDescent="0.25">
      <c r="A446" s="3">
        <v>42536.643055555556</v>
      </c>
      <c r="B446" s="2">
        <f t="shared" si="38"/>
        <v>42536</v>
      </c>
      <c r="C446" t="str">
        <f t="shared" si="39"/>
        <v>June</v>
      </c>
      <c r="D446" t="str">
        <f t="shared" si="40"/>
        <v>Wednesday</v>
      </c>
      <c r="E446" t="str">
        <f t="shared" si="36"/>
        <v>03:26:00 PM</v>
      </c>
      <c r="F446" s="3">
        <v>42536.648611111108</v>
      </c>
      <c r="G446" s="4">
        <f t="shared" si="41"/>
        <v>0.64861111110803904</v>
      </c>
      <c r="H446" t="str">
        <f t="shared" si="37"/>
        <v>8 min</v>
      </c>
      <c r="I446" t="s">
        <v>2</v>
      </c>
      <c r="J446" t="s">
        <v>188</v>
      </c>
      <c r="K446" t="s">
        <v>189</v>
      </c>
      <c r="L446">
        <v>1.9</v>
      </c>
      <c r="M446" t="s">
        <v>6</v>
      </c>
      <c r="N446" t="str" cm="1">
        <f t="array" ref="N446">_xlfn.IFS(
    AND(HOUR(A446)&gt;=0, HOUR(A446)&lt;10), "Morning",
    AND(HOUR(A446)&gt;=10, HOUR(A446)&lt;15), "Afternoon",
    AND(HOUR(E446)&gt;=15, HOUR(E446)&lt;19), "Evening",
    AND(HOUR(E446)&gt;=19, HOUR(E446)&lt;=23), "Night"
)</f>
        <v>Evening</v>
      </c>
    </row>
    <row r="447" spans="1:14" x14ac:dyDescent="0.25">
      <c r="A447" s="3">
        <v>42536.692361111112</v>
      </c>
      <c r="B447" s="2">
        <f t="shared" si="38"/>
        <v>42536</v>
      </c>
      <c r="C447" t="str">
        <f t="shared" si="39"/>
        <v>June</v>
      </c>
      <c r="D447" t="str">
        <f t="shared" si="40"/>
        <v>Wednesday</v>
      </c>
      <c r="E447" t="str">
        <f t="shared" si="36"/>
        <v>04:37:00 PM</v>
      </c>
      <c r="F447" s="3">
        <v>42536.709722222222</v>
      </c>
      <c r="G447" s="4">
        <f t="shared" si="41"/>
        <v>0.70972222222189885</v>
      </c>
      <c r="H447" t="str">
        <f t="shared" si="37"/>
        <v>25 min</v>
      </c>
      <c r="I447" t="s">
        <v>2</v>
      </c>
      <c r="J447" t="s">
        <v>189</v>
      </c>
      <c r="K447" t="s">
        <v>190</v>
      </c>
      <c r="L447">
        <v>6.4</v>
      </c>
      <c r="M447" t="s">
        <v>7</v>
      </c>
      <c r="N447" t="str" cm="1">
        <f t="array" ref="N447">_xlfn.IFS(
    AND(HOUR(A447)&gt;=0, HOUR(A447)&lt;10), "Morning",
    AND(HOUR(A447)&gt;=10, HOUR(A447)&lt;15), "Afternoon",
    AND(HOUR(E447)&gt;=15, HOUR(E447)&lt;19), "Evening",
    AND(HOUR(E447)&gt;=19, HOUR(E447)&lt;=23), "Night"
)</f>
        <v>Evening</v>
      </c>
    </row>
    <row r="448" spans="1:14" x14ac:dyDescent="0.25">
      <c r="A448" s="3">
        <v>42536.728472222225</v>
      </c>
      <c r="B448" s="2">
        <f t="shared" si="38"/>
        <v>42536</v>
      </c>
      <c r="C448" t="str">
        <f t="shared" si="39"/>
        <v>June</v>
      </c>
      <c r="D448" t="str">
        <f t="shared" si="40"/>
        <v>Wednesday</v>
      </c>
      <c r="E448" t="str">
        <f t="shared" si="36"/>
        <v>05:29:00 PM</v>
      </c>
      <c r="F448" s="3">
        <v>42536.742361111108</v>
      </c>
      <c r="G448" s="4">
        <f t="shared" si="41"/>
        <v>0.74236111110803904</v>
      </c>
      <c r="H448" t="str">
        <f t="shared" si="37"/>
        <v>20 min</v>
      </c>
      <c r="I448" t="s">
        <v>3</v>
      </c>
      <c r="J448" t="s">
        <v>190</v>
      </c>
      <c r="K448" t="s">
        <v>191</v>
      </c>
      <c r="L448">
        <v>5.5</v>
      </c>
      <c r="M448" t="s">
        <v>52</v>
      </c>
      <c r="N448" t="str" cm="1">
        <f t="array" ref="N448">_xlfn.IFS(
    AND(HOUR(A448)&gt;=0, HOUR(A448)&lt;10), "Morning",
    AND(HOUR(A448)&gt;=10, HOUR(A448)&lt;15), "Afternoon",
    AND(HOUR(E448)&gt;=15, HOUR(E448)&lt;19), "Evening",
    AND(HOUR(E448)&gt;=19, HOUR(E448)&lt;=23), "Night"
)</f>
        <v>Evening</v>
      </c>
    </row>
    <row r="449" spans="1:14" x14ac:dyDescent="0.25">
      <c r="A449" s="3">
        <v>42536.827777777777</v>
      </c>
      <c r="B449" s="2">
        <f t="shared" si="38"/>
        <v>42536</v>
      </c>
      <c r="C449" t="str">
        <f t="shared" si="39"/>
        <v>June</v>
      </c>
      <c r="D449" t="str">
        <f t="shared" si="40"/>
        <v>Wednesday</v>
      </c>
      <c r="E449" t="str">
        <f t="shared" si="36"/>
        <v>07:52:00 PM</v>
      </c>
      <c r="F449" s="3">
        <v>42536.831944444442</v>
      </c>
      <c r="G449" s="4">
        <f t="shared" si="41"/>
        <v>0.8319444444423425</v>
      </c>
      <c r="H449" t="str">
        <f t="shared" si="37"/>
        <v>6 min</v>
      </c>
      <c r="I449" t="s">
        <v>2</v>
      </c>
      <c r="J449" t="s">
        <v>191</v>
      </c>
      <c r="K449" t="s">
        <v>192</v>
      </c>
      <c r="L449">
        <v>1.5</v>
      </c>
      <c r="M449" t="s">
        <v>9</v>
      </c>
      <c r="N449" t="str" cm="1">
        <f t="array" ref="N449">_xlfn.IFS(
    AND(HOUR(A449)&gt;=0, HOUR(A449)&lt;10), "Morning",
    AND(HOUR(A449)&gt;=10, HOUR(A449)&lt;15), "Afternoon",
    AND(HOUR(E449)&gt;=15, HOUR(E449)&lt;19), "Evening",
    AND(HOUR(E449)&gt;=19, HOUR(E449)&lt;=23), "Night"
)</f>
        <v>Night</v>
      </c>
    </row>
    <row r="450" spans="1:14" x14ac:dyDescent="0.25">
      <c r="A450" s="3">
        <v>42537.566666666666</v>
      </c>
      <c r="B450" s="2">
        <f t="shared" si="38"/>
        <v>42537</v>
      </c>
      <c r="C450" t="str">
        <f t="shared" si="39"/>
        <v>June</v>
      </c>
      <c r="D450" t="str">
        <f t="shared" si="40"/>
        <v>Thursday</v>
      </c>
      <c r="E450" t="str">
        <f t="shared" ref="E450:E513" si="42">TEXT(A450, "hh:mm:ss AM/PM")</f>
        <v>01:36:00 PM</v>
      </c>
      <c r="F450" s="3">
        <v>42537.604166666664</v>
      </c>
      <c r="G450" s="4">
        <f t="shared" si="41"/>
        <v>0.60416666666424135</v>
      </c>
      <c r="H450" t="str">
        <f t="shared" ref="H450:H513" si="43">HOUR(IF(G450&lt;E450, G450+1-E450, G450-E450))*60 + MINUTE(IF(G450&lt;E450, G450+1-E450, G450-E450)) &amp; " min"</f>
        <v>54 min</v>
      </c>
      <c r="I450" t="s">
        <v>2</v>
      </c>
      <c r="J450" t="s">
        <v>187</v>
      </c>
      <c r="K450" t="s">
        <v>193</v>
      </c>
      <c r="L450">
        <v>14.5</v>
      </c>
      <c r="M450" t="s">
        <v>52</v>
      </c>
      <c r="N450" t="str" cm="1">
        <f t="array" ref="N450">_xlfn.IFS(
    AND(HOUR(A450)&gt;=0, HOUR(A450)&lt;10), "Morning",
    AND(HOUR(A450)&gt;=10, HOUR(A450)&lt;15), "Afternoon",
    AND(HOUR(E450)&gt;=15, HOUR(E450)&lt;19), "Evening",
    AND(HOUR(E450)&gt;=19, HOUR(E450)&lt;=23), "Night"
)</f>
        <v>Afternoon</v>
      </c>
    </row>
    <row r="451" spans="1:14" x14ac:dyDescent="0.25">
      <c r="A451" s="3">
        <v>42537.612500000003</v>
      </c>
      <c r="B451" s="2">
        <f t="shared" ref="B451:B514" si="44">INT(A451)</f>
        <v>42537</v>
      </c>
      <c r="C451" t="str">
        <f t="shared" ref="C451:C514" si="45">TEXT(B451, "mmmm")</f>
        <v>June</v>
      </c>
      <c r="D451" t="str">
        <f t="shared" ref="D451:D514" si="46">TEXT(B451, "dddd")</f>
        <v>Thursday</v>
      </c>
      <c r="E451" t="str">
        <f t="shared" si="42"/>
        <v>02:42:00 PM</v>
      </c>
      <c r="F451" s="3">
        <v>42537.615277777775</v>
      </c>
      <c r="G451" s="4">
        <f t="shared" ref="G451:G514" si="47">F451-INT(F451)</f>
        <v>0.61527777777519077</v>
      </c>
      <c r="H451" t="str">
        <f t="shared" si="43"/>
        <v>4 min</v>
      </c>
      <c r="I451" t="s">
        <v>2</v>
      </c>
      <c r="J451" t="s">
        <v>193</v>
      </c>
      <c r="K451" t="s">
        <v>186</v>
      </c>
      <c r="L451">
        <v>2.7</v>
      </c>
      <c r="M451" t="s">
        <v>52</v>
      </c>
      <c r="N451" t="str" cm="1">
        <f t="array" ref="N451">_xlfn.IFS(
    AND(HOUR(A451)&gt;=0, HOUR(A451)&lt;10), "Morning",
    AND(HOUR(A451)&gt;=10, HOUR(A451)&lt;15), "Afternoon",
    AND(HOUR(E451)&gt;=15, HOUR(E451)&lt;19), "Evening",
    AND(HOUR(E451)&gt;=19, HOUR(E451)&lt;=23), "Night"
)</f>
        <v>Afternoon</v>
      </c>
    </row>
    <row r="452" spans="1:14" x14ac:dyDescent="0.25">
      <c r="A452" s="3">
        <v>42537.636805555558</v>
      </c>
      <c r="B452" s="2">
        <f t="shared" si="44"/>
        <v>42537</v>
      </c>
      <c r="C452" t="str">
        <f t="shared" si="45"/>
        <v>June</v>
      </c>
      <c r="D452" t="str">
        <f t="shared" si="46"/>
        <v>Thursday</v>
      </c>
      <c r="E452" t="str">
        <f t="shared" si="42"/>
        <v>03:17:00 PM</v>
      </c>
      <c r="F452" s="3">
        <v>42537.65347222222</v>
      </c>
      <c r="G452" s="4">
        <f t="shared" si="47"/>
        <v>0.65347222222044365</v>
      </c>
      <c r="H452" t="str">
        <f t="shared" si="43"/>
        <v>24 min</v>
      </c>
      <c r="I452" t="s">
        <v>2</v>
      </c>
      <c r="J452" t="s">
        <v>186</v>
      </c>
      <c r="K452" t="s">
        <v>187</v>
      </c>
      <c r="L452">
        <v>15</v>
      </c>
      <c r="M452" t="s">
        <v>52</v>
      </c>
      <c r="N452" t="str" cm="1">
        <f t="array" ref="N452">_xlfn.IFS(
    AND(HOUR(A452)&gt;=0, HOUR(A452)&lt;10), "Morning",
    AND(HOUR(A452)&gt;=10, HOUR(A452)&lt;15), "Afternoon",
    AND(HOUR(E452)&gt;=15, HOUR(E452)&lt;19), "Evening",
    AND(HOUR(E452)&gt;=19, HOUR(E452)&lt;=23), "Night"
)</f>
        <v>Evening</v>
      </c>
    </row>
    <row r="453" spans="1:14" x14ac:dyDescent="0.25">
      <c r="A453" s="3">
        <v>42537.818749999999</v>
      </c>
      <c r="B453" s="2">
        <f t="shared" si="44"/>
        <v>42537</v>
      </c>
      <c r="C453" t="str">
        <f t="shared" si="45"/>
        <v>June</v>
      </c>
      <c r="D453" t="str">
        <f t="shared" si="46"/>
        <v>Thursday</v>
      </c>
      <c r="E453" t="str">
        <f t="shared" si="42"/>
        <v>07:39:00 PM</v>
      </c>
      <c r="F453" s="3">
        <v>42537.830555555556</v>
      </c>
      <c r="G453" s="4">
        <f t="shared" si="47"/>
        <v>0.83055555555620231</v>
      </c>
      <c r="H453" t="str">
        <f t="shared" si="43"/>
        <v>17 min</v>
      </c>
      <c r="I453" t="s">
        <v>2</v>
      </c>
      <c r="J453" t="s">
        <v>187</v>
      </c>
      <c r="K453" t="s">
        <v>186</v>
      </c>
      <c r="L453">
        <v>12.9</v>
      </c>
      <c r="M453" t="s">
        <v>52</v>
      </c>
      <c r="N453" t="str" cm="1">
        <f t="array" ref="N453">_xlfn.IFS(
    AND(HOUR(A453)&gt;=0, HOUR(A453)&lt;10), "Morning",
    AND(HOUR(A453)&gt;=10, HOUR(A453)&lt;15), "Afternoon",
    AND(HOUR(E453)&gt;=15, HOUR(E453)&lt;19), "Evening",
    AND(HOUR(E453)&gt;=19, HOUR(E453)&lt;=23), "Night"
)</f>
        <v>Night</v>
      </c>
    </row>
    <row r="454" spans="1:14" x14ac:dyDescent="0.25">
      <c r="A454" s="3">
        <v>42537.904861111114</v>
      </c>
      <c r="B454" s="2">
        <f t="shared" si="44"/>
        <v>42537</v>
      </c>
      <c r="C454" t="str">
        <f t="shared" si="45"/>
        <v>June</v>
      </c>
      <c r="D454" t="str">
        <f t="shared" si="46"/>
        <v>Thursday</v>
      </c>
      <c r="E454" t="str">
        <f t="shared" si="42"/>
        <v>09:43:00 PM</v>
      </c>
      <c r="F454" s="3">
        <v>42537.913888888892</v>
      </c>
      <c r="G454" s="4">
        <f t="shared" si="47"/>
        <v>0.91388888889196096</v>
      </c>
      <c r="H454" t="str">
        <f t="shared" si="43"/>
        <v>13 min</v>
      </c>
      <c r="I454" t="s">
        <v>2</v>
      </c>
      <c r="J454" t="s">
        <v>186</v>
      </c>
      <c r="K454" t="s">
        <v>187</v>
      </c>
      <c r="L454">
        <v>13.6</v>
      </c>
      <c r="M454" t="s">
        <v>52</v>
      </c>
      <c r="N454" t="str" cm="1">
        <f t="array" ref="N454">_xlfn.IFS(
    AND(HOUR(A454)&gt;=0, HOUR(A454)&lt;10), "Morning",
    AND(HOUR(A454)&gt;=10, HOUR(A454)&lt;15), "Afternoon",
    AND(HOUR(E454)&gt;=15, HOUR(E454)&lt;19), "Evening",
    AND(HOUR(E454)&gt;=19, HOUR(E454)&lt;=23), "Night"
)</f>
        <v>Night</v>
      </c>
    </row>
    <row r="455" spans="1:14" x14ac:dyDescent="0.25">
      <c r="A455" s="3">
        <v>42538.674305555556</v>
      </c>
      <c r="B455" s="2">
        <f t="shared" si="44"/>
        <v>42538</v>
      </c>
      <c r="C455" t="str">
        <f t="shared" si="45"/>
        <v>June</v>
      </c>
      <c r="D455" t="str">
        <f t="shared" si="46"/>
        <v>Friday</v>
      </c>
      <c r="E455" t="str">
        <f t="shared" si="42"/>
        <v>04:11:00 PM</v>
      </c>
      <c r="F455" s="3">
        <v>42538.697222222225</v>
      </c>
      <c r="G455" s="4">
        <f t="shared" si="47"/>
        <v>0.69722222222480923</v>
      </c>
      <c r="H455" t="str">
        <f t="shared" si="43"/>
        <v>33 min</v>
      </c>
      <c r="I455" t="s">
        <v>2</v>
      </c>
      <c r="J455" t="s">
        <v>187</v>
      </c>
      <c r="K455" t="s">
        <v>186</v>
      </c>
      <c r="L455">
        <v>12.2</v>
      </c>
      <c r="M455" t="s">
        <v>52</v>
      </c>
      <c r="N455" t="str" cm="1">
        <f t="array" ref="N455">_xlfn.IFS(
    AND(HOUR(A455)&gt;=0, HOUR(A455)&lt;10), "Morning",
    AND(HOUR(A455)&gt;=10, HOUR(A455)&lt;15), "Afternoon",
    AND(HOUR(E455)&gt;=15, HOUR(E455)&lt;19), "Evening",
    AND(HOUR(E455)&gt;=19, HOUR(E455)&lt;=23), "Night"
)</f>
        <v>Evening</v>
      </c>
    </row>
    <row r="456" spans="1:14" x14ac:dyDescent="0.25">
      <c r="A456" s="3">
        <v>42539.020138888889</v>
      </c>
      <c r="B456" s="2">
        <f t="shared" si="44"/>
        <v>42539</v>
      </c>
      <c r="C456" t="str">
        <f t="shared" si="45"/>
        <v>June</v>
      </c>
      <c r="D456" t="str">
        <f t="shared" si="46"/>
        <v>Saturday</v>
      </c>
      <c r="E456" t="str">
        <f t="shared" si="42"/>
        <v>12:29:00 AM</v>
      </c>
      <c r="F456" s="3">
        <v>42539.035416666666</v>
      </c>
      <c r="G456" s="4">
        <f t="shared" si="47"/>
        <v>3.5416666665696539E-2</v>
      </c>
      <c r="H456" t="str">
        <f t="shared" si="43"/>
        <v>22 min</v>
      </c>
      <c r="I456" t="s">
        <v>2</v>
      </c>
      <c r="J456" t="s">
        <v>56</v>
      </c>
      <c r="K456" t="s">
        <v>55</v>
      </c>
      <c r="L456">
        <v>8.6999999999999993</v>
      </c>
      <c r="M456" t="s">
        <v>52</v>
      </c>
      <c r="N456" t="str" cm="1">
        <f t="array" ref="N456">_xlfn.IFS(
    AND(HOUR(A456)&gt;=0, HOUR(A456)&lt;10), "Morning",
    AND(HOUR(A456)&gt;=10, HOUR(A456)&lt;15), "Afternoon",
    AND(HOUR(E456)&gt;=15, HOUR(E456)&lt;19), "Evening",
    AND(HOUR(E456)&gt;=19, HOUR(E456)&lt;=23), "Night"
)</f>
        <v>Morning</v>
      </c>
    </row>
    <row r="457" spans="1:14" x14ac:dyDescent="0.25">
      <c r="A457" s="3">
        <v>42540.11041666667</v>
      </c>
      <c r="B457" s="2">
        <f t="shared" si="44"/>
        <v>42540</v>
      </c>
      <c r="C457" t="str">
        <f t="shared" si="45"/>
        <v>June</v>
      </c>
      <c r="D457" t="str">
        <f t="shared" si="46"/>
        <v>Sunday</v>
      </c>
      <c r="E457" t="str">
        <f t="shared" si="42"/>
        <v>02:39:00 AM</v>
      </c>
      <c r="F457" s="3">
        <v>42540.118055555555</v>
      </c>
      <c r="G457" s="4">
        <f t="shared" si="47"/>
        <v>0.11805555555474712</v>
      </c>
      <c r="H457" t="str">
        <f t="shared" si="43"/>
        <v>11 min</v>
      </c>
      <c r="I457" t="s">
        <v>2</v>
      </c>
      <c r="J457" t="s">
        <v>55</v>
      </c>
      <c r="K457" t="s">
        <v>79</v>
      </c>
      <c r="L457">
        <v>6</v>
      </c>
      <c r="M457" t="s">
        <v>52</v>
      </c>
      <c r="N457" t="str" cm="1">
        <f t="array" ref="N457">_xlfn.IFS(
    AND(HOUR(A457)&gt;=0, HOUR(A457)&lt;10), "Morning",
    AND(HOUR(A457)&gt;=10, HOUR(A457)&lt;15), "Afternoon",
    AND(HOUR(E457)&gt;=15, HOUR(E457)&lt;19), "Evening",
    AND(HOUR(E457)&gt;=19, HOUR(E457)&lt;=23), "Night"
)</f>
        <v>Morning</v>
      </c>
    </row>
    <row r="458" spans="1:14" x14ac:dyDescent="0.25">
      <c r="A458" s="3">
        <v>42540.243750000001</v>
      </c>
      <c r="B458" s="2">
        <f t="shared" si="44"/>
        <v>42540</v>
      </c>
      <c r="C458" t="str">
        <f t="shared" si="45"/>
        <v>June</v>
      </c>
      <c r="D458" t="str">
        <f t="shared" si="46"/>
        <v>Sunday</v>
      </c>
      <c r="E458" t="str">
        <f t="shared" si="42"/>
        <v>05:51:00 AM</v>
      </c>
      <c r="F458" s="3">
        <v>42540.25</v>
      </c>
      <c r="G458" s="4">
        <f t="shared" si="47"/>
        <v>0.25</v>
      </c>
      <c r="H458" t="str">
        <f t="shared" si="43"/>
        <v>9 min</v>
      </c>
      <c r="I458" t="s">
        <v>2</v>
      </c>
      <c r="J458" t="s">
        <v>79</v>
      </c>
      <c r="K458" t="s">
        <v>55</v>
      </c>
      <c r="L458">
        <v>5.9</v>
      </c>
      <c r="M458" t="s">
        <v>52</v>
      </c>
      <c r="N458" t="str" cm="1">
        <f t="array" ref="N458">_xlfn.IFS(
    AND(HOUR(A458)&gt;=0, HOUR(A458)&lt;10), "Morning",
    AND(HOUR(A458)&gt;=10, HOUR(A458)&lt;15), "Afternoon",
    AND(HOUR(E458)&gt;=15, HOUR(E458)&lt;19), "Evening",
    AND(HOUR(E458)&gt;=19, HOUR(E458)&lt;=23), "Night"
)</f>
        <v>Morning</v>
      </c>
    </row>
    <row r="459" spans="1:14" x14ac:dyDescent="0.25">
      <c r="A459" s="3">
        <v>42542.652083333334</v>
      </c>
      <c r="B459" s="2">
        <f t="shared" si="44"/>
        <v>42542</v>
      </c>
      <c r="C459" t="str">
        <f t="shared" si="45"/>
        <v>June</v>
      </c>
      <c r="D459" t="str">
        <f t="shared" si="46"/>
        <v>Tuesday</v>
      </c>
      <c r="E459" t="str">
        <f t="shared" si="42"/>
        <v>03:39:00 PM</v>
      </c>
      <c r="F459" s="3">
        <v>42542.672222222223</v>
      </c>
      <c r="G459" s="4">
        <f t="shared" si="47"/>
        <v>0.67222222222335404</v>
      </c>
      <c r="H459" t="str">
        <f t="shared" si="43"/>
        <v>29 min</v>
      </c>
      <c r="I459" t="s">
        <v>2</v>
      </c>
      <c r="J459" t="s">
        <v>55</v>
      </c>
      <c r="K459" t="s">
        <v>79</v>
      </c>
      <c r="L459">
        <v>19.3</v>
      </c>
      <c r="M459" t="s">
        <v>52</v>
      </c>
      <c r="N459" t="str" cm="1">
        <f t="array" ref="N459">_xlfn.IFS(
    AND(HOUR(A459)&gt;=0, HOUR(A459)&lt;10), "Morning",
    AND(HOUR(A459)&gt;=10, HOUR(A459)&lt;15), "Afternoon",
    AND(HOUR(E459)&gt;=15, HOUR(E459)&lt;19), "Evening",
    AND(HOUR(E459)&gt;=19, HOUR(E459)&lt;=23), "Night"
)</f>
        <v>Evening</v>
      </c>
    </row>
    <row r="460" spans="1:14" x14ac:dyDescent="0.25">
      <c r="A460" s="3">
        <v>42542.71597222222</v>
      </c>
      <c r="B460" s="2">
        <f t="shared" si="44"/>
        <v>42542</v>
      </c>
      <c r="C460" t="str">
        <f t="shared" si="45"/>
        <v>June</v>
      </c>
      <c r="D460" t="str">
        <f t="shared" si="46"/>
        <v>Tuesday</v>
      </c>
      <c r="E460" t="str">
        <f t="shared" si="42"/>
        <v>05:11:00 PM</v>
      </c>
      <c r="F460" s="3">
        <v>42542.751388888886</v>
      </c>
      <c r="G460" s="4">
        <f t="shared" si="47"/>
        <v>0.75138888888614019</v>
      </c>
      <c r="H460" t="str">
        <f t="shared" si="43"/>
        <v>51 min</v>
      </c>
      <c r="I460" t="s">
        <v>2</v>
      </c>
      <c r="J460" t="s">
        <v>79</v>
      </c>
      <c r="K460" t="s">
        <v>55</v>
      </c>
      <c r="L460">
        <v>16.600000000000001</v>
      </c>
      <c r="M460" t="s">
        <v>9</v>
      </c>
      <c r="N460" t="str" cm="1">
        <f t="array" ref="N460">_xlfn.IFS(
    AND(HOUR(A460)&gt;=0, HOUR(A460)&lt;10), "Morning",
    AND(HOUR(A460)&gt;=10, HOUR(A460)&lt;15), "Afternoon",
    AND(HOUR(E460)&gt;=15, HOUR(E460)&lt;19), "Evening",
    AND(HOUR(E460)&gt;=19, HOUR(E460)&lt;=23), "Night"
)</f>
        <v>Evening</v>
      </c>
    </row>
    <row r="461" spans="1:14" x14ac:dyDescent="0.25">
      <c r="A461" s="3">
        <v>42545.445138888892</v>
      </c>
      <c r="B461" s="2">
        <f t="shared" si="44"/>
        <v>42545</v>
      </c>
      <c r="C461" t="str">
        <f t="shared" si="45"/>
        <v>June</v>
      </c>
      <c r="D461" t="str">
        <f t="shared" si="46"/>
        <v>Friday</v>
      </c>
      <c r="E461" t="str">
        <f t="shared" si="42"/>
        <v>10:41:00 AM</v>
      </c>
      <c r="F461" s="3">
        <v>42545.456250000003</v>
      </c>
      <c r="G461" s="4">
        <f t="shared" si="47"/>
        <v>0.45625000000291038</v>
      </c>
      <c r="H461" t="str">
        <f t="shared" si="43"/>
        <v>16 min</v>
      </c>
      <c r="I461" t="s">
        <v>2</v>
      </c>
      <c r="J461" t="s">
        <v>77</v>
      </c>
      <c r="K461" t="s">
        <v>109</v>
      </c>
      <c r="L461">
        <v>7.1</v>
      </c>
      <c r="M461" t="s">
        <v>9</v>
      </c>
      <c r="N461" t="str" cm="1">
        <f t="array" ref="N461">_xlfn.IFS(
    AND(HOUR(A461)&gt;=0, HOUR(A461)&lt;10), "Morning",
    AND(HOUR(A461)&gt;=10, HOUR(A461)&lt;15), "Afternoon",
    AND(HOUR(E461)&gt;=15, HOUR(E461)&lt;19), "Evening",
    AND(HOUR(E461)&gt;=19, HOUR(E461)&lt;=23), "Night"
)</f>
        <v>Afternoon</v>
      </c>
    </row>
    <row r="462" spans="1:14" x14ac:dyDescent="0.25">
      <c r="A462" s="3">
        <v>42545.495833333334</v>
      </c>
      <c r="B462" s="2">
        <f t="shared" si="44"/>
        <v>42545</v>
      </c>
      <c r="C462" t="str">
        <f t="shared" si="45"/>
        <v>June</v>
      </c>
      <c r="D462" t="str">
        <f t="shared" si="46"/>
        <v>Friday</v>
      </c>
      <c r="E462" t="str">
        <f t="shared" si="42"/>
        <v>11:54:00 AM</v>
      </c>
      <c r="F462" s="3">
        <v>42545.500694444447</v>
      </c>
      <c r="G462" s="4">
        <f t="shared" si="47"/>
        <v>0.50069444444670808</v>
      </c>
      <c r="H462" t="str">
        <f t="shared" si="43"/>
        <v>7 min</v>
      </c>
      <c r="I462" t="s">
        <v>2</v>
      </c>
      <c r="J462" t="s">
        <v>109</v>
      </c>
      <c r="K462" t="s">
        <v>91</v>
      </c>
      <c r="L462">
        <v>2.1</v>
      </c>
      <c r="M462" t="s">
        <v>9</v>
      </c>
      <c r="N462" t="str" cm="1">
        <f t="array" ref="N462">_xlfn.IFS(
    AND(HOUR(A462)&gt;=0, HOUR(A462)&lt;10), "Morning",
    AND(HOUR(A462)&gt;=10, HOUR(A462)&lt;15), "Afternoon",
    AND(HOUR(E462)&gt;=15, HOUR(E462)&lt;19), "Evening",
    AND(HOUR(E462)&gt;=19, HOUR(E462)&lt;=23), "Night"
)</f>
        <v>Afternoon</v>
      </c>
    </row>
    <row r="463" spans="1:14" x14ac:dyDescent="0.25">
      <c r="A463" s="3">
        <v>42545.513194444444</v>
      </c>
      <c r="B463" s="2">
        <f t="shared" si="44"/>
        <v>42545</v>
      </c>
      <c r="C463" t="str">
        <f t="shared" si="45"/>
        <v>June</v>
      </c>
      <c r="D463" t="str">
        <f t="shared" si="46"/>
        <v>Friday</v>
      </c>
      <c r="E463" t="str">
        <f t="shared" si="42"/>
        <v>12:19:00 PM</v>
      </c>
      <c r="F463" s="3">
        <v>42545.525694444441</v>
      </c>
      <c r="G463" s="4">
        <f t="shared" si="47"/>
        <v>0.52569444444088731</v>
      </c>
      <c r="H463" t="str">
        <f t="shared" si="43"/>
        <v>18 min</v>
      </c>
      <c r="I463" t="s">
        <v>2</v>
      </c>
      <c r="J463" t="s">
        <v>55</v>
      </c>
      <c r="K463" t="s">
        <v>79</v>
      </c>
      <c r="L463">
        <v>8.6</v>
      </c>
      <c r="M463" t="s">
        <v>8</v>
      </c>
      <c r="N463" t="str" cm="1">
        <f t="array" ref="N463">_xlfn.IFS(
    AND(HOUR(A463)&gt;=0, HOUR(A463)&lt;10), "Morning",
    AND(HOUR(A463)&gt;=10, HOUR(A463)&lt;15), "Afternoon",
    AND(HOUR(E463)&gt;=15, HOUR(E463)&lt;19), "Evening",
    AND(HOUR(E463)&gt;=19, HOUR(E463)&lt;=23), "Night"
)</f>
        <v>Afternoon</v>
      </c>
    </row>
    <row r="464" spans="1:14" x14ac:dyDescent="0.25">
      <c r="A464" s="3">
        <v>42545.534722222219</v>
      </c>
      <c r="B464" s="2">
        <f t="shared" si="44"/>
        <v>42545</v>
      </c>
      <c r="C464" t="str">
        <f t="shared" si="45"/>
        <v>June</v>
      </c>
      <c r="D464" t="str">
        <f t="shared" si="46"/>
        <v>Friday</v>
      </c>
      <c r="E464" t="str">
        <f t="shared" si="42"/>
        <v>12:50:00 PM</v>
      </c>
      <c r="F464" s="3">
        <v>42545.55</v>
      </c>
      <c r="G464" s="4">
        <f t="shared" si="47"/>
        <v>0.55000000000291038</v>
      </c>
      <c r="H464" t="str">
        <f t="shared" si="43"/>
        <v>22 min</v>
      </c>
      <c r="I464" t="s">
        <v>2</v>
      </c>
      <c r="J464" t="s">
        <v>79</v>
      </c>
      <c r="K464" t="s">
        <v>56</v>
      </c>
      <c r="L464">
        <v>9</v>
      </c>
      <c r="M464" t="s">
        <v>8</v>
      </c>
      <c r="N464" t="str" cm="1">
        <f t="array" ref="N464">_xlfn.IFS(
    AND(HOUR(A464)&gt;=0, HOUR(A464)&lt;10), "Morning",
    AND(HOUR(A464)&gt;=10, HOUR(A464)&lt;15), "Afternoon",
    AND(HOUR(E464)&gt;=15, HOUR(E464)&lt;19), "Evening",
    AND(HOUR(E464)&gt;=19, HOUR(E464)&lt;=23), "Night"
)</f>
        <v>Afternoon</v>
      </c>
    </row>
    <row r="465" spans="1:14" x14ac:dyDescent="0.25">
      <c r="A465" s="3">
        <v>42545.554166666669</v>
      </c>
      <c r="B465" s="2">
        <f t="shared" si="44"/>
        <v>42545</v>
      </c>
      <c r="C465" t="str">
        <f t="shared" si="45"/>
        <v>June</v>
      </c>
      <c r="D465" t="str">
        <f t="shared" si="46"/>
        <v>Friday</v>
      </c>
      <c r="E465" t="str">
        <f t="shared" si="42"/>
        <v>01:18:00 PM</v>
      </c>
      <c r="F465" s="3">
        <v>42545.560416666667</v>
      </c>
      <c r="G465" s="4">
        <f t="shared" si="47"/>
        <v>0.56041666666715173</v>
      </c>
      <c r="H465" t="str">
        <f t="shared" si="43"/>
        <v>9 min</v>
      </c>
      <c r="I465" t="s">
        <v>2</v>
      </c>
      <c r="J465" t="s">
        <v>56</v>
      </c>
      <c r="K465" t="s">
        <v>55</v>
      </c>
      <c r="L465">
        <v>3.1</v>
      </c>
      <c r="M465" t="s">
        <v>8</v>
      </c>
      <c r="N465" t="str" cm="1">
        <f t="array" ref="N465">_xlfn.IFS(
    AND(HOUR(A465)&gt;=0, HOUR(A465)&lt;10), "Morning",
    AND(HOUR(A465)&gt;=10, HOUR(A465)&lt;15), "Afternoon",
    AND(HOUR(E465)&gt;=15, HOUR(E465)&lt;19), "Evening",
    AND(HOUR(E465)&gt;=19, HOUR(E465)&lt;=23), "Night"
)</f>
        <v>Afternoon</v>
      </c>
    </row>
    <row r="466" spans="1:14" x14ac:dyDescent="0.25">
      <c r="A466" s="3">
        <v>42545.584027777775</v>
      </c>
      <c r="B466" s="2">
        <f t="shared" si="44"/>
        <v>42545</v>
      </c>
      <c r="C466" t="str">
        <f t="shared" si="45"/>
        <v>June</v>
      </c>
      <c r="D466" t="str">
        <f t="shared" si="46"/>
        <v>Friday</v>
      </c>
      <c r="E466" t="str">
        <f t="shared" si="42"/>
        <v>02:01:00 PM</v>
      </c>
      <c r="F466" s="3">
        <v>42545.597222222219</v>
      </c>
      <c r="G466" s="4">
        <f t="shared" si="47"/>
        <v>0.59722222221898846</v>
      </c>
      <c r="H466" t="str">
        <f t="shared" si="43"/>
        <v>19 min</v>
      </c>
      <c r="I466" t="s">
        <v>2</v>
      </c>
      <c r="J466" t="s">
        <v>55</v>
      </c>
      <c r="K466" t="s">
        <v>56</v>
      </c>
      <c r="L466">
        <v>8.4</v>
      </c>
      <c r="M466" t="s">
        <v>11</v>
      </c>
      <c r="N466" t="str" cm="1">
        <f t="array" ref="N466">_xlfn.IFS(
    AND(HOUR(A466)&gt;=0, HOUR(A466)&lt;10), "Morning",
    AND(HOUR(A466)&gt;=10, HOUR(A466)&lt;15), "Afternoon",
    AND(HOUR(E466)&gt;=15, HOUR(E466)&lt;19), "Evening",
    AND(HOUR(E466)&gt;=19, HOUR(E466)&lt;=23), "Night"
)</f>
        <v>Afternoon</v>
      </c>
    </row>
    <row r="467" spans="1:14" x14ac:dyDescent="0.25">
      <c r="A467" s="3">
        <v>42545.863888888889</v>
      </c>
      <c r="B467" s="2">
        <f t="shared" si="44"/>
        <v>42545</v>
      </c>
      <c r="C467" t="str">
        <f t="shared" si="45"/>
        <v>June</v>
      </c>
      <c r="D467" t="str">
        <f t="shared" si="46"/>
        <v>Friday</v>
      </c>
      <c r="E467" t="str">
        <f t="shared" si="42"/>
        <v>08:44:00 PM</v>
      </c>
      <c r="F467" s="3">
        <v>42545.876388888886</v>
      </c>
      <c r="G467" s="4">
        <f t="shared" si="47"/>
        <v>0.87638888888614019</v>
      </c>
      <c r="H467" t="str">
        <f t="shared" si="43"/>
        <v>18 min</v>
      </c>
      <c r="I467" t="s">
        <v>2</v>
      </c>
      <c r="J467" t="s">
        <v>186</v>
      </c>
      <c r="K467" t="s">
        <v>187</v>
      </c>
      <c r="L467">
        <v>12.8</v>
      </c>
      <c r="M467" t="s">
        <v>52</v>
      </c>
      <c r="N467" t="str" cm="1">
        <f t="array" ref="N467">_xlfn.IFS(
    AND(HOUR(A467)&gt;=0, HOUR(A467)&lt;10), "Morning",
    AND(HOUR(A467)&gt;=10, HOUR(A467)&lt;15), "Afternoon",
    AND(HOUR(E467)&gt;=15, HOUR(E467)&lt;19), "Evening",
    AND(HOUR(E467)&gt;=19, HOUR(E467)&lt;=23), "Night"
)</f>
        <v>Night</v>
      </c>
    </row>
    <row r="468" spans="1:14" x14ac:dyDescent="0.25">
      <c r="A468" s="3">
        <v>42546.377083333333</v>
      </c>
      <c r="B468" s="2">
        <f t="shared" si="44"/>
        <v>42546</v>
      </c>
      <c r="C468" t="str">
        <f t="shared" si="45"/>
        <v>June</v>
      </c>
      <c r="D468" t="str">
        <f t="shared" si="46"/>
        <v>Saturday</v>
      </c>
      <c r="E468" t="str">
        <f t="shared" si="42"/>
        <v>09:03:00 AM</v>
      </c>
      <c r="F468" s="3">
        <v>42546.383333333331</v>
      </c>
      <c r="G468" s="4">
        <f t="shared" si="47"/>
        <v>0.38333333333139308</v>
      </c>
      <c r="H468" t="str">
        <f t="shared" si="43"/>
        <v>9 min</v>
      </c>
      <c r="I468" t="s">
        <v>2</v>
      </c>
      <c r="J468" t="s">
        <v>188</v>
      </c>
      <c r="K468" t="s">
        <v>194</v>
      </c>
      <c r="L468">
        <v>4.5</v>
      </c>
      <c r="M468" t="s">
        <v>52</v>
      </c>
      <c r="N468" t="str" cm="1">
        <f t="array" ref="N468">_xlfn.IFS(
    AND(HOUR(A468)&gt;=0, HOUR(A468)&lt;10), "Morning",
    AND(HOUR(A468)&gt;=10, HOUR(A468)&lt;15), "Afternoon",
    AND(HOUR(E468)&gt;=15, HOUR(E468)&lt;19), "Evening",
    AND(HOUR(E468)&gt;=19, HOUR(E468)&lt;=23), "Night"
)</f>
        <v>Morning</v>
      </c>
    </row>
    <row r="469" spans="1:14" x14ac:dyDescent="0.25">
      <c r="A469" s="3">
        <v>42546.385416666664</v>
      </c>
      <c r="B469" s="2">
        <f t="shared" si="44"/>
        <v>42546</v>
      </c>
      <c r="C469" t="str">
        <f t="shared" si="45"/>
        <v>June</v>
      </c>
      <c r="D469" t="str">
        <f t="shared" si="46"/>
        <v>Saturday</v>
      </c>
      <c r="E469" t="str">
        <f t="shared" si="42"/>
        <v>09:15:00 AM</v>
      </c>
      <c r="F469" s="3">
        <v>42546.422222222223</v>
      </c>
      <c r="G469" s="4">
        <f t="shared" si="47"/>
        <v>0.42222222222335404</v>
      </c>
      <c r="H469" t="str">
        <f t="shared" si="43"/>
        <v>53 min</v>
      </c>
      <c r="I469" t="s">
        <v>2</v>
      </c>
      <c r="J469" t="s">
        <v>187</v>
      </c>
      <c r="K469" t="s">
        <v>195</v>
      </c>
      <c r="L469">
        <v>11.8</v>
      </c>
      <c r="M469" t="s">
        <v>6</v>
      </c>
      <c r="N469" t="str" cm="1">
        <f t="array" ref="N469">_xlfn.IFS(
    AND(HOUR(A469)&gt;=0, HOUR(A469)&lt;10), "Morning",
    AND(HOUR(A469)&gt;=10, HOUR(A469)&lt;15), "Afternoon",
    AND(HOUR(E469)&gt;=15, HOUR(E469)&lt;19), "Evening",
    AND(HOUR(E469)&gt;=19, HOUR(E469)&lt;=23), "Night"
)</f>
        <v>Morning</v>
      </c>
    </row>
    <row r="470" spans="1:14" x14ac:dyDescent="0.25">
      <c r="A470" s="3">
        <v>42546.429166666669</v>
      </c>
      <c r="B470" s="2">
        <f t="shared" si="44"/>
        <v>42546</v>
      </c>
      <c r="C470" t="str">
        <f t="shared" si="45"/>
        <v>June</v>
      </c>
      <c r="D470" t="str">
        <f t="shared" si="46"/>
        <v>Saturday</v>
      </c>
      <c r="E470" t="str">
        <f t="shared" si="42"/>
        <v>10:18:00 AM</v>
      </c>
      <c r="F470" s="3">
        <v>42546.434027777781</v>
      </c>
      <c r="G470" s="4">
        <f t="shared" si="47"/>
        <v>0.43402777778101154</v>
      </c>
      <c r="H470" t="str">
        <f t="shared" si="43"/>
        <v>7 min</v>
      </c>
      <c r="I470" t="s">
        <v>2</v>
      </c>
      <c r="J470" t="s">
        <v>195</v>
      </c>
      <c r="K470" t="s">
        <v>196</v>
      </c>
      <c r="L470">
        <v>1.1000000000000001</v>
      </c>
      <c r="M470" t="s">
        <v>8</v>
      </c>
      <c r="N470" t="str" cm="1">
        <f t="array" ref="N470">_xlfn.IFS(
    AND(HOUR(A470)&gt;=0, HOUR(A470)&lt;10), "Morning",
    AND(HOUR(A470)&gt;=10, HOUR(A470)&lt;15), "Afternoon",
    AND(HOUR(E470)&gt;=15, HOUR(E470)&lt;19), "Evening",
    AND(HOUR(E470)&gt;=19, HOUR(E470)&lt;=23), "Night"
)</f>
        <v>Afternoon</v>
      </c>
    </row>
    <row r="471" spans="1:14" x14ac:dyDescent="0.25">
      <c r="A471" s="3">
        <v>42546.451388888891</v>
      </c>
      <c r="B471" s="2">
        <f t="shared" si="44"/>
        <v>42546</v>
      </c>
      <c r="C471" t="str">
        <f t="shared" si="45"/>
        <v>June</v>
      </c>
      <c r="D471" t="str">
        <f t="shared" si="46"/>
        <v>Saturday</v>
      </c>
      <c r="E471" t="str">
        <f t="shared" si="42"/>
        <v>10:50:00 AM</v>
      </c>
      <c r="F471" s="3">
        <v>42546.470833333333</v>
      </c>
      <c r="G471" s="4">
        <f t="shared" si="47"/>
        <v>0.47083333333284827</v>
      </c>
      <c r="H471" t="str">
        <f t="shared" si="43"/>
        <v>28 min</v>
      </c>
      <c r="I471" t="s">
        <v>2</v>
      </c>
      <c r="J471" t="s">
        <v>196</v>
      </c>
      <c r="K471" t="s">
        <v>193</v>
      </c>
      <c r="L471">
        <v>17</v>
      </c>
      <c r="M471" t="s">
        <v>9</v>
      </c>
      <c r="N471" t="str" cm="1">
        <f t="array" ref="N471">_xlfn.IFS(
    AND(HOUR(A471)&gt;=0, HOUR(A471)&lt;10), "Morning",
    AND(HOUR(A471)&gt;=10, HOUR(A471)&lt;15), "Afternoon",
    AND(HOUR(E471)&gt;=15, HOUR(E471)&lt;19), "Evening",
    AND(HOUR(E471)&gt;=19, HOUR(E471)&lt;=23), "Night"
)</f>
        <v>Afternoon</v>
      </c>
    </row>
    <row r="472" spans="1:14" x14ac:dyDescent="0.25">
      <c r="A472" s="3">
        <v>42546.475694444445</v>
      </c>
      <c r="B472" s="2">
        <f t="shared" si="44"/>
        <v>42546</v>
      </c>
      <c r="C472" t="str">
        <f t="shared" si="45"/>
        <v>June</v>
      </c>
      <c r="D472" t="str">
        <f t="shared" si="46"/>
        <v>Saturday</v>
      </c>
      <c r="E472" t="str">
        <f t="shared" si="42"/>
        <v>11:25:00 AM</v>
      </c>
      <c r="F472" s="3">
        <v>42546.481944444444</v>
      </c>
      <c r="G472" s="4">
        <f t="shared" si="47"/>
        <v>0.48194444444379769</v>
      </c>
      <c r="H472" t="str">
        <f t="shared" si="43"/>
        <v>9 min</v>
      </c>
      <c r="I472" t="s">
        <v>2</v>
      </c>
      <c r="J472" t="s">
        <v>197</v>
      </c>
      <c r="K472" t="s">
        <v>197</v>
      </c>
      <c r="L472">
        <v>1.7</v>
      </c>
      <c r="M472" t="s">
        <v>10</v>
      </c>
      <c r="N472" t="str" cm="1">
        <f t="array" ref="N472">_xlfn.IFS(
    AND(HOUR(A472)&gt;=0, HOUR(A472)&lt;10), "Morning",
    AND(HOUR(A472)&gt;=10, HOUR(A472)&lt;15), "Afternoon",
    AND(HOUR(E472)&gt;=15, HOUR(E472)&lt;19), "Evening",
    AND(HOUR(E472)&gt;=19, HOUR(E472)&lt;=23), "Night"
)</f>
        <v>Afternoon</v>
      </c>
    </row>
    <row r="473" spans="1:14" x14ac:dyDescent="0.25">
      <c r="A473" s="3">
        <v>42546.495138888888</v>
      </c>
      <c r="B473" s="2">
        <f t="shared" si="44"/>
        <v>42546</v>
      </c>
      <c r="C473" t="str">
        <f t="shared" si="45"/>
        <v>June</v>
      </c>
      <c r="D473" t="str">
        <f t="shared" si="46"/>
        <v>Saturday</v>
      </c>
      <c r="E473" t="str">
        <f t="shared" si="42"/>
        <v>11:53:00 AM</v>
      </c>
      <c r="F473" s="3">
        <v>42546.556250000001</v>
      </c>
      <c r="G473" s="4">
        <f t="shared" si="47"/>
        <v>0.55625000000145519</v>
      </c>
      <c r="H473" t="str">
        <f t="shared" si="43"/>
        <v>88 min</v>
      </c>
      <c r="I473" t="s">
        <v>2</v>
      </c>
      <c r="J473" t="s">
        <v>193</v>
      </c>
      <c r="K473" t="s">
        <v>187</v>
      </c>
      <c r="L473">
        <v>15.5</v>
      </c>
      <c r="M473" t="s">
        <v>10</v>
      </c>
      <c r="N473" t="str" cm="1">
        <f t="array" ref="N473">_xlfn.IFS(
    AND(HOUR(A473)&gt;=0, HOUR(A473)&lt;10), "Morning",
    AND(HOUR(A473)&gt;=10, HOUR(A473)&lt;15), "Afternoon",
    AND(HOUR(E473)&gt;=15, HOUR(E473)&lt;19), "Evening",
    AND(HOUR(E473)&gt;=19, HOUR(E473)&lt;=23), "Night"
)</f>
        <v>Afternoon</v>
      </c>
    </row>
    <row r="474" spans="1:14" x14ac:dyDescent="0.25">
      <c r="A474" s="3">
        <v>42546.824305555558</v>
      </c>
      <c r="B474" s="2">
        <f t="shared" si="44"/>
        <v>42546</v>
      </c>
      <c r="C474" t="str">
        <f t="shared" si="45"/>
        <v>June</v>
      </c>
      <c r="D474" t="str">
        <f t="shared" si="46"/>
        <v>Saturday</v>
      </c>
      <c r="E474" t="str">
        <f t="shared" si="42"/>
        <v>07:47:00 PM</v>
      </c>
      <c r="F474" s="3">
        <v>42546.831944444442</v>
      </c>
      <c r="G474" s="4">
        <f t="shared" si="47"/>
        <v>0.8319444444423425</v>
      </c>
      <c r="H474" t="str">
        <f t="shared" si="43"/>
        <v>11 min</v>
      </c>
      <c r="I474" t="s">
        <v>2</v>
      </c>
      <c r="J474" t="s">
        <v>191</v>
      </c>
      <c r="K474" t="s">
        <v>198</v>
      </c>
      <c r="L474">
        <v>1.6</v>
      </c>
      <c r="M474" t="s">
        <v>52</v>
      </c>
      <c r="N474" t="str" cm="1">
        <f t="array" ref="N474">_xlfn.IFS(
    AND(HOUR(A474)&gt;=0, HOUR(A474)&lt;10), "Morning",
    AND(HOUR(A474)&gt;=10, HOUR(A474)&lt;15), "Afternoon",
    AND(HOUR(E474)&gt;=15, HOUR(E474)&lt;19), "Evening",
    AND(HOUR(E474)&gt;=19, HOUR(E474)&lt;=23), "Night"
)</f>
        <v>Night</v>
      </c>
    </row>
    <row r="475" spans="1:14" x14ac:dyDescent="0.25">
      <c r="A475" s="3">
        <v>42546.97152777778</v>
      </c>
      <c r="B475" s="2">
        <f t="shared" si="44"/>
        <v>42546</v>
      </c>
      <c r="C475" t="str">
        <f t="shared" si="45"/>
        <v>June</v>
      </c>
      <c r="D475" t="str">
        <f t="shared" si="46"/>
        <v>Saturday</v>
      </c>
      <c r="E475" t="str">
        <f t="shared" si="42"/>
        <v>11:19:00 PM</v>
      </c>
      <c r="F475" s="3">
        <v>42546.976388888892</v>
      </c>
      <c r="G475" s="4">
        <f t="shared" si="47"/>
        <v>0.97638888889196096</v>
      </c>
      <c r="H475" t="str">
        <f t="shared" si="43"/>
        <v>7 min</v>
      </c>
      <c r="I475" t="s">
        <v>2</v>
      </c>
      <c r="J475" t="s">
        <v>198</v>
      </c>
      <c r="K475" t="s">
        <v>191</v>
      </c>
      <c r="L475">
        <v>1.5</v>
      </c>
      <c r="M475" t="s">
        <v>52</v>
      </c>
      <c r="N475" t="str" cm="1">
        <f t="array" ref="N475">_xlfn.IFS(
    AND(HOUR(A475)&gt;=0, HOUR(A475)&lt;10), "Morning",
    AND(HOUR(A475)&gt;=10, HOUR(A475)&lt;15), "Afternoon",
    AND(HOUR(E475)&gt;=15, HOUR(E475)&lt;19), "Evening",
    AND(HOUR(E475)&gt;=19, HOUR(E475)&lt;=23), "Night"
)</f>
        <v>Night</v>
      </c>
    </row>
    <row r="476" spans="1:14" x14ac:dyDescent="0.25">
      <c r="A476" s="3">
        <v>42547.738194444442</v>
      </c>
      <c r="B476" s="2">
        <f t="shared" si="44"/>
        <v>42547</v>
      </c>
      <c r="C476" t="str">
        <f t="shared" si="45"/>
        <v>June</v>
      </c>
      <c r="D476" t="str">
        <f t="shared" si="46"/>
        <v>Sunday</v>
      </c>
      <c r="E476" t="str">
        <f t="shared" si="42"/>
        <v>05:43:00 PM</v>
      </c>
      <c r="F476" s="3">
        <v>42547.762499999997</v>
      </c>
      <c r="G476" s="4">
        <f t="shared" si="47"/>
        <v>0.76249999999708962</v>
      </c>
      <c r="H476" t="str">
        <f t="shared" si="43"/>
        <v>35 min</v>
      </c>
      <c r="I476" t="s">
        <v>2</v>
      </c>
      <c r="J476" t="s">
        <v>187</v>
      </c>
      <c r="K476" t="s">
        <v>186</v>
      </c>
      <c r="L476">
        <v>12.6</v>
      </c>
      <c r="M476" t="s">
        <v>10</v>
      </c>
      <c r="N476" t="str" cm="1">
        <f t="array" ref="N476">_xlfn.IFS(
    AND(HOUR(A476)&gt;=0, HOUR(A476)&lt;10), "Morning",
    AND(HOUR(A476)&gt;=10, HOUR(A476)&lt;15), "Afternoon",
    AND(HOUR(E476)&gt;=15, HOUR(E476)&lt;19), "Evening",
    AND(HOUR(E476)&gt;=19, HOUR(E476)&lt;=23), "Night"
)</f>
        <v>Evening</v>
      </c>
    </row>
    <row r="477" spans="1:14" x14ac:dyDescent="0.25">
      <c r="A477" s="3">
        <v>42547.78125</v>
      </c>
      <c r="B477" s="2">
        <f t="shared" si="44"/>
        <v>42547</v>
      </c>
      <c r="C477" t="str">
        <f t="shared" si="45"/>
        <v>June</v>
      </c>
      <c r="D477" t="str">
        <f t="shared" si="46"/>
        <v>Sunday</v>
      </c>
      <c r="E477" t="str">
        <f t="shared" si="42"/>
        <v>06:45:00 PM</v>
      </c>
      <c r="F477" s="3">
        <v>42547.8</v>
      </c>
      <c r="G477" s="4">
        <f t="shared" si="47"/>
        <v>0.80000000000291038</v>
      </c>
      <c r="H477" t="str">
        <f t="shared" si="43"/>
        <v>27 min</v>
      </c>
      <c r="I477" t="s">
        <v>2</v>
      </c>
      <c r="J477" t="s">
        <v>197</v>
      </c>
      <c r="K477" t="s">
        <v>197</v>
      </c>
      <c r="L477">
        <v>4.8</v>
      </c>
      <c r="M477" t="s">
        <v>52</v>
      </c>
      <c r="N477" t="str" cm="1">
        <f t="array" ref="N477">_xlfn.IFS(
    AND(HOUR(A477)&gt;=0, HOUR(A477)&lt;10), "Morning",
    AND(HOUR(A477)&gt;=10, HOUR(A477)&lt;15), "Afternoon",
    AND(HOUR(E477)&gt;=15, HOUR(E477)&lt;19), "Evening",
    AND(HOUR(E477)&gt;=19, HOUR(E477)&lt;=23), "Night"
)</f>
        <v>Evening</v>
      </c>
    </row>
    <row r="478" spans="1:14" x14ac:dyDescent="0.25">
      <c r="A478" s="3">
        <v>42547.820138888892</v>
      </c>
      <c r="B478" s="2">
        <f t="shared" si="44"/>
        <v>42547</v>
      </c>
      <c r="C478" t="str">
        <f t="shared" si="45"/>
        <v>June</v>
      </c>
      <c r="D478" t="str">
        <f t="shared" si="46"/>
        <v>Sunday</v>
      </c>
      <c r="E478" t="str">
        <f t="shared" si="42"/>
        <v>07:41:00 PM</v>
      </c>
      <c r="F478" s="3">
        <v>42547.826388888891</v>
      </c>
      <c r="G478" s="4">
        <f t="shared" si="47"/>
        <v>0.82638888889050577</v>
      </c>
      <c r="H478" t="str">
        <f t="shared" si="43"/>
        <v>9 min</v>
      </c>
      <c r="I478" t="s">
        <v>2</v>
      </c>
      <c r="J478" t="s">
        <v>186</v>
      </c>
      <c r="K478" t="s">
        <v>186</v>
      </c>
      <c r="L478">
        <v>2.2000000000000002</v>
      </c>
      <c r="M478" t="s">
        <v>52</v>
      </c>
      <c r="N478" t="str" cm="1">
        <f t="array" ref="N478">_xlfn.IFS(
    AND(HOUR(A478)&gt;=0, HOUR(A478)&lt;10), "Morning",
    AND(HOUR(A478)&gt;=10, HOUR(A478)&lt;15), "Afternoon",
    AND(HOUR(E478)&gt;=15, HOUR(E478)&lt;19), "Evening",
    AND(HOUR(E478)&gt;=19, HOUR(E478)&lt;=23), "Night"
)</f>
        <v>Night</v>
      </c>
    </row>
    <row r="479" spans="1:14" x14ac:dyDescent="0.25">
      <c r="A479" s="3">
        <v>42547.884722222225</v>
      </c>
      <c r="B479" s="2">
        <f t="shared" si="44"/>
        <v>42547</v>
      </c>
      <c r="C479" t="str">
        <f t="shared" si="45"/>
        <v>June</v>
      </c>
      <c r="D479" t="str">
        <f t="shared" si="46"/>
        <v>Sunday</v>
      </c>
      <c r="E479" t="str">
        <f t="shared" si="42"/>
        <v>09:14:00 PM</v>
      </c>
      <c r="F479" s="3">
        <v>42547.904166666667</v>
      </c>
      <c r="G479" s="4">
        <f t="shared" si="47"/>
        <v>0.90416666666715173</v>
      </c>
      <c r="H479" t="str">
        <f t="shared" si="43"/>
        <v>28 min</v>
      </c>
      <c r="I479" t="s">
        <v>2</v>
      </c>
      <c r="J479" t="s">
        <v>186</v>
      </c>
      <c r="K479" t="s">
        <v>187</v>
      </c>
      <c r="L479">
        <v>13</v>
      </c>
      <c r="M479" t="s">
        <v>52</v>
      </c>
      <c r="N479" t="str" cm="1">
        <f t="array" ref="N479">_xlfn.IFS(
    AND(HOUR(A479)&gt;=0, HOUR(A479)&lt;10), "Morning",
    AND(HOUR(A479)&gt;=10, HOUR(A479)&lt;15), "Afternoon",
    AND(HOUR(E479)&gt;=15, HOUR(E479)&lt;19), "Evening",
    AND(HOUR(E479)&gt;=19, HOUR(E479)&lt;=23), "Night"
)</f>
        <v>Night</v>
      </c>
    </row>
    <row r="480" spans="1:14" x14ac:dyDescent="0.25">
      <c r="A480" s="3">
        <v>42548.317361111112</v>
      </c>
      <c r="B480" s="2">
        <f t="shared" si="44"/>
        <v>42548</v>
      </c>
      <c r="C480" t="str">
        <f t="shared" si="45"/>
        <v>June</v>
      </c>
      <c r="D480" t="str">
        <f t="shared" si="46"/>
        <v>Monday</v>
      </c>
      <c r="E480" t="str">
        <f t="shared" si="42"/>
        <v>07:37:00 AM</v>
      </c>
      <c r="F480" s="3">
        <v>42548.366666666669</v>
      </c>
      <c r="G480" s="4">
        <f t="shared" si="47"/>
        <v>0.36666666666860692</v>
      </c>
      <c r="H480" t="str">
        <f t="shared" si="43"/>
        <v>71 min</v>
      </c>
      <c r="I480" t="s">
        <v>2</v>
      </c>
      <c r="J480" t="s">
        <v>187</v>
      </c>
      <c r="K480" t="s">
        <v>199</v>
      </c>
      <c r="L480">
        <v>46.9</v>
      </c>
      <c r="M480" t="s">
        <v>52</v>
      </c>
      <c r="N480" t="str" cm="1">
        <f t="array" ref="N480">_xlfn.IFS(
    AND(HOUR(A480)&gt;=0, HOUR(A480)&lt;10), "Morning",
    AND(HOUR(A480)&gt;=10, HOUR(A480)&lt;15), "Afternoon",
    AND(HOUR(E480)&gt;=15, HOUR(E480)&lt;19), "Evening",
    AND(HOUR(E480)&gt;=19, HOUR(E480)&lt;=23), "Night"
)</f>
        <v>Morning</v>
      </c>
    </row>
    <row r="481" spans="1:14" x14ac:dyDescent="0.25">
      <c r="A481" s="3">
        <v>42548.368750000001</v>
      </c>
      <c r="B481" s="2">
        <f t="shared" si="44"/>
        <v>42548</v>
      </c>
      <c r="C481" t="str">
        <f t="shared" si="45"/>
        <v>June</v>
      </c>
      <c r="D481" t="str">
        <f t="shared" si="46"/>
        <v>Monday</v>
      </c>
      <c r="E481" t="str">
        <f t="shared" si="42"/>
        <v>08:51:00 AM</v>
      </c>
      <c r="F481" s="3">
        <v>42548.375</v>
      </c>
      <c r="G481" s="4">
        <f t="shared" si="47"/>
        <v>0.375</v>
      </c>
      <c r="H481" t="str">
        <f t="shared" si="43"/>
        <v>9 min</v>
      </c>
      <c r="I481" t="s">
        <v>2</v>
      </c>
      <c r="J481" t="s">
        <v>199</v>
      </c>
      <c r="K481" t="s">
        <v>199</v>
      </c>
      <c r="L481">
        <v>2.5</v>
      </c>
      <c r="M481" t="s">
        <v>52</v>
      </c>
      <c r="N481" t="str" cm="1">
        <f t="array" ref="N481">_xlfn.IFS(
    AND(HOUR(A481)&gt;=0, HOUR(A481)&lt;10), "Morning",
    AND(HOUR(A481)&gt;=10, HOUR(A481)&lt;15), "Afternoon",
    AND(HOUR(E481)&gt;=15, HOUR(E481)&lt;19), "Evening",
    AND(HOUR(E481)&gt;=19, HOUR(E481)&lt;=23), "Night"
)</f>
        <v>Morning</v>
      </c>
    </row>
    <row r="482" spans="1:14" x14ac:dyDescent="0.25">
      <c r="A482" s="3">
        <v>42548.378472222219</v>
      </c>
      <c r="B482" s="2">
        <f t="shared" si="44"/>
        <v>42548</v>
      </c>
      <c r="C482" t="str">
        <f t="shared" si="45"/>
        <v>June</v>
      </c>
      <c r="D482" t="str">
        <f t="shared" si="46"/>
        <v>Monday</v>
      </c>
      <c r="E482" t="str">
        <f t="shared" si="42"/>
        <v>09:05:00 AM</v>
      </c>
      <c r="F482" s="3">
        <v>42548.397916666669</v>
      </c>
      <c r="G482" s="4">
        <f t="shared" si="47"/>
        <v>0.39791666666860692</v>
      </c>
      <c r="H482" t="str">
        <f t="shared" si="43"/>
        <v>28 min</v>
      </c>
      <c r="I482" t="s">
        <v>2</v>
      </c>
      <c r="J482" t="s">
        <v>199</v>
      </c>
      <c r="K482" t="s">
        <v>199</v>
      </c>
      <c r="L482">
        <v>8.6</v>
      </c>
      <c r="M482" t="s">
        <v>52</v>
      </c>
      <c r="N482" t="str" cm="1">
        <f t="array" ref="N482">_xlfn.IFS(
    AND(HOUR(A482)&gt;=0, HOUR(A482)&lt;10), "Morning",
    AND(HOUR(A482)&gt;=10, HOUR(A482)&lt;15), "Afternoon",
    AND(HOUR(E482)&gt;=15, HOUR(E482)&lt;19), "Evening",
    AND(HOUR(E482)&gt;=19, HOUR(E482)&lt;=23), "Night"
)</f>
        <v>Morning</v>
      </c>
    </row>
    <row r="483" spans="1:14" x14ac:dyDescent="0.25">
      <c r="A483" s="3">
        <v>42548.404861111114</v>
      </c>
      <c r="B483" s="2">
        <f t="shared" si="44"/>
        <v>42548</v>
      </c>
      <c r="C483" t="str">
        <f t="shared" si="45"/>
        <v>June</v>
      </c>
      <c r="D483" t="str">
        <f t="shared" si="46"/>
        <v>Monday</v>
      </c>
      <c r="E483" t="str">
        <f t="shared" si="42"/>
        <v>09:43:00 AM</v>
      </c>
      <c r="F483" s="3">
        <v>42548.422222222223</v>
      </c>
      <c r="G483" s="4">
        <f t="shared" si="47"/>
        <v>0.42222222222335404</v>
      </c>
      <c r="H483" t="str">
        <f t="shared" si="43"/>
        <v>25 min</v>
      </c>
      <c r="I483" t="s">
        <v>2</v>
      </c>
      <c r="J483" t="s">
        <v>199</v>
      </c>
      <c r="K483" t="s">
        <v>199</v>
      </c>
      <c r="L483">
        <v>5.2</v>
      </c>
      <c r="M483" t="s">
        <v>52</v>
      </c>
      <c r="N483" t="str" cm="1">
        <f t="array" ref="N483">_xlfn.IFS(
    AND(HOUR(A483)&gt;=0, HOUR(A483)&lt;10), "Morning",
    AND(HOUR(A483)&gt;=10, HOUR(A483)&lt;15), "Afternoon",
    AND(HOUR(E483)&gt;=15, HOUR(E483)&lt;19), "Evening",
    AND(HOUR(E483)&gt;=19, HOUR(E483)&lt;=23), "Night"
)</f>
        <v>Morning</v>
      </c>
    </row>
    <row r="484" spans="1:14" x14ac:dyDescent="0.25">
      <c r="A484" s="3">
        <v>42548.431944444441</v>
      </c>
      <c r="B484" s="2">
        <f t="shared" si="44"/>
        <v>42548</v>
      </c>
      <c r="C484" t="str">
        <f t="shared" si="45"/>
        <v>June</v>
      </c>
      <c r="D484" t="str">
        <f t="shared" si="46"/>
        <v>Monday</v>
      </c>
      <c r="E484" t="str">
        <f t="shared" si="42"/>
        <v>10:22:00 AM</v>
      </c>
      <c r="F484" s="3">
        <v>42548.443749999999</v>
      </c>
      <c r="G484" s="4">
        <f t="shared" si="47"/>
        <v>0.44374999999854481</v>
      </c>
      <c r="H484" t="str">
        <f t="shared" si="43"/>
        <v>17 min</v>
      </c>
      <c r="I484" t="s">
        <v>2</v>
      </c>
      <c r="J484" t="s">
        <v>199</v>
      </c>
      <c r="K484" t="s">
        <v>199</v>
      </c>
      <c r="L484">
        <v>7.6</v>
      </c>
      <c r="M484" t="s">
        <v>52</v>
      </c>
      <c r="N484" t="str" cm="1">
        <f t="array" ref="N484">_xlfn.IFS(
    AND(HOUR(A484)&gt;=0, HOUR(A484)&lt;10), "Morning",
    AND(HOUR(A484)&gt;=10, HOUR(A484)&lt;15), "Afternoon",
    AND(HOUR(E484)&gt;=15, HOUR(E484)&lt;19), "Evening",
    AND(HOUR(E484)&gt;=19, HOUR(E484)&lt;=23), "Night"
)</f>
        <v>Afternoon</v>
      </c>
    </row>
    <row r="485" spans="1:14" x14ac:dyDescent="0.25">
      <c r="A485" s="3">
        <v>42548.45208333333</v>
      </c>
      <c r="B485" s="2">
        <f t="shared" si="44"/>
        <v>42548</v>
      </c>
      <c r="C485" t="str">
        <f t="shared" si="45"/>
        <v>June</v>
      </c>
      <c r="D485" t="str">
        <f t="shared" si="46"/>
        <v>Monday</v>
      </c>
      <c r="E485" t="str">
        <f t="shared" si="42"/>
        <v>10:51:00 AM</v>
      </c>
      <c r="F485" s="3">
        <v>42548.456944444442</v>
      </c>
      <c r="G485" s="4">
        <f t="shared" si="47"/>
        <v>0.4569444444423425</v>
      </c>
      <c r="H485" t="str">
        <f t="shared" si="43"/>
        <v>7 min</v>
      </c>
      <c r="I485" t="s">
        <v>2</v>
      </c>
      <c r="J485" t="s">
        <v>199</v>
      </c>
      <c r="K485" t="s">
        <v>199</v>
      </c>
      <c r="L485">
        <v>1.8</v>
      </c>
      <c r="M485" t="s">
        <v>52</v>
      </c>
      <c r="N485" t="str" cm="1">
        <f t="array" ref="N485">_xlfn.IFS(
    AND(HOUR(A485)&gt;=0, HOUR(A485)&lt;10), "Morning",
    AND(HOUR(A485)&gt;=10, HOUR(A485)&lt;15), "Afternoon",
    AND(HOUR(E485)&gt;=15, HOUR(E485)&lt;19), "Evening",
    AND(HOUR(E485)&gt;=19, HOUR(E485)&lt;=23), "Night"
)</f>
        <v>Afternoon</v>
      </c>
    </row>
    <row r="486" spans="1:14" x14ac:dyDescent="0.25">
      <c r="A486" s="3">
        <v>42548.462500000001</v>
      </c>
      <c r="B486" s="2">
        <f t="shared" si="44"/>
        <v>42548</v>
      </c>
      <c r="C486" t="str">
        <f t="shared" si="45"/>
        <v>June</v>
      </c>
      <c r="D486" t="str">
        <f t="shared" si="46"/>
        <v>Monday</v>
      </c>
      <c r="E486" t="str">
        <f t="shared" si="42"/>
        <v>11:06:00 AM</v>
      </c>
      <c r="F486" s="3">
        <v>42548.474999999999</v>
      </c>
      <c r="G486" s="4">
        <f t="shared" si="47"/>
        <v>0.47499999999854481</v>
      </c>
      <c r="H486" t="str">
        <f t="shared" si="43"/>
        <v>18 min</v>
      </c>
      <c r="I486" t="s">
        <v>2</v>
      </c>
      <c r="J486" t="s">
        <v>199</v>
      </c>
      <c r="K486" t="s">
        <v>200</v>
      </c>
      <c r="L486">
        <v>4.7</v>
      </c>
      <c r="M486" t="s">
        <v>52</v>
      </c>
      <c r="N486" t="str" cm="1">
        <f t="array" ref="N486">_xlfn.IFS(
    AND(HOUR(A486)&gt;=0, HOUR(A486)&lt;10), "Morning",
    AND(HOUR(A486)&gt;=10, HOUR(A486)&lt;15), "Afternoon",
    AND(HOUR(E486)&gt;=15, HOUR(E486)&lt;19), "Evening",
    AND(HOUR(E486)&gt;=19, HOUR(E486)&lt;=23), "Night"
)</f>
        <v>Afternoon</v>
      </c>
    </row>
    <row r="487" spans="1:14" x14ac:dyDescent="0.25">
      <c r="A487" s="3">
        <v>42548.479166666664</v>
      </c>
      <c r="B487" s="2">
        <f t="shared" si="44"/>
        <v>42548</v>
      </c>
      <c r="C487" t="str">
        <f t="shared" si="45"/>
        <v>June</v>
      </c>
      <c r="D487" t="str">
        <f t="shared" si="46"/>
        <v>Monday</v>
      </c>
      <c r="E487" t="str">
        <f t="shared" si="42"/>
        <v>11:30:00 AM</v>
      </c>
      <c r="F487" s="3">
        <v>42548.487500000003</v>
      </c>
      <c r="G487" s="4">
        <f t="shared" si="47"/>
        <v>0.48750000000291038</v>
      </c>
      <c r="H487" t="str">
        <f t="shared" si="43"/>
        <v>12 min</v>
      </c>
      <c r="I487" t="s">
        <v>2</v>
      </c>
      <c r="J487" t="s">
        <v>200</v>
      </c>
      <c r="K487" t="s">
        <v>200</v>
      </c>
      <c r="L487">
        <v>2.8</v>
      </c>
      <c r="M487" t="s">
        <v>52</v>
      </c>
      <c r="N487" t="str" cm="1">
        <f t="array" ref="N487">_xlfn.IFS(
    AND(HOUR(A487)&gt;=0, HOUR(A487)&lt;10), "Morning",
    AND(HOUR(A487)&gt;=10, HOUR(A487)&lt;15), "Afternoon",
    AND(HOUR(E487)&gt;=15, HOUR(E487)&lt;19), "Evening",
    AND(HOUR(E487)&gt;=19, HOUR(E487)&lt;=23), "Night"
)</f>
        <v>Afternoon</v>
      </c>
    </row>
    <row r="488" spans="1:14" x14ac:dyDescent="0.25">
      <c r="A488" s="3">
        <v>42548.515277777777</v>
      </c>
      <c r="B488" s="2">
        <f t="shared" si="44"/>
        <v>42548</v>
      </c>
      <c r="C488" t="str">
        <f t="shared" si="45"/>
        <v>June</v>
      </c>
      <c r="D488" t="str">
        <f t="shared" si="46"/>
        <v>Monday</v>
      </c>
      <c r="E488" t="str">
        <f t="shared" si="42"/>
        <v>12:22:00 PM</v>
      </c>
      <c r="F488" s="3">
        <v>42548.543055555558</v>
      </c>
      <c r="G488" s="4">
        <f t="shared" si="47"/>
        <v>0.5430555555576575</v>
      </c>
      <c r="H488" t="str">
        <f t="shared" si="43"/>
        <v>40 min</v>
      </c>
      <c r="I488" t="s">
        <v>2</v>
      </c>
      <c r="J488" t="s">
        <v>200</v>
      </c>
      <c r="K488" t="s">
        <v>193</v>
      </c>
      <c r="L488">
        <v>30</v>
      </c>
      <c r="M488" t="s">
        <v>52</v>
      </c>
      <c r="N488" t="str" cm="1">
        <f t="array" ref="N488">_xlfn.IFS(
    AND(HOUR(A488)&gt;=0, HOUR(A488)&lt;10), "Morning",
    AND(HOUR(A488)&gt;=10, HOUR(A488)&lt;15), "Afternoon",
    AND(HOUR(E488)&gt;=15, HOUR(E488)&lt;19), "Evening",
    AND(HOUR(E488)&gt;=19, HOUR(E488)&lt;=23), "Night"
)</f>
        <v>Afternoon</v>
      </c>
    </row>
    <row r="489" spans="1:14" x14ac:dyDescent="0.25">
      <c r="A489" s="3">
        <v>42548.580555555556</v>
      </c>
      <c r="B489" s="2">
        <f t="shared" si="44"/>
        <v>42548</v>
      </c>
      <c r="C489" t="str">
        <f t="shared" si="45"/>
        <v>June</v>
      </c>
      <c r="D489" t="str">
        <f t="shared" si="46"/>
        <v>Monday</v>
      </c>
      <c r="E489" t="str">
        <f t="shared" si="42"/>
        <v>01:56:00 PM</v>
      </c>
      <c r="F489" s="3">
        <v>42548.586805555555</v>
      </c>
      <c r="G489" s="4">
        <f t="shared" si="47"/>
        <v>0.58680555555474712</v>
      </c>
      <c r="H489" t="str">
        <f t="shared" si="43"/>
        <v>9 min</v>
      </c>
      <c r="I489" t="s">
        <v>2</v>
      </c>
      <c r="J489" t="s">
        <v>193</v>
      </c>
      <c r="K489" t="s">
        <v>186</v>
      </c>
      <c r="L489">
        <v>4.4000000000000004</v>
      </c>
      <c r="M489" t="s">
        <v>52</v>
      </c>
      <c r="N489" t="str" cm="1">
        <f t="array" ref="N489">_xlfn.IFS(
    AND(HOUR(A489)&gt;=0, HOUR(A489)&lt;10), "Morning",
    AND(HOUR(A489)&gt;=10, HOUR(A489)&lt;15), "Afternoon",
    AND(HOUR(E489)&gt;=15, HOUR(E489)&lt;19), "Evening",
    AND(HOUR(E489)&gt;=19, HOUR(E489)&lt;=23), "Night"
)</f>
        <v>Afternoon</v>
      </c>
    </row>
    <row r="490" spans="1:14" x14ac:dyDescent="0.25">
      <c r="A490" s="3">
        <v>42548.881249999999</v>
      </c>
      <c r="B490" s="2">
        <f t="shared" si="44"/>
        <v>42548</v>
      </c>
      <c r="C490" t="str">
        <f t="shared" si="45"/>
        <v>June</v>
      </c>
      <c r="D490" t="str">
        <f t="shared" si="46"/>
        <v>Monday</v>
      </c>
      <c r="E490" t="str">
        <f t="shared" si="42"/>
        <v>09:09:00 PM</v>
      </c>
      <c r="F490" s="3">
        <v>42548.888194444444</v>
      </c>
      <c r="G490" s="4">
        <f t="shared" si="47"/>
        <v>0.88819444444379769</v>
      </c>
      <c r="H490" t="str">
        <f t="shared" si="43"/>
        <v>10 min</v>
      </c>
      <c r="I490" t="s">
        <v>2</v>
      </c>
      <c r="J490" t="s">
        <v>74</v>
      </c>
      <c r="K490" t="s">
        <v>74</v>
      </c>
      <c r="L490">
        <v>1</v>
      </c>
      <c r="M490" t="s">
        <v>52</v>
      </c>
      <c r="N490" t="str" cm="1">
        <f t="array" ref="N490">_xlfn.IFS(
    AND(HOUR(A490)&gt;=0, HOUR(A490)&lt;10), "Morning",
    AND(HOUR(A490)&gt;=10, HOUR(A490)&lt;15), "Afternoon",
    AND(HOUR(E490)&gt;=15, HOUR(E490)&lt;19), "Evening",
    AND(HOUR(E490)&gt;=19, HOUR(E490)&lt;=23), "Night"
)</f>
        <v>Night</v>
      </c>
    </row>
    <row r="491" spans="1:14" x14ac:dyDescent="0.25">
      <c r="A491" s="3">
        <v>42549.033333333333</v>
      </c>
      <c r="B491" s="2">
        <f t="shared" si="44"/>
        <v>42549</v>
      </c>
      <c r="C491" t="str">
        <f t="shared" si="45"/>
        <v>June</v>
      </c>
      <c r="D491" t="str">
        <f t="shared" si="46"/>
        <v>Tuesday</v>
      </c>
      <c r="E491" t="str">
        <f t="shared" si="42"/>
        <v>12:48:00 AM</v>
      </c>
      <c r="F491" s="3">
        <v>42549.045138888891</v>
      </c>
      <c r="G491" s="4">
        <f t="shared" si="47"/>
        <v>4.5138888890505768E-2</v>
      </c>
      <c r="H491" t="str">
        <f t="shared" si="43"/>
        <v>17 min</v>
      </c>
      <c r="I491" t="s">
        <v>2</v>
      </c>
      <c r="J491" t="s">
        <v>56</v>
      </c>
      <c r="K491" t="s">
        <v>55</v>
      </c>
      <c r="L491">
        <v>8.1999999999999993</v>
      </c>
      <c r="M491" t="s">
        <v>7</v>
      </c>
      <c r="N491" t="str" cm="1">
        <f t="array" ref="N491">_xlfn.IFS(
    AND(HOUR(A491)&gt;=0, HOUR(A491)&lt;10), "Morning",
    AND(HOUR(A491)&gt;=10, HOUR(A491)&lt;15), "Afternoon",
    AND(HOUR(E491)&gt;=15, HOUR(E491)&lt;19), "Evening",
    AND(HOUR(E491)&gt;=19, HOUR(E491)&lt;=23), "Night"
)</f>
        <v>Morning</v>
      </c>
    </row>
    <row r="492" spans="1:14" x14ac:dyDescent="0.25">
      <c r="A492" s="3">
        <v>42549.842361111114</v>
      </c>
      <c r="B492" s="2">
        <f t="shared" si="44"/>
        <v>42549</v>
      </c>
      <c r="C492" t="str">
        <f t="shared" si="45"/>
        <v>June</v>
      </c>
      <c r="D492" t="str">
        <f t="shared" si="46"/>
        <v>Tuesday</v>
      </c>
      <c r="E492" t="str">
        <f t="shared" si="42"/>
        <v>08:13:00 PM</v>
      </c>
      <c r="F492" s="3">
        <v>42549.856249999997</v>
      </c>
      <c r="G492" s="4">
        <f t="shared" si="47"/>
        <v>0.85624999999708962</v>
      </c>
      <c r="H492" t="str">
        <f t="shared" si="43"/>
        <v>20 min</v>
      </c>
      <c r="I492" t="s">
        <v>2</v>
      </c>
      <c r="J492" t="s">
        <v>55</v>
      </c>
      <c r="K492" t="s">
        <v>75</v>
      </c>
      <c r="L492">
        <v>10.4</v>
      </c>
      <c r="M492" t="s">
        <v>10</v>
      </c>
      <c r="N492" t="str" cm="1">
        <f t="array" ref="N492">_xlfn.IFS(
    AND(HOUR(A492)&gt;=0, HOUR(A492)&lt;10), "Morning",
    AND(HOUR(A492)&gt;=10, HOUR(A492)&lt;15), "Afternoon",
    AND(HOUR(E492)&gt;=15, HOUR(E492)&lt;19), "Evening",
    AND(HOUR(E492)&gt;=19, HOUR(E492)&lt;=23), "Night"
)</f>
        <v>Night</v>
      </c>
    </row>
    <row r="493" spans="1:14" x14ac:dyDescent="0.25">
      <c r="A493" s="3">
        <v>42549.981944444444</v>
      </c>
      <c r="B493" s="2">
        <f t="shared" si="44"/>
        <v>42549</v>
      </c>
      <c r="C493" t="str">
        <f t="shared" si="45"/>
        <v>June</v>
      </c>
      <c r="D493" t="str">
        <f t="shared" si="46"/>
        <v>Tuesday</v>
      </c>
      <c r="E493" t="str">
        <f t="shared" si="42"/>
        <v>11:34:00 PM</v>
      </c>
      <c r="F493" s="3">
        <v>42549.999305555553</v>
      </c>
      <c r="G493" s="4">
        <f t="shared" si="47"/>
        <v>0.99930555555329192</v>
      </c>
      <c r="H493" t="str">
        <f t="shared" si="43"/>
        <v>25 min</v>
      </c>
      <c r="I493" t="s">
        <v>2</v>
      </c>
      <c r="J493" t="s">
        <v>75</v>
      </c>
      <c r="K493" t="s">
        <v>55</v>
      </c>
      <c r="L493">
        <v>9.9</v>
      </c>
      <c r="M493" t="s">
        <v>10</v>
      </c>
      <c r="N493" t="str" cm="1">
        <f t="array" ref="N493">_xlfn.IFS(
    AND(HOUR(A493)&gt;=0, HOUR(A493)&lt;10), "Morning",
    AND(HOUR(A493)&gt;=10, HOUR(A493)&lt;15), "Afternoon",
    AND(HOUR(E493)&gt;=15, HOUR(E493)&lt;19), "Evening",
    AND(HOUR(E493)&gt;=19, HOUR(E493)&lt;=23), "Night"
)</f>
        <v>Night</v>
      </c>
    </row>
    <row r="494" spans="1:14" x14ac:dyDescent="0.25">
      <c r="A494" s="3">
        <v>42550.37222222222</v>
      </c>
      <c r="B494" s="2">
        <f t="shared" si="44"/>
        <v>42550</v>
      </c>
      <c r="C494" t="str">
        <f t="shared" si="45"/>
        <v>June</v>
      </c>
      <c r="D494" t="str">
        <f t="shared" si="46"/>
        <v>Wednesday</v>
      </c>
      <c r="E494" t="str">
        <f t="shared" si="42"/>
        <v>08:56:00 AM</v>
      </c>
      <c r="F494" s="3">
        <v>42550.39166666667</v>
      </c>
      <c r="G494" s="4">
        <f t="shared" si="47"/>
        <v>0.39166666667006211</v>
      </c>
      <c r="H494" t="str">
        <f t="shared" si="43"/>
        <v>28 min</v>
      </c>
      <c r="I494" t="s">
        <v>2</v>
      </c>
      <c r="J494" t="s">
        <v>55</v>
      </c>
      <c r="K494" t="s">
        <v>56</v>
      </c>
      <c r="L494">
        <v>7.3</v>
      </c>
      <c r="M494" t="s">
        <v>52</v>
      </c>
      <c r="N494" t="str" cm="1">
        <f t="array" ref="N494">_xlfn.IFS(
    AND(HOUR(A494)&gt;=0, HOUR(A494)&lt;10), "Morning",
    AND(HOUR(A494)&gt;=10, HOUR(A494)&lt;15), "Afternoon",
    AND(HOUR(E494)&gt;=15, HOUR(E494)&lt;19), "Evening",
    AND(HOUR(E494)&gt;=19, HOUR(E494)&lt;=23), "Night"
)</f>
        <v>Morning</v>
      </c>
    </row>
    <row r="495" spans="1:14" x14ac:dyDescent="0.25">
      <c r="A495" s="3">
        <v>42550.431944444441</v>
      </c>
      <c r="B495" s="2">
        <f t="shared" si="44"/>
        <v>42550</v>
      </c>
      <c r="C495" t="str">
        <f t="shared" si="45"/>
        <v>June</v>
      </c>
      <c r="D495" t="str">
        <f t="shared" si="46"/>
        <v>Wednesday</v>
      </c>
      <c r="E495" t="str">
        <f t="shared" si="42"/>
        <v>10:22:00 AM</v>
      </c>
      <c r="F495" s="3">
        <v>42550.443055555559</v>
      </c>
      <c r="G495" s="4">
        <f t="shared" si="47"/>
        <v>0.44305555555911269</v>
      </c>
      <c r="H495" t="str">
        <f t="shared" si="43"/>
        <v>16 min</v>
      </c>
      <c r="I495" t="s">
        <v>2</v>
      </c>
      <c r="J495" t="s">
        <v>56</v>
      </c>
      <c r="K495" t="s">
        <v>55</v>
      </c>
      <c r="L495">
        <v>7.4</v>
      </c>
      <c r="M495" t="s">
        <v>52</v>
      </c>
      <c r="N495" t="str" cm="1">
        <f t="array" ref="N495">_xlfn.IFS(
    AND(HOUR(A495)&gt;=0, HOUR(A495)&lt;10), "Morning",
    AND(HOUR(A495)&gt;=10, HOUR(A495)&lt;15), "Afternoon",
    AND(HOUR(E495)&gt;=15, HOUR(E495)&lt;19), "Evening",
    AND(HOUR(E495)&gt;=19, HOUR(E495)&lt;=23), "Night"
)</f>
        <v>Afternoon</v>
      </c>
    </row>
    <row r="496" spans="1:14" x14ac:dyDescent="0.25">
      <c r="A496" s="3">
        <v>42550.492361111108</v>
      </c>
      <c r="B496" s="2">
        <f t="shared" si="44"/>
        <v>42550</v>
      </c>
      <c r="C496" t="str">
        <f t="shared" si="45"/>
        <v>June</v>
      </c>
      <c r="D496" t="str">
        <f t="shared" si="46"/>
        <v>Wednesday</v>
      </c>
      <c r="E496" t="str">
        <f t="shared" si="42"/>
        <v>11:49:00 AM</v>
      </c>
      <c r="F496" s="3">
        <v>42550.493750000001</v>
      </c>
      <c r="G496" s="4">
        <f t="shared" si="47"/>
        <v>0.49375000000145519</v>
      </c>
      <c r="H496" t="str">
        <f t="shared" si="43"/>
        <v>2 min</v>
      </c>
      <c r="I496" t="s">
        <v>2</v>
      </c>
      <c r="J496" t="s">
        <v>77</v>
      </c>
      <c r="K496" t="s">
        <v>83</v>
      </c>
      <c r="L496">
        <v>1.6</v>
      </c>
      <c r="M496" t="s">
        <v>52</v>
      </c>
      <c r="N496" t="str" cm="1">
        <f t="array" ref="N496">_xlfn.IFS(
    AND(HOUR(A496)&gt;=0, HOUR(A496)&lt;10), "Morning",
    AND(HOUR(A496)&gt;=10, HOUR(A496)&lt;15), "Afternoon",
    AND(HOUR(E496)&gt;=15, HOUR(E496)&lt;19), "Evening",
    AND(HOUR(E496)&gt;=19, HOUR(E496)&lt;=23), "Night"
)</f>
        <v>Afternoon</v>
      </c>
    </row>
    <row r="497" spans="1:14" x14ac:dyDescent="0.25">
      <c r="A497" s="3">
        <v>42550.507638888892</v>
      </c>
      <c r="B497" s="2">
        <f t="shared" si="44"/>
        <v>42550</v>
      </c>
      <c r="C497" t="str">
        <f t="shared" si="45"/>
        <v>June</v>
      </c>
      <c r="D497" t="str">
        <f t="shared" si="46"/>
        <v>Wednesday</v>
      </c>
      <c r="E497" t="str">
        <f t="shared" si="42"/>
        <v>12:11:00 PM</v>
      </c>
      <c r="F497" s="3">
        <v>42550.511111111111</v>
      </c>
      <c r="G497" s="4">
        <f t="shared" si="47"/>
        <v>0.51111111111094942</v>
      </c>
      <c r="H497" t="str">
        <f t="shared" si="43"/>
        <v>5 min</v>
      </c>
      <c r="I497" t="s">
        <v>2</v>
      </c>
      <c r="J497" t="s">
        <v>83</v>
      </c>
      <c r="K497" t="s">
        <v>77</v>
      </c>
      <c r="L497">
        <v>1.8</v>
      </c>
      <c r="M497" t="s">
        <v>52</v>
      </c>
      <c r="N497" t="str" cm="1">
        <f t="array" ref="N497">_xlfn.IFS(
    AND(HOUR(A497)&gt;=0, HOUR(A497)&lt;10), "Morning",
    AND(HOUR(A497)&gt;=10, HOUR(A497)&lt;15), "Afternoon",
    AND(HOUR(E497)&gt;=15, HOUR(E497)&lt;19), "Evening",
    AND(HOUR(E497)&gt;=19, HOUR(E497)&lt;=23), "Night"
)</f>
        <v>Afternoon</v>
      </c>
    </row>
    <row r="498" spans="1:14" x14ac:dyDescent="0.25">
      <c r="A498" s="3">
        <v>42550.84097222222</v>
      </c>
      <c r="B498" s="2">
        <f t="shared" si="44"/>
        <v>42550</v>
      </c>
      <c r="C498" t="str">
        <f t="shared" si="45"/>
        <v>June</v>
      </c>
      <c r="D498" t="str">
        <f t="shared" si="46"/>
        <v>Wednesday</v>
      </c>
      <c r="E498" t="str">
        <f t="shared" si="42"/>
        <v>08:11:00 PM</v>
      </c>
      <c r="F498" s="3">
        <v>42550.853472222225</v>
      </c>
      <c r="G498" s="4">
        <f t="shared" si="47"/>
        <v>0.85347222222480923</v>
      </c>
      <c r="H498" t="str">
        <f t="shared" si="43"/>
        <v>18 min</v>
      </c>
      <c r="I498" t="s">
        <v>2</v>
      </c>
      <c r="J498" t="s">
        <v>55</v>
      </c>
      <c r="K498" t="s">
        <v>75</v>
      </c>
      <c r="L498">
        <v>10.4</v>
      </c>
      <c r="M498" t="s">
        <v>10</v>
      </c>
      <c r="N498" t="str" cm="1">
        <f t="array" ref="N498">_xlfn.IFS(
    AND(HOUR(A498)&gt;=0, HOUR(A498)&lt;10), "Morning",
    AND(HOUR(A498)&gt;=10, HOUR(A498)&lt;15), "Afternoon",
    AND(HOUR(E498)&gt;=15, HOUR(E498)&lt;19), "Evening",
    AND(HOUR(E498)&gt;=19, HOUR(E498)&lt;=23), "Night"
)</f>
        <v>Night</v>
      </c>
    </row>
    <row r="499" spans="1:14" x14ac:dyDescent="0.25">
      <c r="A499" s="3">
        <v>42550.984722222223</v>
      </c>
      <c r="B499" s="2">
        <f t="shared" si="44"/>
        <v>42550</v>
      </c>
      <c r="C499" t="str">
        <f t="shared" si="45"/>
        <v>June</v>
      </c>
      <c r="D499" t="str">
        <f t="shared" si="46"/>
        <v>Wednesday</v>
      </c>
      <c r="E499" t="str">
        <f t="shared" si="42"/>
        <v>11:38:00 PM</v>
      </c>
      <c r="F499" s="3">
        <v>42551</v>
      </c>
      <c r="G499" s="4">
        <f t="shared" si="47"/>
        <v>0</v>
      </c>
      <c r="H499" t="str">
        <f t="shared" si="43"/>
        <v>22 min</v>
      </c>
      <c r="I499" t="s">
        <v>2</v>
      </c>
      <c r="J499" t="s">
        <v>75</v>
      </c>
      <c r="K499" t="s">
        <v>55</v>
      </c>
      <c r="L499">
        <v>9.9</v>
      </c>
      <c r="M499" t="s">
        <v>10</v>
      </c>
      <c r="N499" t="str" cm="1">
        <f t="array" ref="N499">_xlfn.IFS(
    AND(HOUR(A499)&gt;=0, HOUR(A499)&lt;10), "Morning",
    AND(HOUR(A499)&gt;=10, HOUR(A499)&lt;15), "Afternoon",
    AND(HOUR(E499)&gt;=15, HOUR(E499)&lt;19), "Evening",
    AND(HOUR(E499)&gt;=19, HOUR(E499)&lt;=23), "Night"
)</f>
        <v>Night</v>
      </c>
    </row>
    <row r="500" spans="1:14" x14ac:dyDescent="0.25">
      <c r="A500" s="3">
        <v>42551.839583333334</v>
      </c>
      <c r="B500" s="2">
        <f t="shared" si="44"/>
        <v>42551</v>
      </c>
      <c r="C500" t="str">
        <f t="shared" si="45"/>
        <v>June</v>
      </c>
      <c r="D500" t="str">
        <f t="shared" si="46"/>
        <v>Thursday</v>
      </c>
      <c r="E500" t="str">
        <f t="shared" si="42"/>
        <v>08:09:00 PM</v>
      </c>
      <c r="F500" s="3">
        <v>42551.851388888892</v>
      </c>
      <c r="G500" s="4">
        <f t="shared" si="47"/>
        <v>0.85138888889196096</v>
      </c>
      <c r="H500" t="str">
        <f t="shared" si="43"/>
        <v>17 min</v>
      </c>
      <c r="I500" t="s">
        <v>2</v>
      </c>
      <c r="J500" t="s">
        <v>55</v>
      </c>
      <c r="K500" t="s">
        <v>75</v>
      </c>
      <c r="L500">
        <v>9.9</v>
      </c>
      <c r="M500" t="s">
        <v>10</v>
      </c>
      <c r="N500" t="str" cm="1">
        <f t="array" ref="N500">_xlfn.IFS(
    AND(HOUR(A500)&gt;=0, HOUR(A500)&lt;10), "Morning",
    AND(HOUR(A500)&gt;=10, HOUR(A500)&lt;15), "Afternoon",
    AND(HOUR(E500)&gt;=15, HOUR(E500)&lt;19), "Evening",
    AND(HOUR(E500)&gt;=19, HOUR(E500)&lt;=23), "Night"
)</f>
        <v>Night</v>
      </c>
    </row>
    <row r="501" spans="1:14" x14ac:dyDescent="0.25">
      <c r="A501" s="3">
        <v>42552</v>
      </c>
      <c r="B501" s="2">
        <f t="shared" si="44"/>
        <v>42552</v>
      </c>
      <c r="C501" t="str">
        <f t="shared" si="45"/>
        <v>July</v>
      </c>
      <c r="D501" t="str">
        <f t="shared" si="46"/>
        <v>Friday</v>
      </c>
      <c r="E501" t="str">
        <f t="shared" si="42"/>
        <v>12:00:00 AM</v>
      </c>
      <c r="F501" s="3">
        <v>42552.017361111109</v>
      </c>
      <c r="G501" s="4">
        <f t="shared" si="47"/>
        <v>1.7361111109494232E-2</v>
      </c>
      <c r="H501" t="str">
        <f t="shared" si="43"/>
        <v>25 min</v>
      </c>
      <c r="I501" t="s">
        <v>2</v>
      </c>
      <c r="J501" t="s">
        <v>75</v>
      </c>
      <c r="K501" t="s">
        <v>55</v>
      </c>
      <c r="L501">
        <v>9.9</v>
      </c>
      <c r="M501" t="s">
        <v>10</v>
      </c>
      <c r="N501" t="str" cm="1">
        <f t="array" ref="N501">_xlfn.IFS(
    AND(HOUR(A501)&gt;=0, HOUR(A501)&lt;10), "Morning",
    AND(HOUR(A501)&gt;=10, HOUR(A501)&lt;15), "Afternoon",
    AND(HOUR(E501)&gt;=15, HOUR(E501)&lt;19), "Evening",
    AND(HOUR(E501)&gt;=19, HOUR(E501)&lt;=23), "Night"
)</f>
        <v>Morning</v>
      </c>
    </row>
    <row r="502" spans="1:14" x14ac:dyDescent="0.25">
      <c r="A502" s="3">
        <v>42552.398611111108</v>
      </c>
      <c r="B502" s="2">
        <f t="shared" si="44"/>
        <v>42552</v>
      </c>
      <c r="C502" t="str">
        <f t="shared" si="45"/>
        <v>July</v>
      </c>
      <c r="D502" t="str">
        <f t="shared" si="46"/>
        <v>Friday</v>
      </c>
      <c r="E502" t="str">
        <f t="shared" si="42"/>
        <v>09:34:00 AM</v>
      </c>
      <c r="F502" s="3">
        <v>42552.414583333331</v>
      </c>
      <c r="G502" s="4">
        <f t="shared" si="47"/>
        <v>0.41458333333139308</v>
      </c>
      <c r="H502" t="str">
        <f t="shared" si="43"/>
        <v>23 min</v>
      </c>
      <c r="I502" t="s">
        <v>2</v>
      </c>
      <c r="J502" t="s">
        <v>55</v>
      </c>
      <c r="K502" t="s">
        <v>79</v>
      </c>
      <c r="L502">
        <v>13.3</v>
      </c>
      <c r="M502" t="s">
        <v>10</v>
      </c>
      <c r="N502" t="str" cm="1">
        <f t="array" ref="N502">_xlfn.IFS(
    AND(HOUR(A502)&gt;=0, HOUR(A502)&lt;10), "Morning",
    AND(HOUR(A502)&gt;=10, HOUR(A502)&lt;15), "Afternoon",
    AND(HOUR(E502)&gt;=15, HOUR(E502)&lt;19), "Evening",
    AND(HOUR(E502)&gt;=19, HOUR(E502)&lt;=23), "Night"
)</f>
        <v>Morning</v>
      </c>
    </row>
    <row r="503" spans="1:14" x14ac:dyDescent="0.25">
      <c r="A503" s="3">
        <v>42552.525000000001</v>
      </c>
      <c r="B503" s="2">
        <f t="shared" si="44"/>
        <v>42552</v>
      </c>
      <c r="C503" t="str">
        <f t="shared" si="45"/>
        <v>July</v>
      </c>
      <c r="D503" t="str">
        <f t="shared" si="46"/>
        <v>Friday</v>
      </c>
      <c r="E503" t="str">
        <f t="shared" si="42"/>
        <v>12:36:00 PM</v>
      </c>
      <c r="F503" s="3">
        <v>42552.541666666664</v>
      </c>
      <c r="G503" s="4">
        <f t="shared" si="47"/>
        <v>0.54166666666424135</v>
      </c>
      <c r="H503" t="str">
        <f t="shared" si="43"/>
        <v>24 min</v>
      </c>
      <c r="I503" t="s">
        <v>2</v>
      </c>
      <c r="J503" t="s">
        <v>79</v>
      </c>
      <c r="K503" t="s">
        <v>55</v>
      </c>
      <c r="L503">
        <v>11.3</v>
      </c>
      <c r="M503" t="s">
        <v>10</v>
      </c>
      <c r="N503" t="str" cm="1">
        <f t="array" ref="N503">_xlfn.IFS(
    AND(HOUR(A503)&gt;=0, HOUR(A503)&lt;10), "Morning",
    AND(HOUR(A503)&gt;=10, HOUR(A503)&lt;15), "Afternoon",
    AND(HOUR(E503)&gt;=15, HOUR(E503)&lt;19), "Evening",
    AND(HOUR(E503)&gt;=19, HOUR(E503)&lt;=23), "Night"
)</f>
        <v>Afternoon</v>
      </c>
    </row>
    <row r="504" spans="1:14" x14ac:dyDescent="0.25">
      <c r="A504" s="3">
        <v>42552.837500000001</v>
      </c>
      <c r="B504" s="2">
        <f t="shared" si="44"/>
        <v>42552</v>
      </c>
      <c r="C504" t="str">
        <f t="shared" si="45"/>
        <v>July</v>
      </c>
      <c r="D504" t="str">
        <f t="shared" si="46"/>
        <v>Friday</v>
      </c>
      <c r="E504" t="str">
        <f t="shared" si="42"/>
        <v>08:06:00 PM</v>
      </c>
      <c r="F504" s="3">
        <v>42552.85</v>
      </c>
      <c r="G504" s="4">
        <f t="shared" si="47"/>
        <v>0.84999999999854481</v>
      </c>
      <c r="H504" t="str">
        <f t="shared" si="43"/>
        <v>18 min</v>
      </c>
      <c r="I504" t="s">
        <v>2</v>
      </c>
      <c r="J504" t="s">
        <v>55</v>
      </c>
      <c r="K504" t="s">
        <v>75</v>
      </c>
      <c r="L504">
        <v>10.5</v>
      </c>
      <c r="M504" t="s">
        <v>10</v>
      </c>
      <c r="N504" t="str" cm="1">
        <f t="array" ref="N504">_xlfn.IFS(
    AND(HOUR(A504)&gt;=0, HOUR(A504)&lt;10), "Morning",
    AND(HOUR(A504)&gt;=10, HOUR(A504)&lt;15), "Afternoon",
    AND(HOUR(E504)&gt;=15, HOUR(E504)&lt;19), "Evening",
    AND(HOUR(E504)&gt;=19, HOUR(E504)&lt;=23), "Night"
)</f>
        <v>Night</v>
      </c>
    </row>
    <row r="505" spans="1:14" x14ac:dyDescent="0.25">
      <c r="A505" s="3">
        <v>42552.991666666669</v>
      </c>
      <c r="B505" s="2">
        <f t="shared" si="44"/>
        <v>42552</v>
      </c>
      <c r="C505" t="str">
        <f t="shared" si="45"/>
        <v>July</v>
      </c>
      <c r="D505" t="str">
        <f t="shared" si="46"/>
        <v>Friday</v>
      </c>
      <c r="E505" t="str">
        <f t="shared" si="42"/>
        <v>11:48:00 PM</v>
      </c>
      <c r="F505" s="3">
        <v>42553.006249999999</v>
      </c>
      <c r="G505" s="4">
        <f t="shared" si="47"/>
        <v>6.2499999985448085E-3</v>
      </c>
      <c r="H505" t="str">
        <f t="shared" si="43"/>
        <v>21 min</v>
      </c>
      <c r="I505" t="s">
        <v>2</v>
      </c>
      <c r="J505" t="s">
        <v>75</v>
      </c>
      <c r="K505" t="s">
        <v>55</v>
      </c>
      <c r="L505">
        <v>9.9</v>
      </c>
      <c r="M505" t="s">
        <v>10</v>
      </c>
      <c r="N505" t="str" cm="1">
        <f t="array" ref="N505">_xlfn.IFS(
    AND(HOUR(A505)&gt;=0, HOUR(A505)&lt;10), "Morning",
    AND(HOUR(A505)&gt;=10, HOUR(A505)&lt;15), "Afternoon",
    AND(HOUR(E505)&gt;=15, HOUR(E505)&lt;19), "Evening",
    AND(HOUR(E505)&gt;=19, HOUR(E505)&lt;=23), "Night"
)</f>
        <v>Night</v>
      </c>
    </row>
    <row r="506" spans="1:14" x14ac:dyDescent="0.25">
      <c r="A506" s="3">
        <v>42553.845833333333</v>
      </c>
      <c r="B506" s="2">
        <f t="shared" si="44"/>
        <v>42553</v>
      </c>
      <c r="C506" t="str">
        <f t="shared" si="45"/>
        <v>July</v>
      </c>
      <c r="D506" t="str">
        <f t="shared" si="46"/>
        <v>Saturday</v>
      </c>
      <c r="E506" t="str">
        <f t="shared" si="42"/>
        <v>08:18:00 PM</v>
      </c>
      <c r="F506" s="3">
        <v>42553.85833333333</v>
      </c>
      <c r="G506" s="4">
        <f t="shared" si="47"/>
        <v>0.85833333332993789</v>
      </c>
      <c r="H506" t="str">
        <f t="shared" si="43"/>
        <v>18 min</v>
      </c>
      <c r="I506" t="s">
        <v>2</v>
      </c>
      <c r="J506" t="s">
        <v>55</v>
      </c>
      <c r="K506" t="s">
        <v>75</v>
      </c>
      <c r="L506">
        <v>10.1</v>
      </c>
      <c r="M506" t="s">
        <v>10</v>
      </c>
      <c r="N506" t="str" cm="1">
        <f t="array" ref="N506">_xlfn.IFS(
    AND(HOUR(A506)&gt;=0, HOUR(A506)&lt;10), "Morning",
    AND(HOUR(A506)&gt;=10, HOUR(A506)&lt;15), "Afternoon",
    AND(HOUR(E506)&gt;=15, HOUR(E506)&lt;19), "Evening",
    AND(HOUR(E506)&gt;=19, HOUR(E506)&lt;=23), "Night"
)</f>
        <v>Night</v>
      </c>
    </row>
    <row r="507" spans="1:14" x14ac:dyDescent="0.25">
      <c r="A507" s="3">
        <v>42553.991666666669</v>
      </c>
      <c r="B507" s="2">
        <f t="shared" si="44"/>
        <v>42553</v>
      </c>
      <c r="C507" t="str">
        <f t="shared" si="45"/>
        <v>July</v>
      </c>
      <c r="D507" t="str">
        <f t="shared" si="46"/>
        <v>Saturday</v>
      </c>
      <c r="E507" t="str">
        <f t="shared" si="42"/>
        <v>11:48:00 PM</v>
      </c>
      <c r="F507" s="3">
        <v>42554.008333333331</v>
      </c>
      <c r="G507" s="4">
        <f t="shared" si="47"/>
        <v>8.333333331393078E-3</v>
      </c>
      <c r="H507" t="str">
        <f t="shared" si="43"/>
        <v>24 min</v>
      </c>
      <c r="I507" t="s">
        <v>2</v>
      </c>
      <c r="J507" t="s">
        <v>75</v>
      </c>
      <c r="K507" t="s">
        <v>55</v>
      </c>
      <c r="L507">
        <v>9.9</v>
      </c>
      <c r="M507" t="s">
        <v>10</v>
      </c>
      <c r="N507" t="str" cm="1">
        <f t="array" ref="N507">_xlfn.IFS(
    AND(HOUR(A507)&gt;=0, HOUR(A507)&lt;10), "Morning",
    AND(HOUR(A507)&gt;=10, HOUR(A507)&lt;15), "Afternoon",
    AND(HOUR(E507)&gt;=15, HOUR(E507)&lt;19), "Evening",
    AND(HOUR(E507)&gt;=19, HOUR(E507)&lt;=23), "Night"
)</f>
        <v>Night</v>
      </c>
    </row>
    <row r="508" spans="1:14" x14ac:dyDescent="0.25">
      <c r="A508" s="3">
        <v>42554.019444444442</v>
      </c>
      <c r="B508" s="2">
        <f t="shared" si="44"/>
        <v>42554</v>
      </c>
      <c r="C508" t="str">
        <f t="shared" si="45"/>
        <v>July</v>
      </c>
      <c r="D508" t="str">
        <f t="shared" si="46"/>
        <v>Sunday</v>
      </c>
      <c r="E508" t="str">
        <f t="shared" si="42"/>
        <v>12:28:00 AM</v>
      </c>
      <c r="F508" s="3">
        <v>42554.026388888888</v>
      </c>
      <c r="G508" s="4">
        <f t="shared" si="47"/>
        <v>2.6388888887595385E-2</v>
      </c>
      <c r="H508" t="str">
        <f t="shared" si="43"/>
        <v>10 min</v>
      </c>
      <c r="I508" t="s">
        <v>2</v>
      </c>
      <c r="J508" t="s">
        <v>55</v>
      </c>
      <c r="K508" t="s">
        <v>56</v>
      </c>
      <c r="L508">
        <v>3.1</v>
      </c>
      <c r="M508" t="s">
        <v>8</v>
      </c>
      <c r="N508" t="str" cm="1">
        <f t="array" ref="N508">_xlfn.IFS(
    AND(HOUR(A508)&gt;=0, HOUR(A508)&lt;10), "Morning",
    AND(HOUR(A508)&gt;=10, HOUR(A508)&lt;15), "Afternoon",
    AND(HOUR(E508)&gt;=15, HOUR(E508)&lt;19), "Evening",
    AND(HOUR(E508)&gt;=19, HOUR(E508)&lt;=23), "Night"
)</f>
        <v>Morning</v>
      </c>
    </row>
    <row r="509" spans="1:14" x14ac:dyDescent="0.25">
      <c r="A509" s="3">
        <v>42554.126388888886</v>
      </c>
      <c r="B509" s="2">
        <f t="shared" si="44"/>
        <v>42554</v>
      </c>
      <c r="C509" t="str">
        <f t="shared" si="45"/>
        <v>July</v>
      </c>
      <c r="D509" t="str">
        <f t="shared" si="46"/>
        <v>Sunday</v>
      </c>
      <c r="E509" t="str">
        <f t="shared" si="42"/>
        <v>03:02:00 AM</v>
      </c>
      <c r="F509" s="3">
        <v>42554.130555555559</v>
      </c>
      <c r="G509" s="4">
        <f t="shared" si="47"/>
        <v>0.13055555555911269</v>
      </c>
      <c r="H509" t="str">
        <f t="shared" si="43"/>
        <v>6 min</v>
      </c>
      <c r="I509" t="s">
        <v>2</v>
      </c>
      <c r="J509" t="s">
        <v>56</v>
      </c>
      <c r="K509" t="s">
        <v>55</v>
      </c>
      <c r="L509">
        <v>3.1</v>
      </c>
      <c r="M509" t="s">
        <v>8</v>
      </c>
      <c r="N509" t="str" cm="1">
        <f t="array" ref="N509">_xlfn.IFS(
    AND(HOUR(A509)&gt;=0, HOUR(A509)&lt;10), "Morning",
    AND(HOUR(A509)&gt;=10, HOUR(A509)&lt;15), "Afternoon",
    AND(HOUR(E509)&gt;=15, HOUR(E509)&lt;19), "Evening",
    AND(HOUR(E509)&gt;=19, HOUR(E509)&lt;=23), "Night"
)</f>
        <v>Morning</v>
      </c>
    </row>
    <row r="510" spans="1:14" x14ac:dyDescent="0.25">
      <c r="A510" s="3">
        <v>42554.833333333336</v>
      </c>
      <c r="B510" s="2">
        <f t="shared" si="44"/>
        <v>42554</v>
      </c>
      <c r="C510" t="str">
        <f t="shared" si="45"/>
        <v>July</v>
      </c>
      <c r="D510" t="str">
        <f t="shared" si="46"/>
        <v>Sunday</v>
      </c>
      <c r="E510" t="str">
        <f t="shared" si="42"/>
        <v>08:00:00 PM</v>
      </c>
      <c r="F510" s="3">
        <v>42554.845833333333</v>
      </c>
      <c r="G510" s="4">
        <f t="shared" si="47"/>
        <v>0.84583333333284827</v>
      </c>
      <c r="H510" t="str">
        <f t="shared" si="43"/>
        <v>18 min</v>
      </c>
      <c r="I510" t="s">
        <v>2</v>
      </c>
      <c r="J510" t="s">
        <v>55</v>
      </c>
      <c r="K510" t="s">
        <v>75</v>
      </c>
      <c r="L510">
        <v>9.9</v>
      </c>
      <c r="M510" t="s">
        <v>10</v>
      </c>
      <c r="N510" t="str" cm="1">
        <f t="array" ref="N510">_xlfn.IFS(
    AND(HOUR(A510)&gt;=0, HOUR(A510)&lt;10), "Morning",
    AND(HOUR(A510)&gt;=10, HOUR(A510)&lt;15), "Afternoon",
    AND(HOUR(E510)&gt;=15, HOUR(E510)&lt;19), "Evening",
    AND(HOUR(E510)&gt;=19, HOUR(E510)&lt;=23), "Night"
)</f>
        <v>Night</v>
      </c>
    </row>
    <row r="511" spans="1:14" x14ac:dyDescent="0.25">
      <c r="A511" s="3">
        <v>42555.022222222222</v>
      </c>
      <c r="B511" s="2">
        <f t="shared" si="44"/>
        <v>42555</v>
      </c>
      <c r="C511" t="str">
        <f t="shared" si="45"/>
        <v>July</v>
      </c>
      <c r="D511" t="str">
        <f t="shared" si="46"/>
        <v>Monday</v>
      </c>
      <c r="E511" t="str">
        <f t="shared" si="42"/>
        <v>12:32:00 AM</v>
      </c>
      <c r="F511" s="3">
        <v>42555.032638888886</v>
      </c>
      <c r="G511" s="4">
        <f t="shared" si="47"/>
        <v>3.2638888886140194E-2</v>
      </c>
      <c r="H511" t="str">
        <f t="shared" si="43"/>
        <v>15 min</v>
      </c>
      <c r="I511" t="s">
        <v>2</v>
      </c>
      <c r="J511" t="s">
        <v>75</v>
      </c>
      <c r="K511" t="s">
        <v>55</v>
      </c>
      <c r="L511">
        <v>9.9</v>
      </c>
      <c r="M511" t="s">
        <v>10</v>
      </c>
      <c r="N511" t="str" cm="1">
        <f t="array" ref="N511">_xlfn.IFS(
    AND(HOUR(A511)&gt;=0, HOUR(A511)&lt;10), "Morning",
    AND(HOUR(A511)&gt;=10, HOUR(A511)&lt;15), "Afternoon",
    AND(HOUR(E511)&gt;=15, HOUR(E511)&lt;19), "Evening",
    AND(HOUR(E511)&gt;=19, HOUR(E511)&lt;=23), "Night"
)</f>
        <v>Morning</v>
      </c>
    </row>
    <row r="512" spans="1:14" x14ac:dyDescent="0.25">
      <c r="A512" s="3">
        <v>42555.729861111111</v>
      </c>
      <c r="B512" s="2">
        <f t="shared" si="44"/>
        <v>42555</v>
      </c>
      <c r="C512" t="str">
        <f t="shared" si="45"/>
        <v>July</v>
      </c>
      <c r="D512" t="str">
        <f t="shared" si="46"/>
        <v>Monday</v>
      </c>
      <c r="E512" t="str">
        <f t="shared" si="42"/>
        <v>05:31:00 PM</v>
      </c>
      <c r="F512" s="3">
        <v>42555.742361111108</v>
      </c>
      <c r="G512" s="4">
        <f t="shared" si="47"/>
        <v>0.74236111110803904</v>
      </c>
      <c r="H512" t="str">
        <f t="shared" si="43"/>
        <v>18 min</v>
      </c>
      <c r="I512" t="s">
        <v>2</v>
      </c>
      <c r="J512" t="s">
        <v>77</v>
      </c>
      <c r="K512" t="s">
        <v>201</v>
      </c>
      <c r="L512">
        <v>8.8000000000000007</v>
      </c>
      <c r="M512" t="s">
        <v>10</v>
      </c>
      <c r="N512" t="str" cm="1">
        <f t="array" ref="N512">_xlfn.IFS(
    AND(HOUR(A512)&gt;=0, HOUR(A512)&lt;10), "Morning",
    AND(HOUR(A512)&gt;=10, HOUR(A512)&lt;15), "Afternoon",
    AND(HOUR(E512)&gt;=15, HOUR(E512)&lt;19), "Evening",
    AND(HOUR(E512)&gt;=19, HOUR(E512)&lt;=23), "Night"
)</f>
        <v>Evening</v>
      </c>
    </row>
    <row r="513" spans="1:14" x14ac:dyDescent="0.25">
      <c r="A513" s="3">
        <v>42555.765972222223</v>
      </c>
      <c r="B513" s="2">
        <f t="shared" si="44"/>
        <v>42555</v>
      </c>
      <c r="C513" t="str">
        <f t="shared" si="45"/>
        <v>July</v>
      </c>
      <c r="D513" t="str">
        <f t="shared" si="46"/>
        <v>Monday</v>
      </c>
      <c r="E513" t="str">
        <f t="shared" si="42"/>
        <v>06:23:00 PM</v>
      </c>
      <c r="F513" s="3">
        <v>42555.78402777778</v>
      </c>
      <c r="G513" s="4">
        <f t="shared" si="47"/>
        <v>0.78402777777955635</v>
      </c>
      <c r="H513" t="str">
        <f t="shared" si="43"/>
        <v>26 min</v>
      </c>
      <c r="I513" t="s">
        <v>2</v>
      </c>
      <c r="J513" t="s">
        <v>201</v>
      </c>
      <c r="K513" t="s">
        <v>77</v>
      </c>
      <c r="L513">
        <v>8.6999999999999993</v>
      </c>
      <c r="M513" t="s">
        <v>11</v>
      </c>
      <c r="N513" t="str" cm="1">
        <f t="array" ref="N513">_xlfn.IFS(
    AND(HOUR(A513)&gt;=0, HOUR(A513)&lt;10), "Morning",
    AND(HOUR(A513)&gt;=10, HOUR(A513)&lt;15), "Afternoon",
    AND(HOUR(E513)&gt;=15, HOUR(E513)&lt;19), "Evening",
    AND(HOUR(E513)&gt;=19, HOUR(E513)&lt;=23), "Night"
)</f>
        <v>Evening</v>
      </c>
    </row>
    <row r="514" spans="1:14" x14ac:dyDescent="0.25">
      <c r="A514" s="3">
        <v>42555.833333333336</v>
      </c>
      <c r="B514" s="2">
        <f t="shared" si="44"/>
        <v>42555</v>
      </c>
      <c r="C514" t="str">
        <f t="shared" si="45"/>
        <v>July</v>
      </c>
      <c r="D514" t="str">
        <f t="shared" si="46"/>
        <v>Monday</v>
      </c>
      <c r="E514" t="str">
        <f t="shared" ref="E514:E577" si="48">TEXT(A514, "hh:mm:ss AM/PM")</f>
        <v>08:00:00 PM</v>
      </c>
      <c r="F514" s="3">
        <v>42555.845138888886</v>
      </c>
      <c r="G514" s="4">
        <f t="shared" si="47"/>
        <v>0.84513888888614019</v>
      </c>
      <c r="H514" t="str">
        <f t="shared" ref="H514:H577" si="49">HOUR(IF(G514&lt;E514, G514+1-E514, G514-E514))*60 + MINUTE(IF(G514&lt;E514, G514+1-E514, G514-E514)) &amp; " min"</f>
        <v>17 min</v>
      </c>
      <c r="I514" t="s">
        <v>2</v>
      </c>
      <c r="J514" t="s">
        <v>55</v>
      </c>
      <c r="K514" t="s">
        <v>75</v>
      </c>
      <c r="L514">
        <v>11.8</v>
      </c>
      <c r="M514" t="s">
        <v>10</v>
      </c>
      <c r="N514" t="str" cm="1">
        <f t="array" ref="N514">_xlfn.IFS(
    AND(HOUR(A514)&gt;=0, HOUR(A514)&lt;10), "Morning",
    AND(HOUR(A514)&gt;=10, HOUR(A514)&lt;15), "Afternoon",
    AND(HOUR(E514)&gt;=15, HOUR(E514)&lt;19), "Evening",
    AND(HOUR(E514)&gt;=19, HOUR(E514)&lt;=23), "Night"
)</f>
        <v>Night</v>
      </c>
    </row>
    <row r="515" spans="1:14" x14ac:dyDescent="0.25">
      <c r="A515" s="3">
        <v>42556</v>
      </c>
      <c r="B515" s="2">
        <f t="shared" ref="B515:B578" si="50">INT(A515)</f>
        <v>42556</v>
      </c>
      <c r="C515" t="str">
        <f t="shared" ref="C515:C578" si="51">TEXT(B515, "mmmm")</f>
        <v>July</v>
      </c>
      <c r="D515" t="str">
        <f t="shared" ref="D515:D578" si="52">TEXT(B515, "dddd")</f>
        <v>Tuesday</v>
      </c>
      <c r="E515" t="str">
        <f t="shared" si="48"/>
        <v>12:00:00 AM</v>
      </c>
      <c r="F515" s="3">
        <v>42556.003472222219</v>
      </c>
      <c r="G515" s="4">
        <f t="shared" ref="G515:G578" si="53">F515-INT(F515)</f>
        <v>3.4722222189884633E-3</v>
      </c>
      <c r="H515" t="str">
        <f t="shared" si="49"/>
        <v>5 min</v>
      </c>
      <c r="I515" t="s">
        <v>2</v>
      </c>
      <c r="J515" t="s">
        <v>202</v>
      </c>
      <c r="K515" t="s">
        <v>202</v>
      </c>
      <c r="L515">
        <v>1.2</v>
      </c>
      <c r="M515" t="s">
        <v>8</v>
      </c>
      <c r="N515" t="str" cm="1">
        <f t="array" ref="N515">_xlfn.IFS(
    AND(HOUR(A515)&gt;=0, HOUR(A515)&lt;10), "Morning",
    AND(HOUR(A515)&gt;=10, HOUR(A515)&lt;15), "Afternoon",
    AND(HOUR(E515)&gt;=15, HOUR(E515)&lt;19), "Evening",
    AND(HOUR(E515)&gt;=19, HOUR(E515)&lt;=23), "Night"
)</f>
        <v>Morning</v>
      </c>
    </row>
    <row r="516" spans="1:14" x14ac:dyDescent="0.25">
      <c r="A516" s="3">
        <v>42556.005555555559</v>
      </c>
      <c r="B516" s="2">
        <f t="shared" si="50"/>
        <v>42556</v>
      </c>
      <c r="C516" t="str">
        <f t="shared" si="51"/>
        <v>July</v>
      </c>
      <c r="D516" t="str">
        <f t="shared" si="52"/>
        <v>Tuesday</v>
      </c>
      <c r="E516" t="str">
        <f t="shared" si="48"/>
        <v>12:08:00 AM</v>
      </c>
      <c r="F516" s="3">
        <v>42556.019444444442</v>
      </c>
      <c r="G516" s="4">
        <f t="shared" si="53"/>
        <v>1.9444444442342501E-2</v>
      </c>
      <c r="H516" t="str">
        <f t="shared" si="49"/>
        <v>20 min</v>
      </c>
      <c r="I516" t="s">
        <v>2</v>
      </c>
      <c r="J516" t="s">
        <v>75</v>
      </c>
      <c r="K516" t="s">
        <v>55</v>
      </c>
      <c r="L516">
        <v>9.9</v>
      </c>
      <c r="M516" t="s">
        <v>10</v>
      </c>
      <c r="N516" t="str" cm="1">
        <f t="array" ref="N516">_xlfn.IFS(
    AND(HOUR(A516)&gt;=0, HOUR(A516)&lt;10), "Morning",
    AND(HOUR(A516)&gt;=10, HOUR(A516)&lt;15), "Afternoon",
    AND(HOUR(E516)&gt;=15, HOUR(E516)&lt;19), "Evening",
    AND(HOUR(E516)&gt;=19, HOUR(E516)&lt;=23), "Night"
)</f>
        <v>Morning</v>
      </c>
    </row>
    <row r="517" spans="1:14" x14ac:dyDescent="0.25">
      <c r="A517" s="3">
        <v>42556.7</v>
      </c>
      <c r="B517" s="2">
        <f t="shared" si="50"/>
        <v>42556</v>
      </c>
      <c r="C517" t="str">
        <f t="shared" si="51"/>
        <v>July</v>
      </c>
      <c r="D517" t="str">
        <f t="shared" si="52"/>
        <v>Tuesday</v>
      </c>
      <c r="E517" t="str">
        <f t="shared" si="48"/>
        <v>04:48:00 PM</v>
      </c>
      <c r="F517" s="3">
        <v>42556.702777777777</v>
      </c>
      <c r="G517" s="4">
        <f t="shared" si="53"/>
        <v>0.70277777777664596</v>
      </c>
      <c r="H517" t="str">
        <f t="shared" si="49"/>
        <v>4 min</v>
      </c>
      <c r="I517" t="s">
        <v>2</v>
      </c>
      <c r="J517" t="s">
        <v>77</v>
      </c>
      <c r="K517" t="s">
        <v>77</v>
      </c>
      <c r="L517">
        <v>0.6</v>
      </c>
      <c r="M517" t="s">
        <v>8</v>
      </c>
      <c r="N517" t="str" cm="1">
        <f t="array" ref="N517">_xlfn.IFS(
    AND(HOUR(A517)&gt;=0, HOUR(A517)&lt;10), "Morning",
    AND(HOUR(A517)&gt;=10, HOUR(A517)&lt;15), "Afternoon",
    AND(HOUR(E517)&gt;=15, HOUR(E517)&lt;19), "Evening",
    AND(HOUR(E517)&gt;=19, HOUR(E517)&lt;=23), "Night"
)</f>
        <v>Evening</v>
      </c>
    </row>
    <row r="518" spans="1:14" x14ac:dyDescent="0.25">
      <c r="A518" s="3">
        <v>42556.837500000001</v>
      </c>
      <c r="B518" s="2">
        <f t="shared" si="50"/>
        <v>42556</v>
      </c>
      <c r="C518" t="str">
        <f t="shared" si="51"/>
        <v>July</v>
      </c>
      <c r="D518" t="str">
        <f t="shared" si="52"/>
        <v>Tuesday</v>
      </c>
      <c r="E518" t="str">
        <f t="shared" si="48"/>
        <v>08:06:00 PM</v>
      </c>
      <c r="F518" s="3">
        <v>42556.851388888892</v>
      </c>
      <c r="G518" s="4">
        <f t="shared" si="53"/>
        <v>0.85138888889196096</v>
      </c>
      <c r="H518" t="str">
        <f t="shared" si="49"/>
        <v>20 min</v>
      </c>
      <c r="I518" t="s">
        <v>2</v>
      </c>
      <c r="J518" t="s">
        <v>55</v>
      </c>
      <c r="K518" t="s">
        <v>75</v>
      </c>
      <c r="L518">
        <v>9.9</v>
      </c>
      <c r="M518" t="s">
        <v>52</v>
      </c>
      <c r="N518" t="str" cm="1">
        <f t="array" ref="N518">_xlfn.IFS(
    AND(HOUR(A518)&gt;=0, HOUR(A518)&lt;10), "Morning",
    AND(HOUR(A518)&gt;=10, HOUR(A518)&lt;15), "Afternoon",
    AND(HOUR(E518)&gt;=15, HOUR(E518)&lt;19), "Evening",
    AND(HOUR(E518)&gt;=19, HOUR(E518)&lt;=23), "Night"
)</f>
        <v>Night</v>
      </c>
    </row>
    <row r="519" spans="1:14" x14ac:dyDescent="0.25">
      <c r="A519" s="3">
        <v>42556.945138888892</v>
      </c>
      <c r="B519" s="2">
        <f t="shared" si="50"/>
        <v>42556</v>
      </c>
      <c r="C519" t="str">
        <f t="shared" si="51"/>
        <v>July</v>
      </c>
      <c r="D519" t="str">
        <f t="shared" si="52"/>
        <v>Tuesday</v>
      </c>
      <c r="E519" t="str">
        <f t="shared" si="48"/>
        <v>10:41:00 PM</v>
      </c>
      <c r="F519" s="3">
        <v>42556.959722222222</v>
      </c>
      <c r="G519" s="4">
        <f t="shared" si="53"/>
        <v>0.95972222222189885</v>
      </c>
      <c r="H519" t="str">
        <f t="shared" si="49"/>
        <v>21 min</v>
      </c>
      <c r="I519" t="s">
        <v>2</v>
      </c>
      <c r="J519" t="s">
        <v>75</v>
      </c>
      <c r="K519" t="s">
        <v>56</v>
      </c>
      <c r="L519">
        <v>8.6</v>
      </c>
      <c r="M519" t="s">
        <v>52</v>
      </c>
      <c r="N519" t="str" cm="1">
        <f t="array" ref="N519">_xlfn.IFS(
    AND(HOUR(A519)&gt;=0, HOUR(A519)&lt;10), "Morning",
    AND(HOUR(A519)&gt;=10, HOUR(A519)&lt;15), "Afternoon",
    AND(HOUR(E519)&gt;=15, HOUR(E519)&lt;19), "Evening",
    AND(HOUR(E519)&gt;=19, HOUR(E519)&lt;=23), "Night"
)</f>
        <v>Night</v>
      </c>
    </row>
    <row r="520" spans="1:14" x14ac:dyDescent="0.25">
      <c r="A520" s="3">
        <v>42557.022916666669</v>
      </c>
      <c r="B520" s="2">
        <f t="shared" si="50"/>
        <v>42557</v>
      </c>
      <c r="C520" t="str">
        <f t="shared" si="51"/>
        <v>July</v>
      </c>
      <c r="D520" t="str">
        <f t="shared" si="52"/>
        <v>Wednesday</v>
      </c>
      <c r="E520" t="str">
        <f t="shared" si="48"/>
        <v>12:33:00 AM</v>
      </c>
      <c r="F520" s="3">
        <v>42557.036805555559</v>
      </c>
      <c r="G520" s="4">
        <f t="shared" si="53"/>
        <v>3.680555555911269E-2</v>
      </c>
      <c r="H520" t="str">
        <f t="shared" si="49"/>
        <v>20 min</v>
      </c>
      <c r="I520" t="s">
        <v>2</v>
      </c>
      <c r="J520" t="s">
        <v>56</v>
      </c>
      <c r="K520" t="s">
        <v>55</v>
      </c>
      <c r="L520">
        <v>6.3</v>
      </c>
      <c r="M520" t="s">
        <v>9</v>
      </c>
      <c r="N520" t="str" cm="1">
        <f t="array" ref="N520">_xlfn.IFS(
    AND(HOUR(A520)&gt;=0, HOUR(A520)&lt;10), "Morning",
    AND(HOUR(A520)&gt;=10, HOUR(A520)&lt;15), "Afternoon",
    AND(HOUR(E520)&gt;=15, HOUR(E520)&lt;19), "Evening",
    AND(HOUR(E520)&gt;=19, HOUR(E520)&lt;=23), "Night"
)</f>
        <v>Morning</v>
      </c>
    </row>
    <row r="521" spans="1:14" x14ac:dyDescent="0.25">
      <c r="A521" s="3">
        <v>42557.379166666666</v>
      </c>
      <c r="B521" s="2">
        <f t="shared" si="50"/>
        <v>42557</v>
      </c>
      <c r="C521" t="str">
        <f t="shared" si="51"/>
        <v>July</v>
      </c>
      <c r="D521" t="str">
        <f t="shared" si="52"/>
        <v>Wednesday</v>
      </c>
      <c r="E521" t="str">
        <f t="shared" si="48"/>
        <v>09:06:00 AM</v>
      </c>
      <c r="F521" s="3">
        <v>42557.392361111109</v>
      </c>
      <c r="G521" s="4">
        <f t="shared" si="53"/>
        <v>0.39236111110949423</v>
      </c>
      <c r="H521" t="str">
        <f t="shared" si="49"/>
        <v>19 min</v>
      </c>
      <c r="I521" t="s">
        <v>2</v>
      </c>
      <c r="J521" t="s">
        <v>55</v>
      </c>
      <c r="K521" t="s">
        <v>75</v>
      </c>
      <c r="L521">
        <v>9.9</v>
      </c>
      <c r="M521" t="s">
        <v>10</v>
      </c>
      <c r="N521" t="str" cm="1">
        <f t="array" ref="N521">_xlfn.IFS(
    AND(HOUR(A521)&gt;=0, HOUR(A521)&lt;10), "Morning",
    AND(HOUR(A521)&gt;=10, HOUR(A521)&lt;15), "Afternoon",
    AND(HOUR(E521)&gt;=15, HOUR(E521)&lt;19), "Evening",
    AND(HOUR(E521)&gt;=19, HOUR(E521)&lt;=23), "Night"
)</f>
        <v>Morning</v>
      </c>
    </row>
    <row r="522" spans="1:14" x14ac:dyDescent="0.25">
      <c r="A522" s="3">
        <v>42557.533333333333</v>
      </c>
      <c r="B522" s="2">
        <f t="shared" si="50"/>
        <v>42557</v>
      </c>
      <c r="C522" t="str">
        <f t="shared" si="51"/>
        <v>July</v>
      </c>
      <c r="D522" t="str">
        <f t="shared" si="52"/>
        <v>Wednesday</v>
      </c>
      <c r="E522" t="str">
        <f t="shared" si="48"/>
        <v>12:48:00 PM</v>
      </c>
      <c r="F522" s="3">
        <v>42557.547222222223</v>
      </c>
      <c r="G522" s="4">
        <f t="shared" si="53"/>
        <v>0.54722222222335404</v>
      </c>
      <c r="H522" t="str">
        <f t="shared" si="49"/>
        <v>20 min</v>
      </c>
      <c r="I522" t="s">
        <v>2</v>
      </c>
      <c r="J522" t="s">
        <v>75</v>
      </c>
      <c r="K522" t="s">
        <v>55</v>
      </c>
      <c r="L522">
        <v>9.9</v>
      </c>
      <c r="M522" t="s">
        <v>52</v>
      </c>
      <c r="N522" t="str" cm="1">
        <f t="array" ref="N522">_xlfn.IFS(
    AND(HOUR(A522)&gt;=0, HOUR(A522)&lt;10), "Morning",
    AND(HOUR(A522)&gt;=10, HOUR(A522)&lt;15), "Afternoon",
    AND(HOUR(E522)&gt;=15, HOUR(E522)&lt;19), "Evening",
    AND(HOUR(E522)&gt;=19, HOUR(E522)&lt;=23), "Night"
)</f>
        <v>Afternoon</v>
      </c>
    </row>
    <row r="523" spans="1:14" x14ac:dyDescent="0.25">
      <c r="A523" s="3">
        <v>42557.836111111108</v>
      </c>
      <c r="B523" s="2">
        <f t="shared" si="50"/>
        <v>42557</v>
      </c>
      <c r="C523" t="str">
        <f t="shared" si="51"/>
        <v>July</v>
      </c>
      <c r="D523" t="str">
        <f t="shared" si="52"/>
        <v>Wednesday</v>
      </c>
      <c r="E523" t="str">
        <f t="shared" si="48"/>
        <v>08:04:00 PM</v>
      </c>
      <c r="F523" s="3">
        <v>42557.843055555553</v>
      </c>
      <c r="G523" s="4">
        <f t="shared" si="53"/>
        <v>0.84305555555329192</v>
      </c>
      <c r="H523" t="str">
        <f t="shared" si="49"/>
        <v>10 min</v>
      </c>
      <c r="I523" t="s">
        <v>2</v>
      </c>
      <c r="J523" t="s">
        <v>55</v>
      </c>
      <c r="K523" t="s">
        <v>56</v>
      </c>
      <c r="L523">
        <v>3.3</v>
      </c>
      <c r="M523" t="s">
        <v>9</v>
      </c>
      <c r="N523" t="str" cm="1">
        <f t="array" ref="N523">_xlfn.IFS(
    AND(HOUR(A523)&gt;=0, HOUR(A523)&lt;10), "Morning",
    AND(HOUR(A523)&gt;=10, HOUR(A523)&lt;15), "Afternoon",
    AND(HOUR(E523)&gt;=15, HOUR(E523)&lt;19), "Evening",
    AND(HOUR(E523)&gt;=19, HOUR(E523)&lt;=23), "Night"
)</f>
        <v>Night</v>
      </c>
    </row>
    <row r="524" spans="1:14" x14ac:dyDescent="0.25">
      <c r="A524" s="3">
        <v>42557.990277777775</v>
      </c>
      <c r="B524" s="2">
        <f t="shared" si="50"/>
        <v>42557</v>
      </c>
      <c r="C524" t="str">
        <f t="shared" si="51"/>
        <v>July</v>
      </c>
      <c r="D524" t="str">
        <f t="shared" si="52"/>
        <v>Wednesday</v>
      </c>
      <c r="E524" t="str">
        <f t="shared" si="48"/>
        <v>11:46:00 PM</v>
      </c>
      <c r="F524" s="3">
        <v>42557.999305555553</v>
      </c>
      <c r="G524" s="4">
        <f t="shared" si="53"/>
        <v>0.99930555555329192</v>
      </c>
      <c r="H524" t="str">
        <f t="shared" si="49"/>
        <v>13 min</v>
      </c>
      <c r="I524" t="s">
        <v>2</v>
      </c>
      <c r="J524" t="s">
        <v>56</v>
      </c>
      <c r="K524" t="s">
        <v>55</v>
      </c>
      <c r="L524">
        <v>3.1</v>
      </c>
      <c r="M524" t="s">
        <v>7</v>
      </c>
      <c r="N524" t="str" cm="1">
        <f t="array" ref="N524">_xlfn.IFS(
    AND(HOUR(A524)&gt;=0, HOUR(A524)&lt;10), "Morning",
    AND(HOUR(A524)&gt;=10, HOUR(A524)&lt;15), "Afternoon",
    AND(HOUR(E524)&gt;=15, HOUR(E524)&lt;19), "Evening",
    AND(HOUR(E524)&gt;=19, HOUR(E524)&lt;=23), "Night"
)</f>
        <v>Night</v>
      </c>
    </row>
    <row r="525" spans="1:14" x14ac:dyDescent="0.25">
      <c r="A525" s="3">
        <v>42558.348611111112</v>
      </c>
      <c r="B525" s="2">
        <f t="shared" si="50"/>
        <v>42558</v>
      </c>
      <c r="C525" t="str">
        <f t="shared" si="51"/>
        <v>July</v>
      </c>
      <c r="D525" t="str">
        <f t="shared" si="52"/>
        <v>Thursday</v>
      </c>
      <c r="E525" t="str">
        <f t="shared" si="48"/>
        <v>08:22:00 AM</v>
      </c>
      <c r="F525" s="3">
        <v>42558.368055555555</v>
      </c>
      <c r="G525" s="4">
        <f t="shared" si="53"/>
        <v>0.36805555555474712</v>
      </c>
      <c r="H525" t="str">
        <f t="shared" si="49"/>
        <v>28 min</v>
      </c>
      <c r="I525" t="s">
        <v>2</v>
      </c>
      <c r="J525" t="s">
        <v>55</v>
      </c>
      <c r="K525" t="s">
        <v>56</v>
      </c>
      <c r="L525">
        <v>7.9</v>
      </c>
      <c r="M525" t="s">
        <v>11</v>
      </c>
      <c r="N525" t="str" cm="1">
        <f t="array" ref="N525">_xlfn.IFS(
    AND(HOUR(A525)&gt;=0, HOUR(A525)&lt;10), "Morning",
    AND(HOUR(A525)&gt;=10, HOUR(A525)&lt;15), "Afternoon",
    AND(HOUR(E525)&gt;=15, HOUR(E525)&lt;19), "Evening",
    AND(HOUR(E525)&gt;=19, HOUR(E525)&lt;=23), "Night"
)</f>
        <v>Morning</v>
      </c>
    </row>
    <row r="526" spans="1:14" x14ac:dyDescent="0.25">
      <c r="A526" s="3">
        <v>42558.435416666667</v>
      </c>
      <c r="B526" s="2">
        <f t="shared" si="50"/>
        <v>42558</v>
      </c>
      <c r="C526" t="str">
        <f t="shared" si="51"/>
        <v>July</v>
      </c>
      <c r="D526" t="str">
        <f t="shared" si="52"/>
        <v>Thursday</v>
      </c>
      <c r="E526" t="str">
        <f t="shared" si="48"/>
        <v>10:27:00 AM</v>
      </c>
      <c r="F526" s="3">
        <v>42558.439583333333</v>
      </c>
      <c r="G526" s="4">
        <f t="shared" si="53"/>
        <v>0.43958333333284827</v>
      </c>
      <c r="H526" t="str">
        <f t="shared" si="49"/>
        <v>6 min</v>
      </c>
      <c r="I526" t="s">
        <v>2</v>
      </c>
      <c r="J526" t="s">
        <v>56</v>
      </c>
      <c r="K526" t="s">
        <v>55</v>
      </c>
      <c r="L526">
        <v>8.9</v>
      </c>
      <c r="M526" t="s">
        <v>52</v>
      </c>
      <c r="N526" t="str" cm="1">
        <f t="array" ref="N526">_xlfn.IFS(
    AND(HOUR(A526)&gt;=0, HOUR(A526)&lt;10), "Morning",
    AND(HOUR(A526)&gt;=10, HOUR(A526)&lt;15), "Afternoon",
    AND(HOUR(E526)&gt;=15, HOUR(E526)&lt;19), "Evening",
    AND(HOUR(E526)&gt;=19, HOUR(E526)&lt;=23), "Night"
)</f>
        <v>Afternoon</v>
      </c>
    </row>
    <row r="527" spans="1:14" x14ac:dyDescent="0.25">
      <c r="A527" s="3">
        <v>42558.540972222225</v>
      </c>
      <c r="B527" s="2">
        <f t="shared" si="50"/>
        <v>42558</v>
      </c>
      <c r="C527" t="str">
        <f t="shared" si="51"/>
        <v>July</v>
      </c>
      <c r="D527" t="str">
        <f t="shared" si="52"/>
        <v>Thursday</v>
      </c>
      <c r="E527" t="str">
        <f t="shared" si="48"/>
        <v>12:59:00 PM</v>
      </c>
      <c r="F527" s="3">
        <v>42558.565972222219</v>
      </c>
      <c r="G527" s="4">
        <f t="shared" si="53"/>
        <v>0.56597222221898846</v>
      </c>
      <c r="H527" t="str">
        <f t="shared" si="49"/>
        <v>36 min</v>
      </c>
      <c r="I527" t="s">
        <v>2</v>
      </c>
      <c r="J527" t="s">
        <v>186</v>
      </c>
      <c r="K527" t="s">
        <v>187</v>
      </c>
      <c r="L527">
        <v>12.8</v>
      </c>
      <c r="M527" t="s">
        <v>52</v>
      </c>
      <c r="N527" t="str" cm="1">
        <f t="array" ref="N527">_xlfn.IFS(
    AND(HOUR(A527)&gt;=0, HOUR(A527)&lt;10), "Morning",
    AND(HOUR(A527)&gt;=10, HOUR(A527)&lt;15), "Afternoon",
    AND(HOUR(E527)&gt;=15, HOUR(E527)&lt;19), "Evening",
    AND(HOUR(E527)&gt;=19, HOUR(E527)&lt;=23), "Night"
)</f>
        <v>Afternoon</v>
      </c>
    </row>
    <row r="528" spans="1:14" x14ac:dyDescent="0.25">
      <c r="A528" s="3">
        <v>42559.409722222219</v>
      </c>
      <c r="B528" s="2">
        <f t="shared" si="50"/>
        <v>42559</v>
      </c>
      <c r="C528" t="str">
        <f t="shared" si="51"/>
        <v>July</v>
      </c>
      <c r="D528" t="str">
        <f t="shared" si="52"/>
        <v>Friday</v>
      </c>
      <c r="E528" t="str">
        <f t="shared" si="48"/>
        <v>09:50:00 AM</v>
      </c>
      <c r="F528" s="3">
        <v>42559.425694444442</v>
      </c>
      <c r="G528" s="4">
        <f t="shared" si="53"/>
        <v>0.4256944444423425</v>
      </c>
      <c r="H528" t="str">
        <f t="shared" si="49"/>
        <v>23 min</v>
      </c>
      <c r="I528" t="s">
        <v>2</v>
      </c>
      <c r="J528" t="s">
        <v>188</v>
      </c>
      <c r="K528" t="s">
        <v>203</v>
      </c>
      <c r="L528">
        <v>7.7</v>
      </c>
      <c r="M528" t="s">
        <v>52</v>
      </c>
      <c r="N528" t="str" cm="1">
        <f t="array" ref="N528">_xlfn.IFS(
    AND(HOUR(A528)&gt;=0, HOUR(A528)&lt;10), "Morning",
    AND(HOUR(A528)&gt;=10, HOUR(A528)&lt;15), "Afternoon",
    AND(HOUR(E528)&gt;=15, HOUR(E528)&lt;19), "Evening",
    AND(HOUR(E528)&gt;=19, HOUR(E528)&lt;=23), "Night"
)</f>
        <v>Morning</v>
      </c>
    </row>
    <row r="529" spans="1:14" x14ac:dyDescent="0.25">
      <c r="A529" s="3">
        <v>42559.45208333333</v>
      </c>
      <c r="B529" s="2">
        <f t="shared" si="50"/>
        <v>42559</v>
      </c>
      <c r="C529" t="str">
        <f t="shared" si="51"/>
        <v>July</v>
      </c>
      <c r="D529" t="str">
        <f t="shared" si="52"/>
        <v>Friday</v>
      </c>
      <c r="E529" t="str">
        <f t="shared" si="48"/>
        <v>10:51:00 AM</v>
      </c>
      <c r="F529" s="3">
        <v>42559.466666666667</v>
      </c>
      <c r="G529" s="4">
        <f t="shared" si="53"/>
        <v>0.46666666666715173</v>
      </c>
      <c r="H529" t="str">
        <f t="shared" si="49"/>
        <v>21 min</v>
      </c>
      <c r="I529" t="s">
        <v>2</v>
      </c>
      <c r="J529" t="s">
        <v>203</v>
      </c>
      <c r="K529" t="s">
        <v>188</v>
      </c>
      <c r="L529">
        <v>7</v>
      </c>
      <c r="M529" t="s">
        <v>52</v>
      </c>
      <c r="N529" t="str" cm="1">
        <f t="array" ref="N529">_xlfn.IFS(
    AND(HOUR(A529)&gt;=0, HOUR(A529)&lt;10), "Morning",
    AND(HOUR(A529)&gt;=10, HOUR(A529)&lt;15), "Afternoon",
    AND(HOUR(E529)&gt;=15, HOUR(E529)&lt;19), "Evening",
    AND(HOUR(E529)&gt;=19, HOUR(E529)&lt;=23), "Night"
)</f>
        <v>Afternoon</v>
      </c>
    </row>
    <row r="530" spans="1:14" x14ac:dyDescent="0.25">
      <c r="A530" s="3">
        <v>42559.574999999997</v>
      </c>
      <c r="B530" s="2">
        <f t="shared" si="50"/>
        <v>42559</v>
      </c>
      <c r="C530" t="str">
        <f t="shared" si="51"/>
        <v>July</v>
      </c>
      <c r="D530" t="str">
        <f t="shared" si="52"/>
        <v>Friday</v>
      </c>
      <c r="E530" t="str">
        <f t="shared" si="48"/>
        <v>01:48:00 PM</v>
      </c>
      <c r="F530" s="3">
        <v>42559.59097222222</v>
      </c>
      <c r="G530" s="4">
        <f t="shared" si="53"/>
        <v>0.59097222222044365</v>
      </c>
      <c r="H530" t="str">
        <f t="shared" si="49"/>
        <v>23 min</v>
      </c>
      <c r="I530" t="s">
        <v>2</v>
      </c>
      <c r="J530" t="s">
        <v>187</v>
      </c>
      <c r="K530" t="s">
        <v>193</v>
      </c>
      <c r="L530">
        <v>12.5</v>
      </c>
      <c r="M530" t="s">
        <v>52</v>
      </c>
      <c r="N530" t="str" cm="1">
        <f t="array" ref="N530">_xlfn.IFS(
    AND(HOUR(A530)&gt;=0, HOUR(A530)&lt;10), "Morning",
    AND(HOUR(A530)&gt;=10, HOUR(A530)&lt;15), "Afternoon",
    AND(HOUR(E530)&gt;=15, HOUR(E530)&lt;19), "Evening",
    AND(HOUR(E530)&gt;=19, HOUR(E530)&lt;=23), "Night"
)</f>
        <v>Afternoon</v>
      </c>
    </row>
    <row r="531" spans="1:14" x14ac:dyDescent="0.25">
      <c r="A531" s="3">
        <v>42559.71597222222</v>
      </c>
      <c r="B531" s="2">
        <f t="shared" si="50"/>
        <v>42559</v>
      </c>
      <c r="C531" t="str">
        <f t="shared" si="51"/>
        <v>July</v>
      </c>
      <c r="D531" t="str">
        <f t="shared" si="52"/>
        <v>Friday</v>
      </c>
      <c r="E531" t="str">
        <f t="shared" si="48"/>
        <v>05:11:00 PM</v>
      </c>
      <c r="F531" s="3">
        <v>42559.729166666664</v>
      </c>
      <c r="G531" s="4">
        <f t="shared" si="53"/>
        <v>0.72916666666424135</v>
      </c>
      <c r="H531" t="str">
        <f t="shared" si="49"/>
        <v>19 min</v>
      </c>
      <c r="I531" t="s">
        <v>2</v>
      </c>
      <c r="J531" t="s">
        <v>186</v>
      </c>
      <c r="K531" t="s">
        <v>187</v>
      </c>
      <c r="L531">
        <v>13.2</v>
      </c>
      <c r="M531" t="s">
        <v>52</v>
      </c>
      <c r="N531" t="str" cm="1">
        <f t="array" ref="N531">_xlfn.IFS(
    AND(HOUR(A531)&gt;=0, HOUR(A531)&lt;10), "Morning",
    AND(HOUR(A531)&gt;=10, HOUR(A531)&lt;15), "Afternoon",
    AND(HOUR(E531)&gt;=15, HOUR(E531)&lt;19), "Evening",
    AND(HOUR(E531)&gt;=19, HOUR(E531)&lt;=23), "Night"
)</f>
        <v>Evening</v>
      </c>
    </row>
    <row r="532" spans="1:14" x14ac:dyDescent="0.25">
      <c r="A532" s="3">
        <v>42560.377083333333</v>
      </c>
      <c r="B532" s="2">
        <f t="shared" si="50"/>
        <v>42560</v>
      </c>
      <c r="C532" t="str">
        <f t="shared" si="51"/>
        <v>July</v>
      </c>
      <c r="D532" t="str">
        <f t="shared" si="52"/>
        <v>Saturday</v>
      </c>
      <c r="E532" t="str">
        <f t="shared" si="48"/>
        <v>09:03:00 AM</v>
      </c>
      <c r="F532" s="3">
        <v>42560.406944444447</v>
      </c>
      <c r="G532" s="4">
        <f t="shared" si="53"/>
        <v>0.40694444444670808</v>
      </c>
      <c r="H532" t="str">
        <f t="shared" si="49"/>
        <v>43 min</v>
      </c>
      <c r="I532" t="s">
        <v>2</v>
      </c>
      <c r="J532" t="s">
        <v>187</v>
      </c>
      <c r="K532" t="s">
        <v>186</v>
      </c>
      <c r="L532">
        <v>13</v>
      </c>
      <c r="M532" t="s">
        <v>52</v>
      </c>
      <c r="N532" t="str" cm="1">
        <f t="array" ref="N532">_xlfn.IFS(
    AND(HOUR(A532)&gt;=0, HOUR(A532)&lt;10), "Morning",
    AND(HOUR(A532)&gt;=10, HOUR(A532)&lt;15), "Afternoon",
    AND(HOUR(E532)&gt;=15, HOUR(E532)&lt;19), "Evening",
    AND(HOUR(E532)&gt;=19, HOUR(E532)&lt;=23), "Night"
)</f>
        <v>Morning</v>
      </c>
    </row>
    <row r="533" spans="1:14" x14ac:dyDescent="0.25">
      <c r="A533" s="3">
        <v>42560.411111111112</v>
      </c>
      <c r="B533" s="2">
        <f t="shared" si="50"/>
        <v>42560</v>
      </c>
      <c r="C533" t="str">
        <f t="shared" si="51"/>
        <v>July</v>
      </c>
      <c r="D533" t="str">
        <f t="shared" si="52"/>
        <v>Saturday</v>
      </c>
      <c r="E533" t="str">
        <f t="shared" si="48"/>
        <v>09:52:00 AM</v>
      </c>
      <c r="F533" s="3">
        <v>42560.42083333333</v>
      </c>
      <c r="G533" s="4">
        <f t="shared" si="53"/>
        <v>0.42083333332993789</v>
      </c>
      <c r="H533" t="str">
        <f t="shared" si="49"/>
        <v>14 min</v>
      </c>
      <c r="I533" t="s">
        <v>2</v>
      </c>
      <c r="J533" t="s">
        <v>186</v>
      </c>
      <c r="K533" t="s">
        <v>193</v>
      </c>
      <c r="L533">
        <v>4.9000000000000004</v>
      </c>
      <c r="M533" t="s">
        <v>52</v>
      </c>
      <c r="N533" t="str" cm="1">
        <f t="array" ref="N533">_xlfn.IFS(
    AND(HOUR(A533)&gt;=0, HOUR(A533)&lt;10), "Morning",
    AND(HOUR(A533)&gt;=10, HOUR(A533)&lt;15), "Afternoon",
    AND(HOUR(E533)&gt;=15, HOUR(E533)&lt;19), "Evening",
    AND(HOUR(E533)&gt;=19, HOUR(E533)&lt;=23), "Night"
)</f>
        <v>Morning</v>
      </c>
    </row>
    <row r="534" spans="1:14" x14ac:dyDescent="0.25">
      <c r="A534" s="3">
        <v>42560.427083333336</v>
      </c>
      <c r="B534" s="2">
        <f t="shared" si="50"/>
        <v>42560</v>
      </c>
      <c r="C534" t="str">
        <f t="shared" si="51"/>
        <v>July</v>
      </c>
      <c r="D534" t="str">
        <f t="shared" si="52"/>
        <v>Saturday</v>
      </c>
      <c r="E534" t="str">
        <f t="shared" si="48"/>
        <v>10:15:00 AM</v>
      </c>
      <c r="F534" s="3">
        <v>42560.439583333333</v>
      </c>
      <c r="G534" s="4">
        <f t="shared" si="53"/>
        <v>0.43958333333284827</v>
      </c>
      <c r="H534" t="str">
        <f t="shared" si="49"/>
        <v>18 min</v>
      </c>
      <c r="I534" t="s">
        <v>2</v>
      </c>
      <c r="J534" t="s">
        <v>193</v>
      </c>
      <c r="K534" t="s">
        <v>187</v>
      </c>
      <c r="L534">
        <v>8.5</v>
      </c>
      <c r="M534" t="s">
        <v>52</v>
      </c>
      <c r="N534" t="str" cm="1">
        <f t="array" ref="N534">_xlfn.IFS(
    AND(HOUR(A534)&gt;=0, HOUR(A534)&lt;10), "Morning",
    AND(HOUR(A534)&gt;=10, HOUR(A534)&lt;15), "Afternoon",
    AND(HOUR(E534)&gt;=15, HOUR(E534)&lt;19), "Evening",
    AND(HOUR(E534)&gt;=19, HOUR(E534)&lt;=23), "Night"
)</f>
        <v>Afternoon</v>
      </c>
    </row>
    <row r="535" spans="1:14" x14ac:dyDescent="0.25">
      <c r="A535" s="3">
        <v>42561.590277777781</v>
      </c>
      <c r="B535" s="2">
        <f t="shared" si="50"/>
        <v>42561</v>
      </c>
      <c r="C535" t="str">
        <f t="shared" si="51"/>
        <v>July</v>
      </c>
      <c r="D535" t="str">
        <f t="shared" si="52"/>
        <v>Sunday</v>
      </c>
      <c r="E535" t="str">
        <f t="shared" si="48"/>
        <v>02:10:00 PM</v>
      </c>
      <c r="F535" s="3">
        <v>42561.595138888886</v>
      </c>
      <c r="G535" s="4">
        <f t="shared" si="53"/>
        <v>0.59513888888614019</v>
      </c>
      <c r="H535" t="str">
        <f t="shared" si="49"/>
        <v>7 min</v>
      </c>
      <c r="I535" t="s">
        <v>2</v>
      </c>
      <c r="J535" t="s">
        <v>188</v>
      </c>
      <c r="K535" t="s">
        <v>204</v>
      </c>
      <c r="L535">
        <v>1.3</v>
      </c>
      <c r="M535" t="s">
        <v>52</v>
      </c>
      <c r="N535" t="str" cm="1">
        <f t="array" ref="N535">_xlfn.IFS(
    AND(HOUR(A535)&gt;=0, HOUR(A535)&lt;10), "Morning",
    AND(HOUR(A535)&gt;=10, HOUR(A535)&lt;15), "Afternoon",
    AND(HOUR(E535)&gt;=15, HOUR(E535)&lt;19), "Evening",
    AND(HOUR(E535)&gt;=19, HOUR(E535)&lt;=23), "Night"
)</f>
        <v>Afternoon</v>
      </c>
    </row>
    <row r="536" spans="1:14" x14ac:dyDescent="0.25">
      <c r="A536" s="3">
        <v>42561.669444444444</v>
      </c>
      <c r="B536" s="2">
        <f t="shared" si="50"/>
        <v>42561</v>
      </c>
      <c r="C536" t="str">
        <f t="shared" si="51"/>
        <v>July</v>
      </c>
      <c r="D536" t="str">
        <f t="shared" si="52"/>
        <v>Sunday</v>
      </c>
      <c r="E536" t="str">
        <f t="shared" si="48"/>
        <v>04:04:00 PM</v>
      </c>
      <c r="F536" s="3">
        <v>42561.677083333336</v>
      </c>
      <c r="G536" s="4">
        <f t="shared" si="53"/>
        <v>0.67708333333575865</v>
      </c>
      <c r="H536" t="str">
        <f t="shared" si="49"/>
        <v>11 min</v>
      </c>
      <c r="I536" t="s">
        <v>2</v>
      </c>
      <c r="J536" t="s">
        <v>204</v>
      </c>
      <c r="K536" t="s">
        <v>188</v>
      </c>
      <c r="L536">
        <v>1.8</v>
      </c>
      <c r="M536" t="s">
        <v>52</v>
      </c>
      <c r="N536" t="str" cm="1">
        <f t="array" ref="N536">_xlfn.IFS(
    AND(HOUR(A536)&gt;=0, HOUR(A536)&lt;10), "Morning",
    AND(HOUR(A536)&gt;=10, HOUR(A536)&lt;15), "Afternoon",
    AND(HOUR(E536)&gt;=15, HOUR(E536)&lt;19), "Evening",
    AND(HOUR(E536)&gt;=19, HOUR(E536)&lt;=23), "Night"
)</f>
        <v>Evening</v>
      </c>
    </row>
    <row r="537" spans="1:14" x14ac:dyDescent="0.25">
      <c r="A537" s="3">
        <v>42561.753472222219</v>
      </c>
      <c r="B537" s="2">
        <f t="shared" si="50"/>
        <v>42561</v>
      </c>
      <c r="C537" t="str">
        <f t="shared" si="51"/>
        <v>July</v>
      </c>
      <c r="D537" t="str">
        <f t="shared" si="52"/>
        <v>Sunday</v>
      </c>
      <c r="E537" t="str">
        <f t="shared" si="48"/>
        <v>06:05:00 PM</v>
      </c>
      <c r="F537" s="3">
        <v>42561.76458333333</v>
      </c>
      <c r="G537" s="4">
        <f t="shared" si="53"/>
        <v>0.76458333332993789</v>
      </c>
      <c r="H537" t="str">
        <f t="shared" si="49"/>
        <v>16 min</v>
      </c>
      <c r="I537" t="s">
        <v>2</v>
      </c>
      <c r="J537" t="s">
        <v>187</v>
      </c>
      <c r="K537" t="s">
        <v>186</v>
      </c>
      <c r="L537">
        <v>13.6</v>
      </c>
      <c r="M537" t="s">
        <v>52</v>
      </c>
      <c r="N537" t="str" cm="1">
        <f t="array" ref="N537">_xlfn.IFS(
    AND(HOUR(A537)&gt;=0, HOUR(A537)&lt;10), "Morning",
    AND(HOUR(A537)&gt;=10, HOUR(A537)&lt;15), "Afternoon",
    AND(HOUR(E537)&gt;=15, HOUR(E537)&lt;19), "Evening",
    AND(HOUR(E537)&gt;=19, HOUR(E537)&lt;=23), "Night"
)</f>
        <v>Evening</v>
      </c>
    </row>
    <row r="538" spans="1:14" x14ac:dyDescent="0.25">
      <c r="A538" s="3">
        <v>42561.82708333333</v>
      </c>
      <c r="B538" s="2">
        <f t="shared" si="50"/>
        <v>42561</v>
      </c>
      <c r="C538" t="str">
        <f t="shared" si="51"/>
        <v>July</v>
      </c>
      <c r="D538" t="str">
        <f t="shared" si="52"/>
        <v>Sunday</v>
      </c>
      <c r="E538" t="str">
        <f t="shared" si="48"/>
        <v>07:51:00 PM</v>
      </c>
      <c r="F538" s="3">
        <v>42561.838888888888</v>
      </c>
      <c r="G538" s="4">
        <f t="shared" si="53"/>
        <v>0.83888888888759539</v>
      </c>
      <c r="H538" t="str">
        <f t="shared" si="49"/>
        <v>17 min</v>
      </c>
      <c r="I538" t="s">
        <v>2</v>
      </c>
      <c r="J538" t="s">
        <v>186</v>
      </c>
      <c r="K538" t="s">
        <v>187</v>
      </c>
      <c r="L538">
        <v>13.4</v>
      </c>
      <c r="M538" t="s">
        <v>52</v>
      </c>
      <c r="N538" t="str" cm="1">
        <f t="array" ref="N538">_xlfn.IFS(
    AND(HOUR(A538)&gt;=0, HOUR(A538)&lt;10), "Morning",
    AND(HOUR(A538)&gt;=10, HOUR(A538)&lt;15), "Afternoon",
    AND(HOUR(E538)&gt;=15, HOUR(E538)&lt;19), "Evening",
    AND(HOUR(E538)&gt;=19, HOUR(E538)&lt;=23), "Night"
)</f>
        <v>Night</v>
      </c>
    </row>
    <row r="539" spans="1:14" x14ac:dyDescent="0.25">
      <c r="A539" s="3">
        <v>42563.673611111109</v>
      </c>
      <c r="B539" s="2">
        <f t="shared" si="50"/>
        <v>42563</v>
      </c>
      <c r="C539" t="str">
        <f t="shared" si="51"/>
        <v>July</v>
      </c>
      <c r="D539" t="str">
        <f t="shared" si="52"/>
        <v>Tuesday</v>
      </c>
      <c r="E539" t="str">
        <f t="shared" si="48"/>
        <v>04:10:00 PM</v>
      </c>
      <c r="F539" s="3">
        <v>42563.697916666664</v>
      </c>
      <c r="G539" s="4">
        <f t="shared" si="53"/>
        <v>0.69791666666424135</v>
      </c>
      <c r="H539" t="str">
        <f t="shared" si="49"/>
        <v>35 min</v>
      </c>
      <c r="I539" t="s">
        <v>2</v>
      </c>
      <c r="J539" t="s">
        <v>187</v>
      </c>
      <c r="K539" t="s">
        <v>186</v>
      </c>
      <c r="L539">
        <v>12.3</v>
      </c>
      <c r="M539" t="s">
        <v>52</v>
      </c>
      <c r="N539" t="str" cm="1">
        <f t="array" ref="N539">_xlfn.IFS(
    AND(HOUR(A539)&gt;=0, HOUR(A539)&lt;10), "Morning",
    AND(HOUR(A539)&gt;=10, HOUR(A539)&lt;15), "Afternoon",
    AND(HOUR(E539)&gt;=15, HOUR(E539)&lt;19), "Evening",
    AND(HOUR(E539)&gt;=19, HOUR(E539)&lt;=23), "Night"
)</f>
        <v>Evening</v>
      </c>
    </row>
    <row r="540" spans="1:14" x14ac:dyDescent="0.25">
      <c r="A540" s="3">
        <v>42563.806250000001</v>
      </c>
      <c r="B540" s="2">
        <f t="shared" si="50"/>
        <v>42563</v>
      </c>
      <c r="C540" t="str">
        <f t="shared" si="51"/>
        <v>July</v>
      </c>
      <c r="D540" t="str">
        <f t="shared" si="52"/>
        <v>Tuesday</v>
      </c>
      <c r="E540" t="str">
        <f t="shared" si="48"/>
        <v>07:21:00 PM</v>
      </c>
      <c r="F540" s="3">
        <v>42563.80972222222</v>
      </c>
      <c r="G540" s="4">
        <f t="shared" si="53"/>
        <v>0.80972222222044365</v>
      </c>
      <c r="H540" t="str">
        <f t="shared" si="49"/>
        <v>5 min</v>
      </c>
      <c r="I540" t="s">
        <v>3</v>
      </c>
      <c r="J540" t="s">
        <v>186</v>
      </c>
      <c r="K540" t="s">
        <v>186</v>
      </c>
      <c r="L540">
        <v>1.4</v>
      </c>
      <c r="M540" t="s">
        <v>52</v>
      </c>
      <c r="N540" t="str" cm="1">
        <f t="array" ref="N540">_xlfn.IFS(
    AND(HOUR(A540)&gt;=0, HOUR(A540)&lt;10), "Morning",
    AND(HOUR(A540)&gt;=10, HOUR(A540)&lt;15), "Afternoon",
    AND(HOUR(E540)&gt;=15, HOUR(E540)&lt;19), "Evening",
    AND(HOUR(E540)&gt;=19, HOUR(E540)&lt;=23), "Night"
)</f>
        <v>Night</v>
      </c>
    </row>
    <row r="541" spans="1:14" x14ac:dyDescent="0.25">
      <c r="A541" s="3">
        <v>42563.990972222222</v>
      </c>
      <c r="B541" s="2">
        <f t="shared" si="50"/>
        <v>42563</v>
      </c>
      <c r="C541" t="str">
        <f t="shared" si="51"/>
        <v>July</v>
      </c>
      <c r="D541" t="str">
        <f t="shared" si="52"/>
        <v>Tuesday</v>
      </c>
      <c r="E541" t="str">
        <f t="shared" si="48"/>
        <v>11:47:00 PM</v>
      </c>
      <c r="F541" s="3">
        <v>42564.007638888892</v>
      </c>
      <c r="G541" s="4">
        <f t="shared" si="53"/>
        <v>7.6388888919609599E-3</v>
      </c>
      <c r="H541" t="str">
        <f t="shared" si="49"/>
        <v>24 min</v>
      </c>
      <c r="I541" t="s">
        <v>3</v>
      </c>
      <c r="J541" t="s">
        <v>56</v>
      </c>
      <c r="K541" t="s">
        <v>55</v>
      </c>
      <c r="L541">
        <v>8.6999999999999993</v>
      </c>
      <c r="M541" t="s">
        <v>52</v>
      </c>
      <c r="N541" t="str" cm="1">
        <f t="array" ref="N541">_xlfn.IFS(
    AND(HOUR(A541)&gt;=0, HOUR(A541)&lt;10), "Morning",
    AND(HOUR(A541)&gt;=10, HOUR(A541)&lt;15), "Afternoon",
    AND(HOUR(E541)&gt;=15, HOUR(E541)&lt;19), "Evening",
    AND(HOUR(E541)&gt;=19, HOUR(E541)&lt;=23), "Night"
)</f>
        <v>Night</v>
      </c>
    </row>
    <row r="542" spans="1:14" x14ac:dyDescent="0.25">
      <c r="A542" s="3">
        <v>42564.527083333334</v>
      </c>
      <c r="B542" s="2">
        <f t="shared" si="50"/>
        <v>42564</v>
      </c>
      <c r="C542" t="str">
        <f t="shared" si="51"/>
        <v>July</v>
      </c>
      <c r="D542" t="str">
        <f t="shared" si="52"/>
        <v>Wednesday</v>
      </c>
      <c r="E542" t="str">
        <f t="shared" si="48"/>
        <v>12:39:00 PM</v>
      </c>
      <c r="F542" s="3">
        <v>42564.555555555555</v>
      </c>
      <c r="G542" s="4">
        <f t="shared" si="53"/>
        <v>0.55555555555474712</v>
      </c>
      <c r="H542" t="str">
        <f t="shared" si="49"/>
        <v>41 min</v>
      </c>
      <c r="I542" t="s">
        <v>3</v>
      </c>
      <c r="J542" t="s">
        <v>55</v>
      </c>
      <c r="K542" t="s">
        <v>56</v>
      </c>
      <c r="L542">
        <v>23.5</v>
      </c>
      <c r="M542" t="s">
        <v>52</v>
      </c>
      <c r="N542" t="str" cm="1">
        <f t="array" ref="N542">_xlfn.IFS(
    AND(HOUR(A542)&gt;=0, HOUR(A542)&lt;10), "Morning",
    AND(HOUR(A542)&gt;=10, HOUR(A542)&lt;15), "Afternoon",
    AND(HOUR(E542)&gt;=15, HOUR(E542)&lt;19), "Evening",
    AND(HOUR(E542)&gt;=19, HOUR(E542)&lt;=23), "Night"
)</f>
        <v>Afternoon</v>
      </c>
    </row>
    <row r="543" spans="1:14" x14ac:dyDescent="0.25">
      <c r="A543" s="3">
        <v>42564.559027777781</v>
      </c>
      <c r="B543" s="2">
        <f t="shared" si="50"/>
        <v>42564</v>
      </c>
      <c r="C543" t="str">
        <f t="shared" si="51"/>
        <v>July</v>
      </c>
      <c r="D543" t="str">
        <f t="shared" si="52"/>
        <v>Wednesday</v>
      </c>
      <c r="E543" t="str">
        <f t="shared" si="48"/>
        <v>01:25:00 PM</v>
      </c>
      <c r="F543" s="3">
        <v>42564.568749999999</v>
      </c>
      <c r="G543" s="4">
        <f t="shared" si="53"/>
        <v>0.56874999999854481</v>
      </c>
      <c r="H543" t="str">
        <f t="shared" si="49"/>
        <v>14 min</v>
      </c>
      <c r="I543" t="s">
        <v>3</v>
      </c>
      <c r="J543" t="s">
        <v>56</v>
      </c>
      <c r="K543" t="s">
        <v>56</v>
      </c>
      <c r="L543">
        <v>2.2000000000000002</v>
      </c>
      <c r="M543" t="s">
        <v>52</v>
      </c>
      <c r="N543" t="str" cm="1">
        <f t="array" ref="N543">_xlfn.IFS(
    AND(HOUR(A543)&gt;=0, HOUR(A543)&lt;10), "Morning",
    AND(HOUR(A543)&gt;=10, HOUR(A543)&lt;15), "Afternoon",
    AND(HOUR(E543)&gt;=15, HOUR(E543)&lt;19), "Evening",
    AND(HOUR(E543)&gt;=19, HOUR(E543)&lt;=23), "Night"
)</f>
        <v>Afternoon</v>
      </c>
    </row>
    <row r="544" spans="1:14" x14ac:dyDescent="0.25">
      <c r="A544" s="3">
        <v>42564.570833333331</v>
      </c>
      <c r="B544" s="2">
        <f t="shared" si="50"/>
        <v>42564</v>
      </c>
      <c r="C544" t="str">
        <f t="shared" si="51"/>
        <v>July</v>
      </c>
      <c r="D544" t="str">
        <f t="shared" si="52"/>
        <v>Wednesday</v>
      </c>
      <c r="E544" t="str">
        <f t="shared" si="48"/>
        <v>01:42:00 PM</v>
      </c>
      <c r="F544" s="3">
        <v>42564.57916666667</v>
      </c>
      <c r="G544" s="4">
        <f t="shared" si="53"/>
        <v>0.57916666667006211</v>
      </c>
      <c r="H544" t="str">
        <f t="shared" si="49"/>
        <v>12 min</v>
      </c>
      <c r="I544" t="s">
        <v>3</v>
      </c>
      <c r="J544" t="s">
        <v>56</v>
      </c>
      <c r="K544" t="s">
        <v>55</v>
      </c>
      <c r="L544">
        <v>4.4000000000000004</v>
      </c>
      <c r="M544" t="s">
        <v>52</v>
      </c>
      <c r="N544" t="str" cm="1">
        <f t="array" ref="N544">_xlfn.IFS(
    AND(HOUR(A544)&gt;=0, HOUR(A544)&lt;10), "Morning",
    AND(HOUR(A544)&gt;=10, HOUR(A544)&lt;15), "Afternoon",
    AND(HOUR(E544)&gt;=15, HOUR(E544)&lt;19), "Evening",
    AND(HOUR(E544)&gt;=19, HOUR(E544)&lt;=23), "Night"
)</f>
        <v>Afternoon</v>
      </c>
    </row>
    <row r="545" spans="1:14" x14ac:dyDescent="0.25">
      <c r="A545" s="3">
        <v>42565.660416666666</v>
      </c>
      <c r="B545" s="2">
        <f t="shared" si="50"/>
        <v>42565</v>
      </c>
      <c r="C545" t="str">
        <f t="shared" si="51"/>
        <v>July</v>
      </c>
      <c r="D545" t="str">
        <f t="shared" si="52"/>
        <v>Thursday</v>
      </c>
      <c r="E545" t="str">
        <f t="shared" si="48"/>
        <v>03:51:00 PM</v>
      </c>
      <c r="F545" s="3">
        <v>42565.665972222225</v>
      </c>
      <c r="G545" s="4">
        <f t="shared" si="53"/>
        <v>0.66597222222480923</v>
      </c>
      <c r="H545" t="str">
        <f t="shared" si="49"/>
        <v>8 min</v>
      </c>
      <c r="I545" t="s">
        <v>3</v>
      </c>
      <c r="J545" t="s">
        <v>55</v>
      </c>
      <c r="K545" t="s">
        <v>56</v>
      </c>
      <c r="L545">
        <v>3.3</v>
      </c>
      <c r="M545" t="s">
        <v>52</v>
      </c>
      <c r="N545" t="str" cm="1">
        <f t="array" ref="N545">_xlfn.IFS(
    AND(HOUR(A545)&gt;=0, HOUR(A545)&lt;10), "Morning",
    AND(HOUR(A545)&gt;=10, HOUR(A545)&lt;15), "Afternoon",
    AND(HOUR(E545)&gt;=15, HOUR(E545)&lt;19), "Evening",
    AND(HOUR(E545)&gt;=19, HOUR(E545)&lt;=23), "Night"
)</f>
        <v>Evening</v>
      </c>
    </row>
    <row r="546" spans="1:14" x14ac:dyDescent="0.25">
      <c r="A546" s="3">
        <v>42565.668749999997</v>
      </c>
      <c r="B546" s="2">
        <f t="shared" si="50"/>
        <v>42565</v>
      </c>
      <c r="C546" t="str">
        <f t="shared" si="51"/>
        <v>July</v>
      </c>
      <c r="D546" t="str">
        <f t="shared" si="52"/>
        <v>Thursday</v>
      </c>
      <c r="E546" t="str">
        <f t="shared" si="48"/>
        <v>04:03:00 PM</v>
      </c>
      <c r="F546" s="3">
        <v>42565.69027777778</v>
      </c>
      <c r="G546" s="4">
        <f t="shared" si="53"/>
        <v>0.69027777777955635</v>
      </c>
      <c r="H546" t="str">
        <f t="shared" si="49"/>
        <v>31 min</v>
      </c>
      <c r="I546" t="s">
        <v>2</v>
      </c>
      <c r="J546" t="s">
        <v>56</v>
      </c>
      <c r="K546" t="s">
        <v>56</v>
      </c>
      <c r="L546">
        <v>11.8</v>
      </c>
      <c r="M546" t="s">
        <v>8</v>
      </c>
      <c r="N546" t="str" cm="1">
        <f t="array" ref="N546">_xlfn.IFS(
    AND(HOUR(A546)&gt;=0, HOUR(A546)&lt;10), "Morning",
    AND(HOUR(A546)&gt;=10, HOUR(A546)&lt;15), "Afternoon",
    AND(HOUR(E546)&gt;=15, HOUR(E546)&lt;19), "Evening",
    AND(HOUR(E546)&gt;=19, HOUR(E546)&lt;=23), "Night"
)</f>
        <v>Evening</v>
      </c>
    </row>
    <row r="547" spans="1:14" x14ac:dyDescent="0.25">
      <c r="A547" s="3">
        <v>42565.693749999999</v>
      </c>
      <c r="B547" s="2">
        <f t="shared" si="50"/>
        <v>42565</v>
      </c>
      <c r="C547" t="str">
        <f t="shared" si="51"/>
        <v>July</v>
      </c>
      <c r="D547" t="str">
        <f t="shared" si="52"/>
        <v>Thursday</v>
      </c>
      <c r="E547" t="str">
        <f t="shared" si="48"/>
        <v>04:39:00 PM</v>
      </c>
      <c r="F547" s="3">
        <v>42565.836805555555</v>
      </c>
      <c r="G547" s="4">
        <f t="shared" si="53"/>
        <v>0.83680555555474712</v>
      </c>
      <c r="H547" t="str">
        <f t="shared" si="49"/>
        <v>206 min</v>
      </c>
      <c r="I547" t="s">
        <v>2</v>
      </c>
      <c r="J547" t="s">
        <v>56</v>
      </c>
      <c r="K547" t="s">
        <v>205</v>
      </c>
      <c r="L547">
        <v>195.3</v>
      </c>
      <c r="M547" t="s">
        <v>52</v>
      </c>
      <c r="N547" t="str" cm="1">
        <f t="array" ref="N547">_xlfn.IFS(
    AND(HOUR(A547)&gt;=0, HOUR(A547)&lt;10), "Morning",
    AND(HOUR(A547)&gt;=10, HOUR(A547)&lt;15), "Afternoon",
    AND(HOUR(E547)&gt;=15, HOUR(E547)&lt;19), "Evening",
    AND(HOUR(E547)&gt;=19, HOUR(E547)&lt;=23), "Night"
)</f>
        <v>Evening</v>
      </c>
    </row>
    <row r="548" spans="1:14" x14ac:dyDescent="0.25">
      <c r="A548" s="3">
        <v>42566.480555555558</v>
      </c>
      <c r="B548" s="2">
        <f t="shared" si="50"/>
        <v>42566</v>
      </c>
      <c r="C548" t="str">
        <f t="shared" si="51"/>
        <v>July</v>
      </c>
      <c r="D548" t="str">
        <f t="shared" si="52"/>
        <v>Friday</v>
      </c>
      <c r="E548" t="str">
        <f t="shared" si="48"/>
        <v>11:32:00 AM</v>
      </c>
      <c r="F548" s="3">
        <v>42566.495138888888</v>
      </c>
      <c r="G548" s="4">
        <f t="shared" si="53"/>
        <v>0.49513888888759539</v>
      </c>
      <c r="H548" t="str">
        <f t="shared" si="49"/>
        <v>21 min</v>
      </c>
      <c r="I548" t="s">
        <v>3</v>
      </c>
      <c r="J548" t="s">
        <v>205</v>
      </c>
      <c r="K548" t="s">
        <v>205</v>
      </c>
      <c r="L548">
        <v>8.3000000000000007</v>
      </c>
      <c r="M548" t="s">
        <v>52</v>
      </c>
      <c r="N548" t="str" cm="1">
        <f t="array" ref="N548">_xlfn.IFS(
    AND(HOUR(A548)&gt;=0, HOUR(A548)&lt;10), "Morning",
    AND(HOUR(A548)&gt;=10, HOUR(A548)&lt;15), "Afternoon",
    AND(HOUR(E548)&gt;=15, HOUR(E548)&lt;19), "Evening",
    AND(HOUR(E548)&gt;=19, HOUR(E548)&lt;=23), "Night"
)</f>
        <v>Afternoon</v>
      </c>
    </row>
    <row r="549" spans="1:14" x14ac:dyDescent="0.25">
      <c r="A549" s="3">
        <v>42566.506249999999</v>
      </c>
      <c r="B549" s="2">
        <f t="shared" si="50"/>
        <v>42566</v>
      </c>
      <c r="C549" t="str">
        <f t="shared" si="51"/>
        <v>July</v>
      </c>
      <c r="D549" t="str">
        <f t="shared" si="52"/>
        <v>Friday</v>
      </c>
      <c r="E549" t="str">
        <f t="shared" si="48"/>
        <v>12:09:00 PM</v>
      </c>
      <c r="F549" s="3">
        <v>42566.513194444444</v>
      </c>
      <c r="G549" s="4">
        <f t="shared" si="53"/>
        <v>0.51319444444379769</v>
      </c>
      <c r="H549" t="str">
        <f t="shared" si="49"/>
        <v>10 min</v>
      </c>
      <c r="I549" t="s">
        <v>3</v>
      </c>
      <c r="J549" t="s">
        <v>205</v>
      </c>
      <c r="K549" t="s">
        <v>205</v>
      </c>
      <c r="L549">
        <v>3.2</v>
      </c>
      <c r="M549" t="s">
        <v>52</v>
      </c>
      <c r="N549" t="str" cm="1">
        <f t="array" ref="N549">_xlfn.IFS(
    AND(HOUR(A549)&gt;=0, HOUR(A549)&lt;10), "Morning",
    AND(HOUR(A549)&gt;=10, HOUR(A549)&lt;15), "Afternoon",
    AND(HOUR(E549)&gt;=15, HOUR(E549)&lt;19), "Evening",
    AND(HOUR(E549)&gt;=19, HOUR(E549)&lt;=23), "Night"
)</f>
        <v>Afternoon</v>
      </c>
    </row>
    <row r="550" spans="1:14" x14ac:dyDescent="0.25">
      <c r="A550" s="3">
        <v>42566.524305555555</v>
      </c>
      <c r="B550" s="2">
        <f t="shared" si="50"/>
        <v>42566</v>
      </c>
      <c r="C550" t="str">
        <f t="shared" si="51"/>
        <v>July</v>
      </c>
      <c r="D550" t="str">
        <f t="shared" si="52"/>
        <v>Friday</v>
      </c>
      <c r="E550" t="str">
        <f t="shared" si="48"/>
        <v>12:35:00 PM</v>
      </c>
      <c r="F550" s="3">
        <v>42566.552083333336</v>
      </c>
      <c r="G550" s="4">
        <f t="shared" si="53"/>
        <v>0.55208333333575865</v>
      </c>
      <c r="H550" t="str">
        <f t="shared" si="49"/>
        <v>40 min</v>
      </c>
      <c r="I550" t="s">
        <v>3</v>
      </c>
      <c r="J550" t="s">
        <v>205</v>
      </c>
      <c r="K550" t="s">
        <v>206</v>
      </c>
      <c r="L550">
        <v>22.4</v>
      </c>
      <c r="M550" t="s">
        <v>52</v>
      </c>
      <c r="N550" t="str" cm="1">
        <f t="array" ref="N550">_xlfn.IFS(
    AND(HOUR(A550)&gt;=0, HOUR(A550)&lt;10), "Morning",
    AND(HOUR(A550)&gt;=10, HOUR(A550)&lt;15), "Afternoon",
    AND(HOUR(E550)&gt;=15, HOUR(E550)&lt;19), "Evening",
    AND(HOUR(E550)&gt;=19, HOUR(E550)&lt;=23), "Night"
)</f>
        <v>Afternoon</v>
      </c>
    </row>
    <row r="551" spans="1:14" x14ac:dyDescent="0.25">
      <c r="A551" s="3">
        <v>42566.627083333333</v>
      </c>
      <c r="B551" s="2">
        <f t="shared" si="50"/>
        <v>42566</v>
      </c>
      <c r="C551" t="str">
        <f t="shared" si="51"/>
        <v>July</v>
      </c>
      <c r="D551" t="str">
        <f t="shared" si="52"/>
        <v>Friday</v>
      </c>
      <c r="E551" t="str">
        <f t="shared" si="48"/>
        <v>03:03:00 PM</v>
      </c>
      <c r="F551" s="3">
        <v>42566.647916666669</v>
      </c>
      <c r="G551" s="4">
        <f t="shared" si="53"/>
        <v>0.64791666666860692</v>
      </c>
      <c r="H551" t="str">
        <f t="shared" si="49"/>
        <v>30 min</v>
      </c>
      <c r="I551" t="s">
        <v>3</v>
      </c>
      <c r="J551" t="s">
        <v>206</v>
      </c>
      <c r="K551" t="s">
        <v>205</v>
      </c>
      <c r="L551">
        <v>12.2</v>
      </c>
      <c r="M551" t="s">
        <v>52</v>
      </c>
      <c r="N551" t="str" cm="1">
        <f t="array" ref="N551">_xlfn.IFS(
    AND(HOUR(A551)&gt;=0, HOUR(A551)&lt;10), "Morning",
    AND(HOUR(A551)&gt;=10, HOUR(A551)&lt;15), "Afternoon",
    AND(HOUR(E551)&gt;=15, HOUR(E551)&lt;19), "Evening",
    AND(HOUR(E551)&gt;=19, HOUR(E551)&lt;=23), "Night"
)</f>
        <v>Evening</v>
      </c>
    </row>
    <row r="552" spans="1:14" x14ac:dyDescent="0.25">
      <c r="A552" s="3">
        <v>42566.652777777781</v>
      </c>
      <c r="B552" s="2">
        <f t="shared" si="50"/>
        <v>42566</v>
      </c>
      <c r="C552" t="str">
        <f t="shared" si="51"/>
        <v>July</v>
      </c>
      <c r="D552" t="str">
        <f t="shared" si="52"/>
        <v>Friday</v>
      </c>
      <c r="E552" t="str">
        <f t="shared" si="48"/>
        <v>03:40:00 PM</v>
      </c>
      <c r="F552" s="3">
        <v>42566.661111111112</v>
      </c>
      <c r="G552" s="4">
        <f t="shared" si="53"/>
        <v>0.66111111111240461</v>
      </c>
      <c r="H552" t="str">
        <f t="shared" si="49"/>
        <v>12 min</v>
      </c>
      <c r="I552" t="s">
        <v>3</v>
      </c>
      <c r="J552" t="s">
        <v>205</v>
      </c>
      <c r="K552" t="s">
        <v>205</v>
      </c>
      <c r="L552">
        <v>4.5</v>
      </c>
      <c r="M552" t="s">
        <v>52</v>
      </c>
      <c r="N552" t="str" cm="1">
        <f t="array" ref="N552">_xlfn.IFS(
    AND(HOUR(A552)&gt;=0, HOUR(A552)&lt;10), "Morning",
    AND(HOUR(A552)&gt;=10, HOUR(A552)&lt;15), "Afternoon",
    AND(HOUR(E552)&gt;=15, HOUR(E552)&lt;19), "Evening",
    AND(HOUR(E552)&gt;=19, HOUR(E552)&lt;=23), "Night"
)</f>
        <v>Evening</v>
      </c>
    </row>
    <row r="553" spans="1:14" x14ac:dyDescent="0.25">
      <c r="A553" s="3">
        <v>42567.551388888889</v>
      </c>
      <c r="B553" s="2">
        <f t="shared" si="50"/>
        <v>42567</v>
      </c>
      <c r="C553" t="str">
        <f t="shared" si="51"/>
        <v>July</v>
      </c>
      <c r="D553" t="str">
        <f t="shared" si="52"/>
        <v>Saturday</v>
      </c>
      <c r="E553" t="str">
        <f t="shared" si="48"/>
        <v>01:14:00 PM</v>
      </c>
      <c r="F553" s="3">
        <v>42567.590277777781</v>
      </c>
      <c r="G553" s="4">
        <f t="shared" si="53"/>
        <v>0.59027777778101154</v>
      </c>
      <c r="H553" t="str">
        <f t="shared" si="49"/>
        <v>56 min</v>
      </c>
      <c r="I553" t="s">
        <v>3</v>
      </c>
      <c r="J553" t="s">
        <v>205</v>
      </c>
      <c r="K553" t="s">
        <v>207</v>
      </c>
      <c r="L553">
        <v>28.1</v>
      </c>
      <c r="M553" t="s">
        <v>52</v>
      </c>
      <c r="N553" t="str" cm="1">
        <f t="array" ref="N553">_xlfn.IFS(
    AND(HOUR(A553)&gt;=0, HOUR(A553)&lt;10), "Morning",
    AND(HOUR(A553)&gt;=10, HOUR(A553)&lt;15), "Afternoon",
    AND(HOUR(E553)&gt;=15, HOUR(E553)&lt;19), "Evening",
    AND(HOUR(E553)&gt;=19, HOUR(E553)&lt;=23), "Night"
)</f>
        <v>Afternoon</v>
      </c>
    </row>
    <row r="554" spans="1:14" x14ac:dyDescent="0.25">
      <c r="A554" s="3">
        <v>42567.593055555553</v>
      </c>
      <c r="B554" s="2">
        <f t="shared" si="50"/>
        <v>42567</v>
      </c>
      <c r="C554" t="str">
        <f t="shared" si="51"/>
        <v>July</v>
      </c>
      <c r="D554" t="str">
        <f t="shared" si="52"/>
        <v>Saturday</v>
      </c>
      <c r="E554" t="str">
        <f t="shared" si="48"/>
        <v>02:14:00 PM</v>
      </c>
      <c r="F554" s="3">
        <v>42567.604166666664</v>
      </c>
      <c r="G554" s="4">
        <f t="shared" si="53"/>
        <v>0.60416666666424135</v>
      </c>
      <c r="H554" t="str">
        <f t="shared" si="49"/>
        <v>16 min</v>
      </c>
      <c r="I554" t="s">
        <v>3</v>
      </c>
      <c r="J554" t="s">
        <v>207</v>
      </c>
      <c r="K554" t="s">
        <v>207</v>
      </c>
      <c r="L554">
        <v>3.8</v>
      </c>
      <c r="M554" t="s">
        <v>52</v>
      </c>
      <c r="N554" t="str" cm="1">
        <f t="array" ref="N554">_xlfn.IFS(
    AND(HOUR(A554)&gt;=0, HOUR(A554)&lt;10), "Morning",
    AND(HOUR(A554)&gt;=10, HOUR(A554)&lt;15), "Afternoon",
    AND(HOUR(E554)&gt;=15, HOUR(E554)&lt;19), "Evening",
    AND(HOUR(E554)&gt;=19, HOUR(E554)&lt;=23), "Night"
)</f>
        <v>Afternoon</v>
      </c>
    </row>
    <row r="555" spans="1:14" x14ac:dyDescent="0.25">
      <c r="A555" s="3">
        <v>42567.645138888889</v>
      </c>
      <c r="B555" s="2">
        <f t="shared" si="50"/>
        <v>42567</v>
      </c>
      <c r="C555" t="str">
        <f t="shared" si="51"/>
        <v>July</v>
      </c>
      <c r="D555" t="str">
        <f t="shared" si="52"/>
        <v>Saturday</v>
      </c>
      <c r="E555" t="str">
        <f t="shared" si="48"/>
        <v>03:29:00 PM</v>
      </c>
      <c r="F555" s="3">
        <v>42567.706250000003</v>
      </c>
      <c r="G555" s="4">
        <f t="shared" si="53"/>
        <v>0.70625000000291038</v>
      </c>
      <c r="H555" t="str">
        <f t="shared" si="49"/>
        <v>88 min</v>
      </c>
      <c r="I555" t="s">
        <v>3</v>
      </c>
      <c r="J555" t="s">
        <v>207</v>
      </c>
      <c r="K555" t="s">
        <v>208</v>
      </c>
      <c r="L555">
        <v>41.9</v>
      </c>
      <c r="M555" t="s">
        <v>52</v>
      </c>
      <c r="N555" t="str" cm="1">
        <f t="array" ref="N555">_xlfn.IFS(
    AND(HOUR(A555)&gt;=0, HOUR(A555)&lt;10), "Morning",
    AND(HOUR(A555)&gt;=10, HOUR(A555)&lt;15), "Afternoon",
    AND(HOUR(E555)&gt;=15, HOUR(E555)&lt;19), "Evening",
    AND(HOUR(E555)&gt;=19, HOUR(E555)&lt;=23), "Night"
)</f>
        <v>Evening</v>
      </c>
    </row>
    <row r="556" spans="1:14" x14ac:dyDescent="0.25">
      <c r="A556" s="3">
        <v>42567.820833333331</v>
      </c>
      <c r="B556" s="2">
        <f t="shared" si="50"/>
        <v>42567</v>
      </c>
      <c r="C556" t="str">
        <f t="shared" si="51"/>
        <v>July</v>
      </c>
      <c r="D556" t="str">
        <f t="shared" si="52"/>
        <v>Saturday</v>
      </c>
      <c r="E556" t="str">
        <f t="shared" si="48"/>
        <v>07:42:00 PM</v>
      </c>
      <c r="F556" s="3">
        <v>42567.857638888891</v>
      </c>
      <c r="G556" s="4">
        <f t="shared" si="53"/>
        <v>0.85763888889050577</v>
      </c>
      <c r="H556" t="str">
        <f t="shared" si="49"/>
        <v>53 min</v>
      </c>
      <c r="I556" t="s">
        <v>3</v>
      </c>
      <c r="J556" t="s">
        <v>208</v>
      </c>
      <c r="K556" t="s">
        <v>205</v>
      </c>
      <c r="L556">
        <v>23.8</v>
      </c>
      <c r="M556" t="s">
        <v>52</v>
      </c>
      <c r="N556" t="str" cm="1">
        <f t="array" ref="N556">_xlfn.IFS(
    AND(HOUR(A556)&gt;=0, HOUR(A556)&lt;10), "Morning",
    AND(HOUR(A556)&gt;=10, HOUR(A556)&lt;15), "Afternoon",
    AND(HOUR(E556)&gt;=15, HOUR(E556)&lt;19), "Evening",
    AND(HOUR(E556)&gt;=19, HOUR(E556)&lt;=23), "Night"
)</f>
        <v>Night</v>
      </c>
    </row>
    <row r="557" spans="1:14" x14ac:dyDescent="0.25">
      <c r="A557" s="3">
        <v>42567.90625</v>
      </c>
      <c r="B557" s="2">
        <f t="shared" si="50"/>
        <v>42567</v>
      </c>
      <c r="C557" t="str">
        <f t="shared" si="51"/>
        <v>July</v>
      </c>
      <c r="D557" t="str">
        <f t="shared" si="52"/>
        <v>Saturday</v>
      </c>
      <c r="E557" t="str">
        <f t="shared" si="48"/>
        <v>09:45:00 PM</v>
      </c>
      <c r="F557" s="3">
        <v>42567.929166666669</v>
      </c>
      <c r="G557" s="4">
        <f t="shared" si="53"/>
        <v>0.92916666666860692</v>
      </c>
      <c r="H557" t="str">
        <f t="shared" si="49"/>
        <v>33 min</v>
      </c>
      <c r="I557" t="s">
        <v>3</v>
      </c>
      <c r="J557" t="s">
        <v>205</v>
      </c>
      <c r="K557" t="s">
        <v>205</v>
      </c>
      <c r="L557">
        <v>13</v>
      </c>
      <c r="M557" t="s">
        <v>52</v>
      </c>
      <c r="N557" t="str" cm="1">
        <f t="array" ref="N557">_xlfn.IFS(
    AND(HOUR(A557)&gt;=0, HOUR(A557)&lt;10), "Morning",
    AND(HOUR(A557)&gt;=10, HOUR(A557)&lt;15), "Afternoon",
    AND(HOUR(E557)&gt;=15, HOUR(E557)&lt;19), "Evening",
    AND(HOUR(E557)&gt;=19, HOUR(E557)&lt;=23), "Night"
)</f>
        <v>Night</v>
      </c>
    </row>
    <row r="558" spans="1:14" x14ac:dyDescent="0.25">
      <c r="A558" s="3">
        <v>42567.951388888891</v>
      </c>
      <c r="B558" s="2">
        <f t="shared" si="50"/>
        <v>42567</v>
      </c>
      <c r="C558" t="str">
        <f t="shared" si="51"/>
        <v>July</v>
      </c>
      <c r="D558" t="str">
        <f t="shared" si="52"/>
        <v>Saturday</v>
      </c>
      <c r="E558" t="str">
        <f t="shared" si="48"/>
        <v>10:50:00 PM</v>
      </c>
      <c r="F558" s="3">
        <v>42567.960416666669</v>
      </c>
      <c r="G558" s="4">
        <f t="shared" si="53"/>
        <v>0.96041666666860692</v>
      </c>
      <c r="H558" t="str">
        <f t="shared" si="49"/>
        <v>13 min</v>
      </c>
      <c r="I558" t="s">
        <v>2</v>
      </c>
      <c r="J558" t="s">
        <v>205</v>
      </c>
      <c r="K558" t="s">
        <v>205</v>
      </c>
      <c r="L558">
        <v>4.4000000000000004</v>
      </c>
      <c r="M558" t="s">
        <v>8</v>
      </c>
      <c r="N558" t="str" cm="1">
        <f t="array" ref="N558">_xlfn.IFS(
    AND(HOUR(A558)&gt;=0, HOUR(A558)&lt;10), "Morning",
    AND(HOUR(A558)&gt;=10, HOUR(A558)&lt;15), "Afternoon",
    AND(HOUR(E558)&gt;=15, HOUR(E558)&lt;19), "Evening",
    AND(HOUR(E558)&gt;=19, HOUR(E558)&lt;=23), "Night"
)</f>
        <v>Night</v>
      </c>
    </row>
    <row r="559" spans="1:14" x14ac:dyDescent="0.25">
      <c r="A559" s="3">
        <v>42568.474305555559</v>
      </c>
      <c r="B559" s="2">
        <f t="shared" si="50"/>
        <v>42568</v>
      </c>
      <c r="C559" t="str">
        <f t="shared" si="51"/>
        <v>July</v>
      </c>
      <c r="D559" t="str">
        <f t="shared" si="52"/>
        <v>Sunday</v>
      </c>
      <c r="E559" t="str">
        <f t="shared" si="48"/>
        <v>11:23:00 AM</v>
      </c>
      <c r="F559" s="3">
        <v>42568.493055555555</v>
      </c>
      <c r="G559" s="4">
        <f t="shared" si="53"/>
        <v>0.49305555555474712</v>
      </c>
      <c r="H559" t="str">
        <f t="shared" si="49"/>
        <v>27 min</v>
      </c>
      <c r="I559" t="s">
        <v>3</v>
      </c>
      <c r="J559" t="s">
        <v>205</v>
      </c>
      <c r="K559" t="s">
        <v>208</v>
      </c>
      <c r="L559">
        <v>15.1</v>
      </c>
      <c r="M559" t="s">
        <v>209</v>
      </c>
      <c r="N559" t="str" cm="1">
        <f t="array" ref="N559">_xlfn.IFS(
    AND(HOUR(A559)&gt;=0, HOUR(A559)&lt;10), "Morning",
    AND(HOUR(A559)&gt;=10, HOUR(A559)&lt;15), "Afternoon",
    AND(HOUR(E559)&gt;=15, HOUR(E559)&lt;19), "Evening",
    AND(HOUR(E559)&gt;=19, HOUR(E559)&lt;=23), "Night"
)</f>
        <v>Afternoon</v>
      </c>
    </row>
    <row r="560" spans="1:14" x14ac:dyDescent="0.25">
      <c r="A560" s="3">
        <v>42568.513888888891</v>
      </c>
      <c r="B560" s="2">
        <f t="shared" si="50"/>
        <v>42568</v>
      </c>
      <c r="C560" t="str">
        <f t="shared" si="51"/>
        <v>July</v>
      </c>
      <c r="D560" t="str">
        <f t="shared" si="52"/>
        <v>Sunday</v>
      </c>
      <c r="E560" t="str">
        <f t="shared" si="48"/>
        <v>12:20:00 PM</v>
      </c>
      <c r="F560" s="3">
        <v>42568.642361111109</v>
      </c>
      <c r="G560" s="4">
        <f t="shared" si="53"/>
        <v>0.64236111110949423</v>
      </c>
      <c r="H560" t="str">
        <f t="shared" si="49"/>
        <v>185 min</v>
      </c>
      <c r="I560" t="s">
        <v>3</v>
      </c>
      <c r="J560" t="s">
        <v>208</v>
      </c>
      <c r="K560" t="s">
        <v>55</v>
      </c>
      <c r="L560">
        <v>180.2</v>
      </c>
      <c r="M560" t="s">
        <v>210</v>
      </c>
      <c r="N560" t="str" cm="1">
        <f t="array" ref="N560">_xlfn.IFS(
    AND(HOUR(A560)&gt;=0, HOUR(A560)&lt;10), "Morning",
    AND(HOUR(A560)&gt;=10, HOUR(A560)&lt;15), "Afternoon",
    AND(HOUR(E560)&gt;=15, HOUR(E560)&lt;19), "Evening",
    AND(HOUR(E560)&gt;=19, HOUR(E560)&lt;=23), "Night"
)</f>
        <v>Afternoon</v>
      </c>
    </row>
    <row r="561" spans="1:14" x14ac:dyDescent="0.25">
      <c r="A561" s="3">
        <v>42569.442361111112</v>
      </c>
      <c r="B561" s="2">
        <f t="shared" si="50"/>
        <v>42569</v>
      </c>
      <c r="C561" t="str">
        <f t="shared" si="51"/>
        <v>July</v>
      </c>
      <c r="D561" t="str">
        <f t="shared" si="52"/>
        <v>Monday</v>
      </c>
      <c r="E561" t="str">
        <f t="shared" si="48"/>
        <v>10:37:00 AM</v>
      </c>
      <c r="F561" s="3">
        <v>42569.450694444444</v>
      </c>
      <c r="G561" s="4">
        <f t="shared" si="53"/>
        <v>0.45069444444379769</v>
      </c>
      <c r="H561" t="str">
        <f t="shared" si="49"/>
        <v>12 min</v>
      </c>
      <c r="I561" t="s">
        <v>3</v>
      </c>
      <c r="J561" t="s">
        <v>55</v>
      </c>
      <c r="K561" t="s">
        <v>56</v>
      </c>
      <c r="L561">
        <v>4.0999999999999996</v>
      </c>
      <c r="M561" t="s">
        <v>211</v>
      </c>
      <c r="N561" t="str" cm="1">
        <f t="array" ref="N561">_xlfn.IFS(
    AND(HOUR(A561)&gt;=0, HOUR(A561)&lt;10), "Morning",
    AND(HOUR(A561)&gt;=10, HOUR(A561)&lt;15), "Afternoon",
    AND(HOUR(E561)&gt;=15, HOUR(E561)&lt;19), "Evening",
    AND(HOUR(E561)&gt;=19, HOUR(E561)&lt;=23), "Night"
)</f>
        <v>Afternoon</v>
      </c>
    </row>
    <row r="562" spans="1:14" x14ac:dyDescent="0.25">
      <c r="A562" s="3">
        <v>42569.45416666667</v>
      </c>
      <c r="B562" s="2">
        <f t="shared" si="50"/>
        <v>42569</v>
      </c>
      <c r="C562" t="str">
        <f t="shared" si="51"/>
        <v>July</v>
      </c>
      <c r="D562" t="str">
        <f t="shared" si="52"/>
        <v>Monday</v>
      </c>
      <c r="E562" t="str">
        <f t="shared" si="48"/>
        <v>10:54:00 AM</v>
      </c>
      <c r="F562" s="3">
        <v>42569.46875</v>
      </c>
      <c r="G562" s="4">
        <f t="shared" si="53"/>
        <v>0.46875</v>
      </c>
      <c r="H562" t="str">
        <f t="shared" si="49"/>
        <v>21 min</v>
      </c>
      <c r="I562" t="s">
        <v>3</v>
      </c>
      <c r="J562" t="s">
        <v>56</v>
      </c>
      <c r="K562" t="s">
        <v>55</v>
      </c>
      <c r="L562">
        <v>6.1</v>
      </c>
      <c r="M562" t="s">
        <v>211</v>
      </c>
      <c r="N562" t="str" cm="1">
        <f t="array" ref="N562">_xlfn.IFS(
    AND(HOUR(A562)&gt;=0, HOUR(A562)&lt;10), "Morning",
    AND(HOUR(A562)&gt;=10, HOUR(A562)&lt;15), "Afternoon",
    AND(HOUR(E562)&gt;=15, HOUR(E562)&lt;19), "Evening",
    AND(HOUR(E562)&gt;=19, HOUR(E562)&lt;=23), "Night"
)</f>
        <v>Afternoon</v>
      </c>
    </row>
    <row r="563" spans="1:14" x14ac:dyDescent="0.25">
      <c r="A563" s="3">
        <v>42569.475694444445</v>
      </c>
      <c r="B563" s="2">
        <f t="shared" si="50"/>
        <v>42569</v>
      </c>
      <c r="C563" t="str">
        <f t="shared" si="51"/>
        <v>July</v>
      </c>
      <c r="D563" t="str">
        <f t="shared" si="52"/>
        <v>Monday</v>
      </c>
      <c r="E563" t="str">
        <f t="shared" si="48"/>
        <v>11:25:00 AM</v>
      </c>
      <c r="F563" s="3">
        <v>42569.48333333333</v>
      </c>
      <c r="G563" s="4">
        <f t="shared" si="53"/>
        <v>0.48333333332993789</v>
      </c>
      <c r="H563" t="str">
        <f t="shared" si="49"/>
        <v>11 min</v>
      </c>
      <c r="I563" t="s">
        <v>3</v>
      </c>
      <c r="J563" t="s">
        <v>89</v>
      </c>
      <c r="K563" t="s">
        <v>94</v>
      </c>
      <c r="L563">
        <v>3.3</v>
      </c>
      <c r="M563" t="s">
        <v>211</v>
      </c>
      <c r="N563" t="str" cm="1">
        <f t="array" ref="N563">_xlfn.IFS(
    AND(HOUR(A563)&gt;=0, HOUR(A563)&lt;10), "Morning",
    AND(HOUR(A563)&gt;=10, HOUR(A563)&lt;15), "Afternoon",
    AND(HOUR(E563)&gt;=15, HOUR(E563)&lt;19), "Evening",
    AND(HOUR(E563)&gt;=19, HOUR(E563)&lt;=23), "Night"
)</f>
        <v>Afternoon</v>
      </c>
    </row>
    <row r="564" spans="1:14" x14ac:dyDescent="0.25">
      <c r="A564" s="3">
        <v>42569.486111111109</v>
      </c>
      <c r="B564" s="2">
        <f t="shared" si="50"/>
        <v>42569</v>
      </c>
      <c r="C564" t="str">
        <f t="shared" si="51"/>
        <v>July</v>
      </c>
      <c r="D564" t="str">
        <f t="shared" si="52"/>
        <v>Monday</v>
      </c>
      <c r="E564" t="str">
        <f t="shared" si="48"/>
        <v>11:40:00 AM</v>
      </c>
      <c r="F564" s="3">
        <v>42569.49722222222</v>
      </c>
      <c r="G564" s="4">
        <f t="shared" si="53"/>
        <v>0.49722222222044365</v>
      </c>
      <c r="H564" t="str">
        <f t="shared" si="49"/>
        <v>16 min</v>
      </c>
      <c r="I564" t="s">
        <v>3</v>
      </c>
      <c r="J564" t="s">
        <v>94</v>
      </c>
      <c r="K564" t="s">
        <v>77</v>
      </c>
      <c r="L564">
        <v>4.7</v>
      </c>
      <c r="M564" t="s">
        <v>211</v>
      </c>
      <c r="N564" t="str" cm="1">
        <f t="array" ref="N564">_xlfn.IFS(
    AND(HOUR(A564)&gt;=0, HOUR(A564)&lt;10), "Morning",
    AND(HOUR(A564)&gt;=10, HOUR(A564)&lt;15), "Afternoon",
    AND(HOUR(E564)&gt;=15, HOUR(E564)&lt;19), "Evening",
    AND(HOUR(E564)&gt;=19, HOUR(E564)&lt;=23), "Night"
)</f>
        <v>Afternoon</v>
      </c>
    </row>
    <row r="565" spans="1:14" x14ac:dyDescent="0.25">
      <c r="A565" s="3">
        <v>42569.716666666667</v>
      </c>
      <c r="B565" s="2">
        <f t="shared" si="50"/>
        <v>42569</v>
      </c>
      <c r="C565" t="str">
        <f t="shared" si="51"/>
        <v>July</v>
      </c>
      <c r="D565" t="str">
        <f t="shared" si="52"/>
        <v>Monday</v>
      </c>
      <c r="E565" t="str">
        <f t="shared" si="48"/>
        <v>05:12:00 PM</v>
      </c>
      <c r="F565" s="3">
        <v>42569.731249999997</v>
      </c>
      <c r="G565" s="4">
        <f t="shared" si="53"/>
        <v>0.73124999999708962</v>
      </c>
      <c r="H565" t="str">
        <f t="shared" si="49"/>
        <v>21 min</v>
      </c>
      <c r="I565" t="s">
        <v>2</v>
      </c>
      <c r="J565" t="s">
        <v>55</v>
      </c>
      <c r="K565" t="s">
        <v>87</v>
      </c>
      <c r="L565">
        <v>7.2</v>
      </c>
      <c r="M565" t="s">
        <v>10</v>
      </c>
      <c r="N565" t="str" cm="1">
        <f t="array" ref="N565">_xlfn.IFS(
    AND(HOUR(A565)&gt;=0, HOUR(A565)&lt;10), "Morning",
    AND(HOUR(A565)&gt;=10, HOUR(A565)&lt;15), "Afternoon",
    AND(HOUR(E565)&gt;=15, HOUR(E565)&lt;19), "Evening",
    AND(HOUR(E565)&gt;=19, HOUR(E565)&lt;=23), "Night"
)</f>
        <v>Evening</v>
      </c>
    </row>
    <row r="566" spans="1:14" x14ac:dyDescent="0.25">
      <c r="A566" s="3">
        <v>42569.772222222222</v>
      </c>
      <c r="B566" s="2">
        <f t="shared" si="50"/>
        <v>42569</v>
      </c>
      <c r="C566" t="str">
        <f t="shared" si="51"/>
        <v>July</v>
      </c>
      <c r="D566" t="str">
        <f t="shared" si="52"/>
        <v>Monday</v>
      </c>
      <c r="E566" t="str">
        <f t="shared" si="48"/>
        <v>06:32:00 PM</v>
      </c>
      <c r="F566" s="3">
        <v>42569.782638888886</v>
      </c>
      <c r="G566" s="4">
        <f t="shared" si="53"/>
        <v>0.78263888888614019</v>
      </c>
      <c r="H566" t="str">
        <f t="shared" si="49"/>
        <v>15 min</v>
      </c>
      <c r="I566" t="s">
        <v>2</v>
      </c>
      <c r="J566" t="s">
        <v>87</v>
      </c>
      <c r="K566" t="s">
        <v>55</v>
      </c>
      <c r="L566">
        <v>5.5</v>
      </c>
      <c r="M566" t="s">
        <v>9</v>
      </c>
      <c r="N566" t="str" cm="1">
        <f t="array" ref="N566">_xlfn.IFS(
    AND(HOUR(A566)&gt;=0, HOUR(A566)&lt;10), "Morning",
    AND(HOUR(A566)&gt;=10, HOUR(A566)&lt;15), "Afternoon",
    AND(HOUR(E566)&gt;=15, HOUR(E566)&lt;19), "Evening",
    AND(HOUR(E566)&gt;=19, HOUR(E566)&lt;=23), "Night"
)</f>
        <v>Evening</v>
      </c>
    </row>
    <row r="567" spans="1:14" x14ac:dyDescent="0.25">
      <c r="A567" s="3">
        <v>42569.796527777777</v>
      </c>
      <c r="B567" s="2">
        <f t="shared" si="50"/>
        <v>42569</v>
      </c>
      <c r="C567" t="str">
        <f t="shared" si="51"/>
        <v>July</v>
      </c>
      <c r="D567" t="str">
        <f t="shared" si="52"/>
        <v>Monday</v>
      </c>
      <c r="E567" t="str">
        <f t="shared" si="48"/>
        <v>07:07:00 PM</v>
      </c>
      <c r="F567" s="3">
        <v>42569.801388888889</v>
      </c>
      <c r="G567" s="4">
        <f t="shared" si="53"/>
        <v>0.80138888888905058</v>
      </c>
      <c r="H567" t="str">
        <f t="shared" si="49"/>
        <v>7 min</v>
      </c>
      <c r="I567" t="s">
        <v>2</v>
      </c>
      <c r="J567" t="s">
        <v>55</v>
      </c>
      <c r="K567" t="s">
        <v>56</v>
      </c>
      <c r="L567">
        <v>3.3</v>
      </c>
      <c r="M567" t="s">
        <v>9</v>
      </c>
      <c r="N567" t="str" cm="1">
        <f t="array" ref="N567">_xlfn.IFS(
    AND(HOUR(A567)&gt;=0, HOUR(A567)&lt;10), "Morning",
    AND(HOUR(A567)&gt;=10, HOUR(A567)&lt;15), "Afternoon",
    AND(HOUR(E567)&gt;=15, HOUR(E567)&lt;19), "Evening",
    AND(HOUR(E567)&gt;=19, HOUR(E567)&lt;=23), "Night"
)</f>
        <v>Night</v>
      </c>
    </row>
    <row r="568" spans="1:14" x14ac:dyDescent="0.25">
      <c r="A568" s="3">
        <v>42569.852777777778</v>
      </c>
      <c r="B568" s="2">
        <f t="shared" si="50"/>
        <v>42569</v>
      </c>
      <c r="C568" t="str">
        <f t="shared" si="51"/>
        <v>July</v>
      </c>
      <c r="D568" t="str">
        <f t="shared" si="52"/>
        <v>Monday</v>
      </c>
      <c r="E568" t="str">
        <f t="shared" si="48"/>
        <v>08:28:00 PM</v>
      </c>
      <c r="F568" s="3">
        <v>42569.855555555558</v>
      </c>
      <c r="G568" s="4">
        <f t="shared" si="53"/>
        <v>0.8555555555576575</v>
      </c>
      <c r="H568" t="str">
        <f t="shared" si="49"/>
        <v>4 min</v>
      </c>
      <c r="I568" t="s">
        <v>2</v>
      </c>
      <c r="J568" t="s">
        <v>82</v>
      </c>
      <c r="K568" t="s">
        <v>112</v>
      </c>
      <c r="L568">
        <v>0.9</v>
      </c>
      <c r="M568" t="s">
        <v>8</v>
      </c>
      <c r="N568" t="str" cm="1">
        <f t="array" ref="N568">_xlfn.IFS(
    AND(HOUR(A568)&gt;=0, HOUR(A568)&lt;10), "Morning",
    AND(HOUR(A568)&gt;=10, HOUR(A568)&lt;15), "Afternoon",
    AND(HOUR(E568)&gt;=15, HOUR(E568)&lt;19), "Evening",
    AND(HOUR(E568)&gt;=19, HOUR(E568)&lt;=23), "Night"
)</f>
        <v>Night</v>
      </c>
    </row>
    <row r="569" spans="1:14" x14ac:dyDescent="0.25">
      <c r="A569" s="3">
        <v>42569.882638888892</v>
      </c>
      <c r="B569" s="2">
        <f t="shared" si="50"/>
        <v>42569</v>
      </c>
      <c r="C569" t="str">
        <f t="shared" si="51"/>
        <v>July</v>
      </c>
      <c r="D569" t="str">
        <f t="shared" si="52"/>
        <v>Monday</v>
      </c>
      <c r="E569" t="str">
        <f t="shared" si="48"/>
        <v>09:11:00 PM</v>
      </c>
      <c r="F569" s="3">
        <v>42569.888194444444</v>
      </c>
      <c r="G569" s="4">
        <f t="shared" si="53"/>
        <v>0.88819444444379769</v>
      </c>
      <c r="H569" t="str">
        <f t="shared" si="49"/>
        <v>8 min</v>
      </c>
      <c r="I569" t="s">
        <v>2</v>
      </c>
      <c r="J569" t="s">
        <v>56</v>
      </c>
      <c r="K569" t="s">
        <v>55</v>
      </c>
      <c r="L569">
        <v>3.8</v>
      </c>
      <c r="M569" t="s">
        <v>9</v>
      </c>
      <c r="N569" t="str" cm="1">
        <f t="array" ref="N569">_xlfn.IFS(
    AND(HOUR(A569)&gt;=0, HOUR(A569)&lt;10), "Morning",
    AND(HOUR(A569)&gt;=10, HOUR(A569)&lt;15), "Afternoon",
    AND(HOUR(E569)&gt;=15, HOUR(E569)&lt;19), "Evening",
    AND(HOUR(E569)&gt;=19, HOUR(E569)&lt;=23), "Night"
)</f>
        <v>Night</v>
      </c>
    </row>
    <row r="570" spans="1:14" x14ac:dyDescent="0.25">
      <c r="A570" s="3">
        <v>42570.440972222219</v>
      </c>
      <c r="B570" s="2">
        <f t="shared" si="50"/>
        <v>42570</v>
      </c>
      <c r="C570" t="str">
        <f t="shared" si="51"/>
        <v>July</v>
      </c>
      <c r="D570" t="str">
        <f t="shared" si="52"/>
        <v>Tuesday</v>
      </c>
      <c r="E570" t="str">
        <f t="shared" si="48"/>
        <v>10:35:00 AM</v>
      </c>
      <c r="F570" s="3">
        <v>42570.45208333333</v>
      </c>
      <c r="G570" s="4">
        <f t="shared" si="53"/>
        <v>0.45208333332993789</v>
      </c>
      <c r="H570" t="str">
        <f t="shared" si="49"/>
        <v>16 min</v>
      </c>
      <c r="I570" t="s">
        <v>2</v>
      </c>
      <c r="J570" t="s">
        <v>77</v>
      </c>
      <c r="K570" t="s">
        <v>212</v>
      </c>
      <c r="L570">
        <v>6.4</v>
      </c>
      <c r="M570" t="s">
        <v>7</v>
      </c>
      <c r="N570" t="str" cm="1">
        <f t="array" ref="N570">_xlfn.IFS(
    AND(HOUR(A570)&gt;=0, HOUR(A570)&lt;10), "Morning",
    AND(HOUR(A570)&gt;=10, HOUR(A570)&lt;15), "Afternoon",
    AND(HOUR(E570)&gt;=15, HOUR(E570)&lt;19), "Evening",
    AND(HOUR(E570)&gt;=19, HOUR(E570)&lt;=23), "Night"
)</f>
        <v>Afternoon</v>
      </c>
    </row>
    <row r="571" spans="1:14" x14ac:dyDescent="0.25">
      <c r="A571" s="3">
        <v>42570.455555555556</v>
      </c>
      <c r="B571" s="2">
        <f t="shared" si="50"/>
        <v>42570</v>
      </c>
      <c r="C571" t="str">
        <f t="shared" si="51"/>
        <v>July</v>
      </c>
      <c r="D571" t="str">
        <f t="shared" si="52"/>
        <v>Tuesday</v>
      </c>
      <c r="E571" t="str">
        <f t="shared" si="48"/>
        <v>10:56:00 AM</v>
      </c>
      <c r="F571" s="3">
        <v>42570.46597222222</v>
      </c>
      <c r="G571" s="4">
        <f t="shared" si="53"/>
        <v>0.46597222222044365</v>
      </c>
      <c r="H571" t="str">
        <f t="shared" si="49"/>
        <v>15 min</v>
      </c>
      <c r="I571" t="s">
        <v>2</v>
      </c>
      <c r="J571" t="s">
        <v>212</v>
      </c>
      <c r="K571" t="s">
        <v>213</v>
      </c>
      <c r="L571">
        <v>3</v>
      </c>
      <c r="M571" t="s">
        <v>10</v>
      </c>
      <c r="N571" t="str" cm="1">
        <f t="array" ref="N571">_xlfn.IFS(
    AND(HOUR(A571)&gt;=0, HOUR(A571)&lt;10), "Morning",
    AND(HOUR(A571)&gt;=10, HOUR(A571)&lt;15), "Afternoon",
    AND(HOUR(E571)&gt;=15, HOUR(E571)&lt;19), "Evening",
    AND(HOUR(E571)&gt;=19, HOUR(E571)&lt;=23), "Night"
)</f>
        <v>Afternoon</v>
      </c>
    </row>
    <row r="572" spans="1:14" x14ac:dyDescent="0.25">
      <c r="A572" s="3">
        <v>42570.479166666664</v>
      </c>
      <c r="B572" s="2">
        <f t="shared" si="50"/>
        <v>42570</v>
      </c>
      <c r="C572" t="str">
        <f t="shared" si="51"/>
        <v>July</v>
      </c>
      <c r="D572" t="str">
        <f t="shared" si="52"/>
        <v>Tuesday</v>
      </c>
      <c r="E572" t="str">
        <f t="shared" si="48"/>
        <v>11:30:00 AM</v>
      </c>
      <c r="F572" s="3">
        <v>42570.5</v>
      </c>
      <c r="G572" s="4">
        <f t="shared" si="53"/>
        <v>0.5</v>
      </c>
      <c r="H572" t="str">
        <f t="shared" si="49"/>
        <v>30 min</v>
      </c>
      <c r="I572" t="s">
        <v>2</v>
      </c>
      <c r="J572" t="s">
        <v>213</v>
      </c>
      <c r="K572" t="s">
        <v>77</v>
      </c>
      <c r="L572">
        <v>8.6999999999999993</v>
      </c>
      <c r="M572" t="s">
        <v>9</v>
      </c>
      <c r="N572" t="str" cm="1">
        <f t="array" ref="N572">_xlfn.IFS(
    AND(HOUR(A572)&gt;=0, HOUR(A572)&lt;10), "Morning",
    AND(HOUR(A572)&gt;=10, HOUR(A572)&lt;15), "Afternoon",
    AND(HOUR(E572)&gt;=15, HOUR(E572)&lt;19), "Evening",
    AND(HOUR(E572)&gt;=19, HOUR(E572)&lt;=23), "Night"
)</f>
        <v>Afternoon</v>
      </c>
    </row>
    <row r="573" spans="1:14" x14ac:dyDescent="0.25">
      <c r="A573" s="3">
        <v>42570.718055555553</v>
      </c>
      <c r="B573" s="2">
        <f t="shared" si="50"/>
        <v>42570</v>
      </c>
      <c r="C573" t="str">
        <f t="shared" si="51"/>
        <v>July</v>
      </c>
      <c r="D573" t="str">
        <f t="shared" si="52"/>
        <v>Tuesday</v>
      </c>
      <c r="E573" t="str">
        <f t="shared" si="48"/>
        <v>05:14:00 PM</v>
      </c>
      <c r="F573" s="3">
        <v>42570.724999999999</v>
      </c>
      <c r="G573" s="4">
        <f t="shared" si="53"/>
        <v>0.72499999999854481</v>
      </c>
      <c r="H573" t="str">
        <f t="shared" si="49"/>
        <v>10 min</v>
      </c>
      <c r="I573" t="s">
        <v>2</v>
      </c>
      <c r="J573" t="s">
        <v>77</v>
      </c>
      <c r="K573" t="s">
        <v>151</v>
      </c>
      <c r="L573">
        <v>3.9</v>
      </c>
      <c r="M573" t="s">
        <v>8</v>
      </c>
      <c r="N573" t="str" cm="1">
        <f t="array" ref="N573">_xlfn.IFS(
    AND(HOUR(A573)&gt;=0, HOUR(A573)&lt;10), "Morning",
    AND(HOUR(A573)&gt;=10, HOUR(A573)&lt;15), "Afternoon",
    AND(HOUR(E573)&gt;=15, HOUR(E573)&lt;19), "Evening",
    AND(HOUR(E573)&gt;=19, HOUR(E573)&lt;=23), "Night"
)</f>
        <v>Evening</v>
      </c>
    </row>
    <row r="574" spans="1:14" x14ac:dyDescent="0.25">
      <c r="A574" s="3">
        <v>42570.743055555555</v>
      </c>
      <c r="B574" s="2">
        <f t="shared" si="50"/>
        <v>42570</v>
      </c>
      <c r="C574" t="str">
        <f t="shared" si="51"/>
        <v>July</v>
      </c>
      <c r="D574" t="str">
        <f t="shared" si="52"/>
        <v>Tuesday</v>
      </c>
      <c r="E574" t="str">
        <f t="shared" si="48"/>
        <v>05:50:00 PM</v>
      </c>
      <c r="F574" s="3">
        <v>42570.755555555559</v>
      </c>
      <c r="G574" s="4">
        <f t="shared" si="53"/>
        <v>0.75555555555911269</v>
      </c>
      <c r="H574" t="str">
        <f t="shared" si="49"/>
        <v>18 min</v>
      </c>
      <c r="I574" t="s">
        <v>3</v>
      </c>
      <c r="J574" t="s">
        <v>151</v>
      </c>
      <c r="K574" t="s">
        <v>77</v>
      </c>
      <c r="L574">
        <v>4.8</v>
      </c>
      <c r="M574" t="s">
        <v>52</v>
      </c>
      <c r="N574" t="str" cm="1">
        <f t="array" ref="N574">_xlfn.IFS(
    AND(HOUR(A574)&gt;=0, HOUR(A574)&lt;10), "Morning",
    AND(HOUR(A574)&gt;=10, HOUR(A574)&lt;15), "Afternoon",
    AND(HOUR(E574)&gt;=15, HOUR(E574)&lt;19), "Evening",
    AND(HOUR(E574)&gt;=19, HOUR(E574)&lt;=23), "Night"
)</f>
        <v>Evening</v>
      </c>
    </row>
    <row r="575" spans="1:14" x14ac:dyDescent="0.25">
      <c r="A575" s="3">
        <v>42571.716666666667</v>
      </c>
      <c r="B575" s="2">
        <f t="shared" si="50"/>
        <v>42571</v>
      </c>
      <c r="C575" t="str">
        <f t="shared" si="51"/>
        <v>July</v>
      </c>
      <c r="D575" t="str">
        <f t="shared" si="52"/>
        <v>Wednesday</v>
      </c>
      <c r="E575" t="str">
        <f t="shared" si="48"/>
        <v>05:12:00 PM</v>
      </c>
      <c r="F575" s="3">
        <v>42571.724999999999</v>
      </c>
      <c r="G575" s="4">
        <f t="shared" si="53"/>
        <v>0.72499999999854481</v>
      </c>
      <c r="H575" t="str">
        <f t="shared" si="49"/>
        <v>12 min</v>
      </c>
      <c r="I575" t="s">
        <v>3</v>
      </c>
      <c r="J575" t="s">
        <v>77</v>
      </c>
      <c r="K575" t="s">
        <v>92</v>
      </c>
      <c r="L575">
        <v>2.8</v>
      </c>
      <c r="M575" t="s">
        <v>52</v>
      </c>
      <c r="N575" t="str" cm="1">
        <f t="array" ref="N575">_xlfn.IFS(
    AND(HOUR(A575)&gt;=0, HOUR(A575)&lt;10), "Morning",
    AND(HOUR(A575)&gt;=10, HOUR(A575)&lt;15), "Afternoon",
    AND(HOUR(E575)&gt;=15, HOUR(E575)&lt;19), "Evening",
    AND(HOUR(E575)&gt;=19, HOUR(E575)&lt;=23), "Night"
)</f>
        <v>Evening</v>
      </c>
    </row>
    <row r="576" spans="1:14" x14ac:dyDescent="0.25">
      <c r="A576" s="3">
        <v>42571.743055555555</v>
      </c>
      <c r="B576" s="2">
        <f t="shared" si="50"/>
        <v>42571</v>
      </c>
      <c r="C576" t="str">
        <f t="shared" si="51"/>
        <v>July</v>
      </c>
      <c r="D576" t="str">
        <f t="shared" si="52"/>
        <v>Wednesday</v>
      </c>
      <c r="E576" t="str">
        <f t="shared" si="48"/>
        <v>05:50:00 PM</v>
      </c>
      <c r="F576" s="3">
        <v>42571.747916666667</v>
      </c>
      <c r="G576" s="4">
        <f t="shared" si="53"/>
        <v>0.74791666666715173</v>
      </c>
      <c r="H576" t="str">
        <f t="shared" si="49"/>
        <v>7 min</v>
      </c>
      <c r="I576" t="s">
        <v>3</v>
      </c>
      <c r="J576" t="s">
        <v>92</v>
      </c>
      <c r="K576" t="s">
        <v>94</v>
      </c>
      <c r="L576">
        <v>1.4</v>
      </c>
      <c r="M576" t="s">
        <v>52</v>
      </c>
      <c r="N576" t="str" cm="1">
        <f t="array" ref="N576">_xlfn.IFS(
    AND(HOUR(A576)&gt;=0, HOUR(A576)&lt;10), "Morning",
    AND(HOUR(A576)&gt;=10, HOUR(A576)&lt;15), "Afternoon",
    AND(HOUR(E576)&gt;=15, HOUR(E576)&lt;19), "Evening",
    AND(HOUR(E576)&gt;=19, HOUR(E576)&lt;=23), "Night"
)</f>
        <v>Evening</v>
      </c>
    </row>
    <row r="577" spans="1:14" x14ac:dyDescent="0.25">
      <c r="A577" s="3">
        <v>42571.761111111111</v>
      </c>
      <c r="B577" s="2">
        <f t="shared" si="50"/>
        <v>42571</v>
      </c>
      <c r="C577" t="str">
        <f t="shared" si="51"/>
        <v>July</v>
      </c>
      <c r="D577" t="str">
        <f t="shared" si="52"/>
        <v>Wednesday</v>
      </c>
      <c r="E577" t="str">
        <f t="shared" si="48"/>
        <v>06:16:00 PM</v>
      </c>
      <c r="F577" s="3">
        <v>42571.763888888891</v>
      </c>
      <c r="G577" s="4">
        <f t="shared" si="53"/>
        <v>0.76388888889050577</v>
      </c>
      <c r="H577" t="str">
        <f t="shared" si="49"/>
        <v>4 min</v>
      </c>
      <c r="I577" t="s">
        <v>3</v>
      </c>
      <c r="J577" t="s">
        <v>94</v>
      </c>
      <c r="K577" t="s">
        <v>77</v>
      </c>
      <c r="L577">
        <v>1.4</v>
      </c>
      <c r="M577" t="s">
        <v>52</v>
      </c>
      <c r="N577" t="str" cm="1">
        <f t="array" ref="N577">_xlfn.IFS(
    AND(HOUR(A577)&gt;=0, HOUR(A577)&lt;10), "Morning",
    AND(HOUR(A577)&gt;=10, HOUR(A577)&lt;15), "Afternoon",
    AND(HOUR(E577)&gt;=15, HOUR(E577)&lt;19), "Evening",
    AND(HOUR(E577)&gt;=19, HOUR(E577)&lt;=23), "Night"
)</f>
        <v>Evening</v>
      </c>
    </row>
    <row r="578" spans="1:14" x14ac:dyDescent="0.25">
      <c r="A578" s="3">
        <v>42572.720138888886</v>
      </c>
      <c r="B578" s="2">
        <f t="shared" si="50"/>
        <v>42572</v>
      </c>
      <c r="C578" t="str">
        <f t="shared" si="51"/>
        <v>July</v>
      </c>
      <c r="D578" t="str">
        <f t="shared" si="52"/>
        <v>Thursday</v>
      </c>
      <c r="E578" t="str">
        <f t="shared" ref="E578:E641" si="54">TEXT(A578, "hh:mm:ss AM/PM")</f>
        <v>05:17:00 PM</v>
      </c>
      <c r="F578" s="3">
        <v>42572.724305555559</v>
      </c>
      <c r="G578" s="4">
        <f t="shared" si="53"/>
        <v>0.72430555555911269</v>
      </c>
      <c r="H578" t="str">
        <f t="shared" ref="H578:H641" si="55">HOUR(IF(G578&lt;E578, G578+1-E578, G578-E578))*60 + MINUTE(IF(G578&lt;E578, G578+1-E578, G578-E578)) &amp; " min"</f>
        <v>6 min</v>
      </c>
      <c r="I578" t="s">
        <v>2</v>
      </c>
      <c r="J578" t="s">
        <v>77</v>
      </c>
      <c r="K578" t="s">
        <v>92</v>
      </c>
      <c r="L578">
        <v>2.7</v>
      </c>
      <c r="M578" t="s">
        <v>52</v>
      </c>
      <c r="N578" t="str" cm="1">
        <f t="array" ref="N578">_xlfn.IFS(
    AND(HOUR(A578)&gt;=0, HOUR(A578)&lt;10), "Morning",
    AND(HOUR(A578)&gt;=10, HOUR(A578)&lt;15), "Afternoon",
    AND(HOUR(E578)&gt;=15, HOUR(E578)&lt;19), "Evening",
    AND(HOUR(E578)&gt;=19, HOUR(E578)&lt;=23), "Night"
)</f>
        <v>Evening</v>
      </c>
    </row>
    <row r="579" spans="1:14" x14ac:dyDescent="0.25">
      <c r="A579" s="3">
        <v>42572.737500000003</v>
      </c>
      <c r="B579" s="2">
        <f t="shared" ref="B579:B642" si="56">INT(A579)</f>
        <v>42572</v>
      </c>
      <c r="C579" t="str">
        <f t="shared" ref="C579:C642" si="57">TEXT(B579, "mmmm")</f>
        <v>July</v>
      </c>
      <c r="D579" t="str">
        <f t="shared" ref="D579:D642" si="58">TEXT(B579, "dddd")</f>
        <v>Thursday</v>
      </c>
      <c r="E579" t="str">
        <f t="shared" si="54"/>
        <v>05:42:00 PM</v>
      </c>
      <c r="F579" s="3">
        <v>42572.743750000001</v>
      </c>
      <c r="G579" s="4">
        <f t="shared" ref="G579:G642" si="59">F579-INT(F579)</f>
        <v>0.74375000000145519</v>
      </c>
      <c r="H579" t="str">
        <f t="shared" si="55"/>
        <v>9 min</v>
      </c>
      <c r="I579" t="s">
        <v>2</v>
      </c>
      <c r="J579" t="s">
        <v>92</v>
      </c>
      <c r="K579" t="s">
        <v>152</v>
      </c>
      <c r="L579">
        <v>2.2999999999999998</v>
      </c>
      <c r="M579" t="s">
        <v>52</v>
      </c>
      <c r="N579" t="str" cm="1">
        <f t="array" ref="N579">_xlfn.IFS(
    AND(HOUR(A579)&gt;=0, HOUR(A579)&lt;10), "Morning",
    AND(HOUR(A579)&gt;=10, HOUR(A579)&lt;15), "Afternoon",
    AND(HOUR(E579)&gt;=15, HOUR(E579)&lt;19), "Evening",
    AND(HOUR(E579)&gt;=19, HOUR(E579)&lt;=23), "Night"
)</f>
        <v>Evening</v>
      </c>
    </row>
    <row r="580" spans="1:14" x14ac:dyDescent="0.25">
      <c r="A580" s="3">
        <v>42572.768750000003</v>
      </c>
      <c r="B580" s="2">
        <f t="shared" si="56"/>
        <v>42572</v>
      </c>
      <c r="C580" t="str">
        <f t="shared" si="57"/>
        <v>July</v>
      </c>
      <c r="D580" t="str">
        <f t="shared" si="58"/>
        <v>Thursday</v>
      </c>
      <c r="E580" t="str">
        <f t="shared" si="54"/>
        <v>06:27:00 PM</v>
      </c>
      <c r="F580" s="3">
        <v>42572.779166666667</v>
      </c>
      <c r="G580" s="4">
        <f t="shared" si="59"/>
        <v>0.77916666666715173</v>
      </c>
      <c r="H580" t="str">
        <f t="shared" si="55"/>
        <v>15 min</v>
      </c>
      <c r="I580" t="s">
        <v>2</v>
      </c>
      <c r="J580" t="s">
        <v>55</v>
      </c>
      <c r="K580" t="s">
        <v>56</v>
      </c>
      <c r="L580">
        <v>3.7</v>
      </c>
      <c r="M580" t="s">
        <v>52</v>
      </c>
      <c r="N580" t="str" cm="1">
        <f t="array" ref="N580">_xlfn.IFS(
    AND(HOUR(A580)&gt;=0, HOUR(A580)&lt;10), "Morning",
    AND(HOUR(A580)&gt;=10, HOUR(A580)&lt;15), "Afternoon",
    AND(HOUR(E580)&gt;=15, HOUR(E580)&lt;19), "Evening",
    AND(HOUR(E580)&gt;=19, HOUR(E580)&lt;=23), "Night"
)</f>
        <v>Evening</v>
      </c>
    </row>
    <row r="581" spans="1:14" x14ac:dyDescent="0.25">
      <c r="A581" s="3">
        <v>42572.8125</v>
      </c>
      <c r="B581" s="2">
        <f t="shared" si="56"/>
        <v>42572</v>
      </c>
      <c r="C581" t="str">
        <f t="shared" si="57"/>
        <v>July</v>
      </c>
      <c r="D581" t="str">
        <f t="shared" si="58"/>
        <v>Thursday</v>
      </c>
      <c r="E581" t="str">
        <f t="shared" si="54"/>
        <v>07:30:00 PM</v>
      </c>
      <c r="F581" s="3">
        <v>42572.818749999999</v>
      </c>
      <c r="G581" s="4">
        <f t="shared" si="59"/>
        <v>0.81874999999854481</v>
      </c>
      <c r="H581" t="str">
        <f t="shared" si="55"/>
        <v>9 min</v>
      </c>
      <c r="I581" t="s">
        <v>2</v>
      </c>
      <c r="J581" t="s">
        <v>56</v>
      </c>
      <c r="K581" t="s">
        <v>55</v>
      </c>
      <c r="L581">
        <v>2.9</v>
      </c>
      <c r="M581" t="s">
        <v>52</v>
      </c>
      <c r="N581" t="str" cm="1">
        <f t="array" ref="N581">_xlfn.IFS(
    AND(HOUR(A581)&gt;=0, HOUR(A581)&lt;10), "Morning",
    AND(HOUR(A581)&gt;=10, HOUR(A581)&lt;15), "Afternoon",
    AND(HOUR(E581)&gt;=15, HOUR(E581)&lt;19), "Evening",
    AND(HOUR(E581)&gt;=19, HOUR(E581)&lt;=23), "Night"
)</f>
        <v>Night</v>
      </c>
    </row>
    <row r="582" spans="1:14" x14ac:dyDescent="0.25">
      <c r="A582" s="3">
        <v>42573.445833333331</v>
      </c>
      <c r="B582" s="2">
        <f t="shared" si="56"/>
        <v>42573</v>
      </c>
      <c r="C582" t="str">
        <f t="shared" si="57"/>
        <v>July</v>
      </c>
      <c r="D582" t="str">
        <f t="shared" si="58"/>
        <v>Friday</v>
      </c>
      <c r="E582" t="str">
        <f t="shared" si="54"/>
        <v>10:42:00 AM</v>
      </c>
      <c r="F582" s="3">
        <v>42573.453472222223</v>
      </c>
      <c r="G582" s="4">
        <f t="shared" si="59"/>
        <v>0.45347222222335404</v>
      </c>
      <c r="H582" t="str">
        <f t="shared" si="55"/>
        <v>11 min</v>
      </c>
      <c r="I582" t="s">
        <v>2</v>
      </c>
      <c r="J582" t="s">
        <v>55</v>
      </c>
      <c r="K582" t="s">
        <v>56</v>
      </c>
      <c r="L582">
        <v>3.8</v>
      </c>
      <c r="M582" t="s">
        <v>52</v>
      </c>
      <c r="N582" t="str" cm="1">
        <f t="array" ref="N582">_xlfn.IFS(
    AND(HOUR(A582)&gt;=0, HOUR(A582)&lt;10), "Morning",
    AND(HOUR(A582)&gt;=10, HOUR(A582)&lt;15), "Afternoon",
    AND(HOUR(E582)&gt;=15, HOUR(E582)&lt;19), "Evening",
    AND(HOUR(E582)&gt;=19, HOUR(E582)&lt;=23), "Night"
)</f>
        <v>Afternoon</v>
      </c>
    </row>
    <row r="583" spans="1:14" x14ac:dyDescent="0.25">
      <c r="A583" s="3">
        <v>42573.46597222222</v>
      </c>
      <c r="B583" s="2">
        <f t="shared" si="56"/>
        <v>42573</v>
      </c>
      <c r="C583" t="str">
        <f t="shared" si="57"/>
        <v>July</v>
      </c>
      <c r="D583" t="str">
        <f t="shared" si="58"/>
        <v>Friday</v>
      </c>
      <c r="E583" t="str">
        <f t="shared" si="54"/>
        <v>11:11:00 AM</v>
      </c>
      <c r="F583" s="3">
        <v>42573.475694444445</v>
      </c>
      <c r="G583" s="4">
        <f t="shared" si="59"/>
        <v>0.47569444444525288</v>
      </c>
      <c r="H583" t="str">
        <f t="shared" si="55"/>
        <v>14 min</v>
      </c>
      <c r="I583" t="s">
        <v>2</v>
      </c>
      <c r="J583" t="s">
        <v>56</v>
      </c>
      <c r="K583" t="s">
        <v>55</v>
      </c>
      <c r="L583">
        <v>5.0999999999999996</v>
      </c>
      <c r="M583" t="s">
        <v>52</v>
      </c>
      <c r="N583" t="str" cm="1">
        <f t="array" ref="N583">_xlfn.IFS(
    AND(HOUR(A583)&gt;=0, HOUR(A583)&lt;10), "Morning",
    AND(HOUR(A583)&gt;=10, HOUR(A583)&lt;15), "Afternoon",
    AND(HOUR(E583)&gt;=15, HOUR(E583)&lt;19), "Evening",
    AND(HOUR(E583)&gt;=19, HOUR(E583)&lt;=23), "Night"
)</f>
        <v>Afternoon</v>
      </c>
    </row>
    <row r="584" spans="1:14" x14ac:dyDescent="0.25">
      <c r="A584" s="3">
        <v>42573.484027777777</v>
      </c>
      <c r="B584" s="2">
        <f t="shared" si="56"/>
        <v>42573</v>
      </c>
      <c r="C584" t="str">
        <f t="shared" si="57"/>
        <v>July</v>
      </c>
      <c r="D584" t="str">
        <f t="shared" si="58"/>
        <v>Friday</v>
      </c>
      <c r="E584" t="str">
        <f t="shared" si="54"/>
        <v>11:37:00 AM</v>
      </c>
      <c r="F584" s="3">
        <v>42573.5</v>
      </c>
      <c r="G584" s="4">
        <f t="shared" si="59"/>
        <v>0.5</v>
      </c>
      <c r="H584" t="str">
        <f t="shared" si="55"/>
        <v>23 min</v>
      </c>
      <c r="I584" t="s">
        <v>2</v>
      </c>
      <c r="J584" t="s">
        <v>82</v>
      </c>
      <c r="K584" t="s">
        <v>213</v>
      </c>
      <c r="L584">
        <v>9.1</v>
      </c>
      <c r="M584" t="s">
        <v>52</v>
      </c>
      <c r="N584" t="str" cm="1">
        <f t="array" ref="N584">_xlfn.IFS(
    AND(HOUR(A584)&gt;=0, HOUR(A584)&lt;10), "Morning",
    AND(HOUR(A584)&gt;=10, HOUR(A584)&lt;15), "Afternoon",
    AND(HOUR(E584)&gt;=15, HOUR(E584)&lt;19), "Evening",
    AND(HOUR(E584)&gt;=19, HOUR(E584)&lt;=23), "Night"
)</f>
        <v>Afternoon</v>
      </c>
    </row>
    <row r="585" spans="1:14" x14ac:dyDescent="0.25">
      <c r="A585" s="3">
        <v>42573.509722222225</v>
      </c>
      <c r="B585" s="2">
        <f t="shared" si="56"/>
        <v>42573</v>
      </c>
      <c r="C585" t="str">
        <f t="shared" si="57"/>
        <v>July</v>
      </c>
      <c r="D585" t="str">
        <f t="shared" si="58"/>
        <v>Friday</v>
      </c>
      <c r="E585" t="str">
        <f t="shared" si="54"/>
        <v>12:14:00 PM</v>
      </c>
      <c r="F585" s="3">
        <v>42573.521527777775</v>
      </c>
      <c r="G585" s="4">
        <f t="shared" si="59"/>
        <v>0.52152777777519077</v>
      </c>
      <c r="H585" t="str">
        <f t="shared" si="55"/>
        <v>17 min</v>
      </c>
      <c r="I585" t="s">
        <v>2</v>
      </c>
      <c r="J585" t="s">
        <v>55</v>
      </c>
      <c r="K585" t="s">
        <v>75</v>
      </c>
      <c r="L585">
        <v>8</v>
      </c>
      <c r="M585" t="s">
        <v>52</v>
      </c>
      <c r="N585" t="str" cm="1">
        <f t="array" ref="N585">_xlfn.IFS(
    AND(HOUR(A585)&gt;=0, HOUR(A585)&lt;10), "Morning",
    AND(HOUR(A585)&gt;=10, HOUR(A585)&lt;15), "Afternoon",
    AND(HOUR(E585)&gt;=15, HOUR(E585)&lt;19), "Evening",
    AND(HOUR(E585)&gt;=19, HOUR(E585)&lt;=23), "Night"
)</f>
        <v>Afternoon</v>
      </c>
    </row>
    <row r="586" spans="1:14" x14ac:dyDescent="0.25">
      <c r="A586" s="3">
        <v>42573.556250000001</v>
      </c>
      <c r="B586" s="2">
        <f t="shared" si="56"/>
        <v>42573</v>
      </c>
      <c r="C586" t="str">
        <f t="shared" si="57"/>
        <v>July</v>
      </c>
      <c r="D586" t="str">
        <f t="shared" si="58"/>
        <v>Friday</v>
      </c>
      <c r="E586" t="str">
        <f t="shared" si="54"/>
        <v>01:21:00 PM</v>
      </c>
      <c r="F586" s="3">
        <v>42573.570833333331</v>
      </c>
      <c r="G586" s="4">
        <f t="shared" si="59"/>
        <v>0.57083333333139308</v>
      </c>
      <c r="H586" t="str">
        <f t="shared" si="55"/>
        <v>21 min</v>
      </c>
      <c r="I586" t="s">
        <v>2</v>
      </c>
      <c r="J586" t="s">
        <v>75</v>
      </c>
      <c r="K586" t="s">
        <v>55</v>
      </c>
      <c r="L586">
        <v>9.9</v>
      </c>
      <c r="M586" t="s">
        <v>10</v>
      </c>
      <c r="N586" t="str" cm="1">
        <f t="array" ref="N586">_xlfn.IFS(
    AND(HOUR(A586)&gt;=0, HOUR(A586)&lt;10), "Morning",
    AND(HOUR(A586)&gt;=10, HOUR(A586)&lt;15), "Afternoon",
    AND(HOUR(E586)&gt;=15, HOUR(E586)&lt;19), "Evening",
    AND(HOUR(E586)&gt;=19, HOUR(E586)&lt;=23), "Night"
)</f>
        <v>Afternoon</v>
      </c>
    </row>
    <row r="587" spans="1:14" x14ac:dyDescent="0.25">
      <c r="A587" s="3">
        <v>42573.602083333331</v>
      </c>
      <c r="B587" s="2">
        <f t="shared" si="56"/>
        <v>42573</v>
      </c>
      <c r="C587" t="str">
        <f t="shared" si="57"/>
        <v>July</v>
      </c>
      <c r="D587" t="str">
        <f t="shared" si="58"/>
        <v>Friday</v>
      </c>
      <c r="E587" t="str">
        <f t="shared" si="54"/>
        <v>02:27:00 PM</v>
      </c>
      <c r="F587" s="3">
        <v>42573.613194444442</v>
      </c>
      <c r="G587" s="4">
        <f t="shared" si="59"/>
        <v>0.6131944444423425</v>
      </c>
      <c r="H587" t="str">
        <f t="shared" si="55"/>
        <v>16 min</v>
      </c>
      <c r="I587" t="s">
        <v>2</v>
      </c>
      <c r="J587" t="s">
        <v>55</v>
      </c>
      <c r="K587" t="s">
        <v>56</v>
      </c>
      <c r="L587">
        <v>6.1</v>
      </c>
      <c r="M587" t="s">
        <v>9</v>
      </c>
      <c r="N587" t="str" cm="1">
        <f t="array" ref="N587">_xlfn.IFS(
    AND(HOUR(A587)&gt;=0, HOUR(A587)&lt;10), "Morning",
    AND(HOUR(A587)&gt;=10, HOUR(A587)&lt;15), "Afternoon",
    AND(HOUR(E587)&gt;=15, HOUR(E587)&lt;19), "Evening",
    AND(HOUR(E587)&gt;=19, HOUR(E587)&lt;=23), "Night"
)</f>
        <v>Afternoon</v>
      </c>
    </row>
    <row r="588" spans="1:14" x14ac:dyDescent="0.25">
      <c r="A588" s="3">
        <v>42573.65902777778</v>
      </c>
      <c r="B588" s="2">
        <f t="shared" si="56"/>
        <v>42573</v>
      </c>
      <c r="C588" t="str">
        <f t="shared" si="57"/>
        <v>July</v>
      </c>
      <c r="D588" t="str">
        <f t="shared" si="58"/>
        <v>Friday</v>
      </c>
      <c r="E588" t="str">
        <f t="shared" si="54"/>
        <v>03:49:00 PM</v>
      </c>
      <c r="F588" s="3">
        <v>42573.681944444441</v>
      </c>
      <c r="G588" s="4">
        <f t="shared" si="59"/>
        <v>0.68194444444088731</v>
      </c>
      <c r="H588" t="str">
        <f t="shared" si="55"/>
        <v>33 min</v>
      </c>
      <c r="I588" t="s">
        <v>2</v>
      </c>
      <c r="J588" t="s">
        <v>56</v>
      </c>
      <c r="K588" t="s">
        <v>55</v>
      </c>
      <c r="L588">
        <v>12.2</v>
      </c>
      <c r="M588" t="s">
        <v>52</v>
      </c>
      <c r="N588" t="str" cm="1">
        <f t="array" ref="N588">_xlfn.IFS(
    AND(HOUR(A588)&gt;=0, HOUR(A588)&lt;10), "Morning",
    AND(HOUR(A588)&gt;=10, HOUR(A588)&lt;15), "Afternoon",
    AND(HOUR(E588)&gt;=15, HOUR(E588)&lt;19), "Evening",
    AND(HOUR(E588)&gt;=19, HOUR(E588)&lt;=23), "Night"
)</f>
        <v>Evening</v>
      </c>
    </row>
    <row r="589" spans="1:14" x14ac:dyDescent="0.25">
      <c r="A589" s="3">
        <v>42573.772916666669</v>
      </c>
      <c r="B589" s="2">
        <f t="shared" si="56"/>
        <v>42573</v>
      </c>
      <c r="C589" t="str">
        <f t="shared" si="57"/>
        <v>July</v>
      </c>
      <c r="D589" t="str">
        <f t="shared" si="58"/>
        <v>Friday</v>
      </c>
      <c r="E589" t="str">
        <f t="shared" si="54"/>
        <v>06:33:00 PM</v>
      </c>
      <c r="F589" s="3">
        <v>42573.785416666666</v>
      </c>
      <c r="G589" s="4">
        <f t="shared" si="59"/>
        <v>0.78541666666569654</v>
      </c>
      <c r="H589" t="str">
        <f t="shared" si="55"/>
        <v>18 min</v>
      </c>
      <c r="I589" t="s">
        <v>2</v>
      </c>
      <c r="J589" t="s">
        <v>110</v>
      </c>
      <c r="K589" t="s">
        <v>77</v>
      </c>
      <c r="L589">
        <v>8</v>
      </c>
      <c r="M589" t="s">
        <v>52</v>
      </c>
      <c r="N589" t="str" cm="1">
        <f t="array" ref="N589">_xlfn.IFS(
    AND(HOUR(A589)&gt;=0, HOUR(A589)&lt;10), "Morning",
    AND(HOUR(A589)&gt;=10, HOUR(A589)&lt;15), "Afternoon",
    AND(HOUR(E589)&gt;=15, HOUR(E589)&lt;19), "Evening",
    AND(HOUR(E589)&gt;=19, HOUR(E589)&lt;=23), "Night"
)</f>
        <v>Evening</v>
      </c>
    </row>
    <row r="590" spans="1:14" x14ac:dyDescent="0.25">
      <c r="A590" s="3">
        <v>42574.602083333331</v>
      </c>
      <c r="B590" s="2">
        <f t="shared" si="56"/>
        <v>42574</v>
      </c>
      <c r="C590" t="str">
        <f t="shared" si="57"/>
        <v>July</v>
      </c>
      <c r="D590" t="str">
        <f t="shared" si="58"/>
        <v>Saturday</v>
      </c>
      <c r="E590" t="str">
        <f t="shared" si="54"/>
        <v>02:27:00 PM</v>
      </c>
      <c r="F590" s="3">
        <v>42574.613888888889</v>
      </c>
      <c r="G590" s="4">
        <f t="shared" si="59"/>
        <v>0.61388888888905058</v>
      </c>
      <c r="H590" t="str">
        <f t="shared" si="55"/>
        <v>17 min</v>
      </c>
      <c r="I590" t="s">
        <v>2</v>
      </c>
      <c r="J590" t="s">
        <v>55</v>
      </c>
      <c r="K590" t="s">
        <v>56</v>
      </c>
      <c r="L590">
        <v>4</v>
      </c>
      <c r="M590" t="s">
        <v>52</v>
      </c>
      <c r="N590" t="str" cm="1">
        <f t="array" ref="N590">_xlfn.IFS(
    AND(HOUR(A590)&gt;=0, HOUR(A590)&lt;10), "Morning",
    AND(HOUR(A590)&gt;=10, HOUR(A590)&lt;15), "Afternoon",
    AND(HOUR(E590)&gt;=15, HOUR(E590)&lt;19), "Evening",
    AND(HOUR(E590)&gt;=19, HOUR(E590)&lt;=23), "Night"
)</f>
        <v>Afternoon</v>
      </c>
    </row>
    <row r="591" spans="1:14" x14ac:dyDescent="0.25">
      <c r="A591" s="3">
        <v>42574.616666666669</v>
      </c>
      <c r="B591" s="2">
        <f t="shared" si="56"/>
        <v>42574</v>
      </c>
      <c r="C591" t="str">
        <f t="shared" si="57"/>
        <v>July</v>
      </c>
      <c r="D591" t="str">
        <f t="shared" si="58"/>
        <v>Saturday</v>
      </c>
      <c r="E591" t="str">
        <f t="shared" si="54"/>
        <v>02:48:00 PM</v>
      </c>
      <c r="F591" s="3">
        <v>42574.633333333331</v>
      </c>
      <c r="G591" s="4">
        <f t="shared" si="59"/>
        <v>0.63333333333139308</v>
      </c>
      <c r="H591" t="str">
        <f t="shared" si="55"/>
        <v>24 min</v>
      </c>
      <c r="I591" t="s">
        <v>2</v>
      </c>
      <c r="J591" t="s">
        <v>56</v>
      </c>
      <c r="K591" t="s">
        <v>55</v>
      </c>
      <c r="L591">
        <v>9.5</v>
      </c>
      <c r="M591" t="s">
        <v>52</v>
      </c>
      <c r="N591" t="str" cm="1">
        <f t="array" ref="N591">_xlfn.IFS(
    AND(HOUR(A591)&gt;=0, HOUR(A591)&lt;10), "Morning",
    AND(HOUR(A591)&gt;=10, HOUR(A591)&lt;15), "Afternoon",
    AND(HOUR(E591)&gt;=15, HOUR(E591)&lt;19), "Evening",
    AND(HOUR(E591)&gt;=19, HOUR(E591)&lt;=23), "Night"
)</f>
        <v>Afternoon</v>
      </c>
    </row>
    <row r="592" spans="1:14" x14ac:dyDescent="0.25">
      <c r="A592" s="3">
        <v>42574.635416666664</v>
      </c>
      <c r="B592" s="2">
        <f t="shared" si="56"/>
        <v>42574</v>
      </c>
      <c r="C592" t="str">
        <f t="shared" si="57"/>
        <v>July</v>
      </c>
      <c r="D592" t="str">
        <f t="shared" si="58"/>
        <v>Saturday</v>
      </c>
      <c r="E592" t="str">
        <f t="shared" si="54"/>
        <v>03:15:00 PM</v>
      </c>
      <c r="F592" s="3">
        <v>42574.643750000003</v>
      </c>
      <c r="G592" s="4">
        <f t="shared" si="59"/>
        <v>0.64375000000291038</v>
      </c>
      <c r="H592" t="str">
        <f t="shared" si="55"/>
        <v>12 min</v>
      </c>
      <c r="I592" t="s">
        <v>2</v>
      </c>
      <c r="J592" t="s">
        <v>55</v>
      </c>
      <c r="K592" t="s">
        <v>56</v>
      </c>
      <c r="L592">
        <v>3</v>
      </c>
      <c r="M592" t="s">
        <v>52</v>
      </c>
      <c r="N592" t="str" cm="1">
        <f t="array" ref="N592">_xlfn.IFS(
    AND(HOUR(A592)&gt;=0, HOUR(A592)&lt;10), "Morning",
    AND(HOUR(A592)&gt;=10, HOUR(A592)&lt;15), "Afternoon",
    AND(HOUR(E592)&gt;=15, HOUR(E592)&lt;19), "Evening",
    AND(HOUR(E592)&gt;=19, HOUR(E592)&lt;=23), "Night"
)</f>
        <v>Evening</v>
      </c>
    </row>
    <row r="593" spans="1:14" x14ac:dyDescent="0.25">
      <c r="A593" s="3">
        <v>42574.659722222219</v>
      </c>
      <c r="B593" s="2">
        <f t="shared" si="56"/>
        <v>42574</v>
      </c>
      <c r="C593" t="str">
        <f t="shared" si="57"/>
        <v>July</v>
      </c>
      <c r="D593" t="str">
        <f t="shared" si="58"/>
        <v>Saturday</v>
      </c>
      <c r="E593" t="str">
        <f t="shared" si="54"/>
        <v>03:50:00 PM</v>
      </c>
      <c r="F593" s="3">
        <v>42574.673611111109</v>
      </c>
      <c r="G593" s="4">
        <f t="shared" si="59"/>
        <v>0.67361111110949423</v>
      </c>
      <c r="H593" t="str">
        <f t="shared" si="55"/>
        <v>20 min</v>
      </c>
      <c r="I593" t="s">
        <v>2</v>
      </c>
      <c r="J593" t="s">
        <v>56</v>
      </c>
      <c r="K593" t="s">
        <v>55</v>
      </c>
      <c r="L593">
        <v>6.3</v>
      </c>
      <c r="M593" t="s">
        <v>52</v>
      </c>
      <c r="N593" t="str" cm="1">
        <f t="array" ref="N593">_xlfn.IFS(
    AND(HOUR(A593)&gt;=0, HOUR(A593)&lt;10), "Morning",
    AND(HOUR(A593)&gt;=10, HOUR(A593)&lt;15), "Afternoon",
    AND(HOUR(E593)&gt;=15, HOUR(E593)&lt;19), "Evening",
    AND(HOUR(E593)&gt;=19, HOUR(E593)&lt;=23), "Night"
)</f>
        <v>Evening</v>
      </c>
    </row>
    <row r="594" spans="1:14" x14ac:dyDescent="0.25">
      <c r="A594" s="3">
        <v>42574.845138888886</v>
      </c>
      <c r="B594" s="2">
        <f t="shared" si="56"/>
        <v>42574</v>
      </c>
      <c r="C594" t="str">
        <f t="shared" si="57"/>
        <v>July</v>
      </c>
      <c r="D594" t="str">
        <f t="shared" si="58"/>
        <v>Saturday</v>
      </c>
      <c r="E594" t="str">
        <f t="shared" si="54"/>
        <v>08:17:00 PM</v>
      </c>
      <c r="F594" s="3">
        <v>42574.856249999997</v>
      </c>
      <c r="G594" s="4">
        <f t="shared" si="59"/>
        <v>0.85624999999708962</v>
      </c>
      <c r="H594" t="str">
        <f t="shared" si="55"/>
        <v>16 min</v>
      </c>
      <c r="I594" t="s">
        <v>2</v>
      </c>
      <c r="J594" t="s">
        <v>55</v>
      </c>
      <c r="K594" t="s">
        <v>75</v>
      </c>
      <c r="L594">
        <v>10.4</v>
      </c>
      <c r="M594" t="s">
        <v>10</v>
      </c>
      <c r="N594" t="str" cm="1">
        <f t="array" ref="N594">_xlfn.IFS(
    AND(HOUR(A594)&gt;=0, HOUR(A594)&lt;10), "Morning",
    AND(HOUR(A594)&gt;=10, HOUR(A594)&lt;15), "Afternoon",
    AND(HOUR(E594)&gt;=15, HOUR(E594)&lt;19), "Evening",
    AND(HOUR(E594)&gt;=19, HOUR(E594)&lt;=23), "Night"
)</f>
        <v>Night</v>
      </c>
    </row>
    <row r="595" spans="1:14" x14ac:dyDescent="0.25">
      <c r="A595" s="3">
        <v>42574.970833333333</v>
      </c>
      <c r="B595" s="2">
        <f t="shared" si="56"/>
        <v>42574</v>
      </c>
      <c r="C595" t="str">
        <f t="shared" si="57"/>
        <v>July</v>
      </c>
      <c r="D595" t="str">
        <f t="shared" si="58"/>
        <v>Saturday</v>
      </c>
      <c r="E595" t="str">
        <f t="shared" si="54"/>
        <v>11:18:00 PM</v>
      </c>
      <c r="F595" s="3">
        <v>42574.988194444442</v>
      </c>
      <c r="G595" s="4">
        <f t="shared" si="59"/>
        <v>0.9881944444423425</v>
      </c>
      <c r="H595" t="str">
        <f t="shared" si="55"/>
        <v>25 min</v>
      </c>
      <c r="I595" t="s">
        <v>2</v>
      </c>
      <c r="J595" t="s">
        <v>75</v>
      </c>
      <c r="K595" t="s">
        <v>55</v>
      </c>
      <c r="L595">
        <v>9.9</v>
      </c>
      <c r="M595" t="s">
        <v>10</v>
      </c>
      <c r="N595" t="str" cm="1">
        <f t="array" ref="N595">_xlfn.IFS(
    AND(HOUR(A595)&gt;=0, HOUR(A595)&lt;10), "Morning",
    AND(HOUR(A595)&gt;=10, HOUR(A595)&lt;15), "Afternoon",
    AND(HOUR(E595)&gt;=15, HOUR(E595)&lt;19), "Evening",
    AND(HOUR(E595)&gt;=19, HOUR(E595)&lt;=23), "Night"
)</f>
        <v>Night</v>
      </c>
    </row>
    <row r="596" spans="1:14" x14ac:dyDescent="0.25">
      <c r="A596" s="3">
        <v>42576.440972222219</v>
      </c>
      <c r="B596" s="2">
        <f t="shared" si="56"/>
        <v>42576</v>
      </c>
      <c r="C596" t="str">
        <f t="shared" si="57"/>
        <v>July</v>
      </c>
      <c r="D596" t="str">
        <f t="shared" si="58"/>
        <v>Monday</v>
      </c>
      <c r="E596" t="str">
        <f t="shared" si="54"/>
        <v>10:35:00 AM</v>
      </c>
      <c r="F596" s="3">
        <v>42576.445138888892</v>
      </c>
      <c r="G596" s="4">
        <f t="shared" si="59"/>
        <v>0.44513888889196096</v>
      </c>
      <c r="H596" t="str">
        <f t="shared" si="55"/>
        <v>6 min</v>
      </c>
      <c r="I596" t="s">
        <v>2</v>
      </c>
      <c r="J596" t="s">
        <v>77</v>
      </c>
      <c r="K596" t="s">
        <v>153</v>
      </c>
      <c r="L596">
        <v>1.5</v>
      </c>
      <c r="M596" t="s">
        <v>52</v>
      </c>
      <c r="N596" t="str" cm="1">
        <f t="array" ref="N596">_xlfn.IFS(
    AND(HOUR(A596)&gt;=0, HOUR(A596)&lt;10), "Morning",
    AND(HOUR(A596)&gt;=10, HOUR(A596)&lt;15), "Afternoon",
    AND(HOUR(E596)&gt;=15, HOUR(E596)&lt;19), "Evening",
    AND(HOUR(E596)&gt;=19, HOUR(E596)&lt;=23), "Night"
)</f>
        <v>Afternoon</v>
      </c>
    </row>
    <row r="597" spans="1:14" x14ac:dyDescent="0.25">
      <c r="A597" s="3">
        <v>42576.449305555558</v>
      </c>
      <c r="B597" s="2">
        <f t="shared" si="56"/>
        <v>42576</v>
      </c>
      <c r="C597" t="str">
        <f t="shared" si="57"/>
        <v>July</v>
      </c>
      <c r="D597" t="str">
        <f t="shared" si="58"/>
        <v>Monday</v>
      </c>
      <c r="E597" t="str">
        <f t="shared" si="54"/>
        <v>10:47:00 AM</v>
      </c>
      <c r="F597" s="3">
        <v>42576.456944444442</v>
      </c>
      <c r="G597" s="4">
        <f t="shared" si="59"/>
        <v>0.4569444444423425</v>
      </c>
      <c r="H597" t="str">
        <f t="shared" si="55"/>
        <v>11 min</v>
      </c>
      <c r="I597" t="s">
        <v>2</v>
      </c>
      <c r="J597" t="s">
        <v>55</v>
      </c>
      <c r="K597" t="s">
        <v>56</v>
      </c>
      <c r="L597">
        <v>4.9000000000000004</v>
      </c>
      <c r="M597" t="s">
        <v>52</v>
      </c>
      <c r="N597" t="str" cm="1">
        <f t="array" ref="N597">_xlfn.IFS(
    AND(HOUR(A597)&gt;=0, HOUR(A597)&lt;10), "Morning",
    AND(HOUR(A597)&gt;=10, HOUR(A597)&lt;15), "Afternoon",
    AND(HOUR(E597)&gt;=15, HOUR(E597)&lt;19), "Evening",
    AND(HOUR(E597)&gt;=19, HOUR(E597)&lt;=23), "Night"
)</f>
        <v>Afternoon</v>
      </c>
    </row>
    <row r="598" spans="1:14" x14ac:dyDescent="0.25">
      <c r="A598" s="3">
        <v>42576.461111111108</v>
      </c>
      <c r="B598" s="2">
        <f t="shared" si="56"/>
        <v>42576</v>
      </c>
      <c r="C598" t="str">
        <f t="shared" si="57"/>
        <v>July</v>
      </c>
      <c r="D598" t="str">
        <f t="shared" si="58"/>
        <v>Monday</v>
      </c>
      <c r="E598" t="str">
        <f t="shared" si="54"/>
        <v>11:04:00 AM</v>
      </c>
      <c r="F598" s="3">
        <v>42576.481249999997</v>
      </c>
      <c r="G598" s="4">
        <f t="shared" si="59"/>
        <v>0.48124999999708962</v>
      </c>
      <c r="H598" t="str">
        <f t="shared" si="55"/>
        <v>29 min</v>
      </c>
      <c r="I598" t="s">
        <v>2</v>
      </c>
      <c r="J598" t="s">
        <v>56</v>
      </c>
      <c r="K598" t="s">
        <v>55</v>
      </c>
      <c r="L598">
        <v>7.9</v>
      </c>
      <c r="M598" t="s">
        <v>52</v>
      </c>
      <c r="N598" t="str" cm="1">
        <f t="array" ref="N598">_xlfn.IFS(
    AND(HOUR(A598)&gt;=0, HOUR(A598)&lt;10), "Morning",
    AND(HOUR(A598)&gt;=10, HOUR(A598)&lt;15), "Afternoon",
    AND(HOUR(E598)&gt;=15, HOUR(E598)&lt;19), "Evening",
    AND(HOUR(E598)&gt;=19, HOUR(E598)&lt;=23), "Night"
)</f>
        <v>Afternoon</v>
      </c>
    </row>
    <row r="599" spans="1:14" x14ac:dyDescent="0.25">
      <c r="A599" s="3">
        <v>42576.484027777777</v>
      </c>
      <c r="B599" s="2">
        <f t="shared" si="56"/>
        <v>42576</v>
      </c>
      <c r="C599" t="str">
        <f t="shared" si="57"/>
        <v>July</v>
      </c>
      <c r="D599" t="str">
        <f t="shared" si="58"/>
        <v>Monday</v>
      </c>
      <c r="E599" t="str">
        <f t="shared" si="54"/>
        <v>11:37:00 AM</v>
      </c>
      <c r="F599" s="3">
        <v>42576.488888888889</v>
      </c>
      <c r="G599" s="4">
        <f t="shared" si="59"/>
        <v>0.48888888888905058</v>
      </c>
      <c r="H599" t="str">
        <f t="shared" si="55"/>
        <v>7 min</v>
      </c>
      <c r="I599" t="s">
        <v>2</v>
      </c>
      <c r="J599" t="s">
        <v>153</v>
      </c>
      <c r="K599" t="s">
        <v>77</v>
      </c>
      <c r="L599">
        <v>1.7</v>
      </c>
      <c r="M599" t="s">
        <v>52</v>
      </c>
      <c r="N599" t="str" cm="1">
        <f t="array" ref="N599">_xlfn.IFS(
    AND(HOUR(A599)&gt;=0, HOUR(A599)&lt;10), "Morning",
    AND(HOUR(A599)&gt;=10, HOUR(A599)&lt;15), "Afternoon",
    AND(HOUR(E599)&gt;=15, HOUR(E599)&lt;19), "Evening",
    AND(HOUR(E599)&gt;=19, HOUR(E599)&lt;=23), "Night"
)</f>
        <v>Afternoon</v>
      </c>
    </row>
    <row r="600" spans="1:14" x14ac:dyDescent="0.25">
      <c r="A600" s="3">
        <v>42577.654861111114</v>
      </c>
      <c r="B600" s="2">
        <f t="shared" si="56"/>
        <v>42577</v>
      </c>
      <c r="C600" t="str">
        <f t="shared" si="57"/>
        <v>July</v>
      </c>
      <c r="D600" t="str">
        <f t="shared" si="58"/>
        <v>Tuesday</v>
      </c>
      <c r="E600" t="str">
        <f t="shared" si="54"/>
        <v>03:43:00 PM</v>
      </c>
      <c r="F600" s="3">
        <v>42577.65902777778</v>
      </c>
      <c r="G600" s="4">
        <f t="shared" si="59"/>
        <v>0.65902777777955635</v>
      </c>
      <c r="H600" t="str">
        <f t="shared" si="55"/>
        <v>6 min</v>
      </c>
      <c r="I600" t="s">
        <v>2</v>
      </c>
      <c r="J600" t="s">
        <v>77</v>
      </c>
      <c r="K600" t="s">
        <v>83</v>
      </c>
      <c r="L600">
        <v>2.2000000000000002</v>
      </c>
      <c r="M600" t="s">
        <v>52</v>
      </c>
      <c r="N600" t="str" cm="1">
        <f t="array" ref="N600">_xlfn.IFS(
    AND(HOUR(A600)&gt;=0, HOUR(A600)&lt;10), "Morning",
    AND(HOUR(A600)&gt;=10, HOUR(A600)&lt;15), "Afternoon",
    AND(HOUR(E600)&gt;=15, HOUR(E600)&lt;19), "Evening",
    AND(HOUR(E600)&gt;=19, HOUR(E600)&lt;=23), "Night"
)</f>
        <v>Evening</v>
      </c>
    </row>
    <row r="601" spans="1:14" x14ac:dyDescent="0.25">
      <c r="A601" s="3">
        <v>42577.718055555553</v>
      </c>
      <c r="B601" s="2">
        <f t="shared" si="56"/>
        <v>42577</v>
      </c>
      <c r="C601" t="str">
        <f t="shared" si="57"/>
        <v>July</v>
      </c>
      <c r="D601" t="str">
        <f t="shared" si="58"/>
        <v>Tuesday</v>
      </c>
      <c r="E601" t="str">
        <f t="shared" si="54"/>
        <v>05:14:00 PM</v>
      </c>
      <c r="F601" s="3">
        <v>42577.724999999999</v>
      </c>
      <c r="G601" s="4">
        <f t="shared" si="59"/>
        <v>0.72499999999854481</v>
      </c>
      <c r="H601" t="str">
        <f t="shared" si="55"/>
        <v>10 min</v>
      </c>
      <c r="I601" t="s">
        <v>2</v>
      </c>
      <c r="J601" t="s">
        <v>83</v>
      </c>
      <c r="K601" t="s">
        <v>77</v>
      </c>
      <c r="L601">
        <v>2.1</v>
      </c>
      <c r="M601" t="s">
        <v>52</v>
      </c>
      <c r="N601" t="str" cm="1">
        <f t="array" ref="N601">_xlfn.IFS(
    AND(HOUR(A601)&gt;=0, HOUR(A601)&lt;10), "Morning",
    AND(HOUR(A601)&gt;=10, HOUR(A601)&lt;15), "Afternoon",
    AND(HOUR(E601)&gt;=15, HOUR(E601)&lt;19), "Evening",
    AND(HOUR(E601)&gt;=19, HOUR(E601)&lt;=23), "Night"
)</f>
        <v>Evening</v>
      </c>
    </row>
    <row r="602" spans="1:14" x14ac:dyDescent="0.25">
      <c r="A602" s="3">
        <v>42577.869444444441</v>
      </c>
      <c r="B602" s="2">
        <f t="shared" si="56"/>
        <v>42577</v>
      </c>
      <c r="C602" t="str">
        <f t="shared" si="57"/>
        <v>July</v>
      </c>
      <c r="D602" t="str">
        <f t="shared" si="58"/>
        <v>Tuesday</v>
      </c>
      <c r="E602" t="str">
        <f t="shared" si="54"/>
        <v>08:52:00 PM</v>
      </c>
      <c r="F602" s="3">
        <v>42577.875</v>
      </c>
      <c r="G602" s="4">
        <f t="shared" si="59"/>
        <v>0.875</v>
      </c>
      <c r="H602" t="str">
        <f t="shared" si="55"/>
        <v>8 min</v>
      </c>
      <c r="I602" t="s">
        <v>2</v>
      </c>
      <c r="J602" t="s">
        <v>55</v>
      </c>
      <c r="K602" t="s">
        <v>56</v>
      </c>
      <c r="L602">
        <v>2.5</v>
      </c>
      <c r="M602" t="s">
        <v>9</v>
      </c>
      <c r="N602" t="str" cm="1">
        <f t="array" ref="N602">_xlfn.IFS(
    AND(HOUR(A602)&gt;=0, HOUR(A602)&lt;10), "Morning",
    AND(HOUR(A602)&gt;=10, HOUR(A602)&lt;15), "Afternoon",
    AND(HOUR(E602)&gt;=15, HOUR(E602)&lt;19), "Evening",
    AND(HOUR(E602)&gt;=19, HOUR(E602)&lt;=23), "Night"
)</f>
        <v>Night</v>
      </c>
    </row>
    <row r="603" spans="1:14" x14ac:dyDescent="0.25">
      <c r="A603" s="3">
        <v>42577.938194444447</v>
      </c>
      <c r="B603" s="2">
        <f t="shared" si="56"/>
        <v>42577</v>
      </c>
      <c r="C603" t="str">
        <f t="shared" si="57"/>
        <v>July</v>
      </c>
      <c r="D603" t="str">
        <f t="shared" si="58"/>
        <v>Tuesday</v>
      </c>
      <c r="E603" t="str">
        <f t="shared" si="54"/>
        <v>10:31:00 PM</v>
      </c>
      <c r="F603" s="3">
        <v>42577.943749999999</v>
      </c>
      <c r="G603" s="4">
        <f t="shared" si="59"/>
        <v>0.94374999999854481</v>
      </c>
      <c r="H603" t="str">
        <f t="shared" si="55"/>
        <v>8 min</v>
      </c>
      <c r="I603" t="s">
        <v>2</v>
      </c>
      <c r="J603" t="s">
        <v>56</v>
      </c>
      <c r="K603" t="s">
        <v>55</v>
      </c>
      <c r="L603">
        <v>2.5</v>
      </c>
      <c r="M603" t="s">
        <v>9</v>
      </c>
      <c r="N603" t="str" cm="1">
        <f t="array" ref="N603">_xlfn.IFS(
    AND(HOUR(A603)&gt;=0, HOUR(A603)&lt;10), "Morning",
    AND(HOUR(A603)&gt;=10, HOUR(A603)&lt;15), "Afternoon",
    AND(HOUR(E603)&gt;=15, HOUR(E603)&lt;19), "Evening",
    AND(HOUR(E603)&gt;=19, HOUR(E603)&lt;=23), "Night"
)</f>
        <v>Night</v>
      </c>
    </row>
    <row r="604" spans="1:14" x14ac:dyDescent="0.25">
      <c r="A604" s="3">
        <v>42578.797222222223</v>
      </c>
      <c r="B604" s="2">
        <f t="shared" si="56"/>
        <v>42578</v>
      </c>
      <c r="C604" t="str">
        <f t="shared" si="57"/>
        <v>July</v>
      </c>
      <c r="D604" t="str">
        <f t="shared" si="58"/>
        <v>Wednesday</v>
      </c>
      <c r="E604" t="str">
        <f t="shared" si="54"/>
        <v>07:08:00 PM</v>
      </c>
      <c r="F604" s="3">
        <v>42578.805555555555</v>
      </c>
      <c r="G604" s="4">
        <f t="shared" si="59"/>
        <v>0.80555555555474712</v>
      </c>
      <c r="H604" t="str">
        <f t="shared" si="55"/>
        <v>12 min</v>
      </c>
      <c r="I604" t="s">
        <v>2</v>
      </c>
      <c r="J604" t="s">
        <v>55</v>
      </c>
      <c r="K604" t="s">
        <v>56</v>
      </c>
      <c r="L604">
        <v>2.8</v>
      </c>
      <c r="M604" t="s">
        <v>52</v>
      </c>
      <c r="N604" t="str" cm="1">
        <f t="array" ref="N604">_xlfn.IFS(
    AND(HOUR(A604)&gt;=0, HOUR(A604)&lt;10), "Morning",
    AND(HOUR(A604)&gt;=10, HOUR(A604)&lt;15), "Afternoon",
    AND(HOUR(E604)&gt;=15, HOUR(E604)&lt;19), "Evening",
    AND(HOUR(E604)&gt;=19, HOUR(E604)&lt;=23), "Night"
)</f>
        <v>Night</v>
      </c>
    </row>
    <row r="605" spans="1:14" x14ac:dyDescent="0.25">
      <c r="A605" s="3">
        <v>42578.898611111108</v>
      </c>
      <c r="B605" s="2">
        <f t="shared" si="56"/>
        <v>42578</v>
      </c>
      <c r="C605" t="str">
        <f t="shared" si="57"/>
        <v>July</v>
      </c>
      <c r="D605" t="str">
        <f t="shared" si="58"/>
        <v>Wednesday</v>
      </c>
      <c r="E605" t="str">
        <f t="shared" si="54"/>
        <v>09:34:00 PM</v>
      </c>
      <c r="F605" s="3">
        <v>42578.914583333331</v>
      </c>
      <c r="G605" s="4">
        <f t="shared" si="59"/>
        <v>0.91458333333139308</v>
      </c>
      <c r="H605" t="str">
        <f t="shared" si="55"/>
        <v>23 min</v>
      </c>
      <c r="I605" t="s">
        <v>2</v>
      </c>
      <c r="J605" t="s">
        <v>56</v>
      </c>
      <c r="K605" t="s">
        <v>79</v>
      </c>
      <c r="L605">
        <v>14.7</v>
      </c>
      <c r="M605" t="s">
        <v>52</v>
      </c>
      <c r="N605" t="str" cm="1">
        <f t="array" ref="N605">_xlfn.IFS(
    AND(HOUR(A605)&gt;=0, HOUR(A605)&lt;10), "Morning",
    AND(HOUR(A605)&gt;=10, HOUR(A605)&lt;15), "Afternoon",
    AND(HOUR(E605)&gt;=15, HOUR(E605)&lt;19), "Evening",
    AND(HOUR(E605)&gt;=19, HOUR(E605)&lt;=23), "Night"
)</f>
        <v>Night</v>
      </c>
    </row>
    <row r="606" spans="1:14" x14ac:dyDescent="0.25">
      <c r="A606" s="3">
        <v>42578.916666666664</v>
      </c>
      <c r="B606" s="2">
        <f t="shared" si="56"/>
        <v>42578</v>
      </c>
      <c r="C606" t="str">
        <f t="shared" si="57"/>
        <v>July</v>
      </c>
      <c r="D606" t="str">
        <f t="shared" si="58"/>
        <v>Wednesday</v>
      </c>
      <c r="E606" t="str">
        <f t="shared" si="54"/>
        <v>10:00:00 PM</v>
      </c>
      <c r="F606" s="3">
        <v>42578.93472222222</v>
      </c>
      <c r="G606" s="4">
        <f t="shared" si="59"/>
        <v>0.93472222222044365</v>
      </c>
      <c r="H606" t="str">
        <f t="shared" si="55"/>
        <v>26 min</v>
      </c>
      <c r="I606" t="s">
        <v>2</v>
      </c>
      <c r="J606" t="s">
        <v>79</v>
      </c>
      <c r="K606" t="s">
        <v>56</v>
      </c>
      <c r="L606">
        <v>14.6</v>
      </c>
      <c r="M606" t="s">
        <v>52</v>
      </c>
      <c r="N606" t="str" cm="1">
        <f t="array" ref="N606">_xlfn.IFS(
    AND(HOUR(A606)&gt;=0, HOUR(A606)&lt;10), "Morning",
    AND(HOUR(A606)&gt;=10, HOUR(A606)&lt;15), "Afternoon",
    AND(HOUR(E606)&gt;=15, HOUR(E606)&lt;19), "Evening",
    AND(HOUR(E606)&gt;=19, HOUR(E606)&lt;=23), "Night"
)</f>
        <v>Night</v>
      </c>
    </row>
    <row r="607" spans="1:14" x14ac:dyDescent="0.25">
      <c r="A607" s="3">
        <v>42579.00277777778</v>
      </c>
      <c r="B607" s="2">
        <f t="shared" si="56"/>
        <v>42579</v>
      </c>
      <c r="C607" t="str">
        <f t="shared" si="57"/>
        <v>July</v>
      </c>
      <c r="D607" t="str">
        <f t="shared" si="58"/>
        <v>Thursday</v>
      </c>
      <c r="E607" t="str">
        <f t="shared" si="54"/>
        <v>12:04:00 AM</v>
      </c>
      <c r="F607" s="3">
        <v>42579.006249999999</v>
      </c>
      <c r="G607" s="4">
        <f t="shared" si="59"/>
        <v>6.2499999985448085E-3</v>
      </c>
      <c r="H607" t="str">
        <f t="shared" si="55"/>
        <v>5 min</v>
      </c>
      <c r="I607" t="s">
        <v>2</v>
      </c>
      <c r="J607" t="s">
        <v>56</v>
      </c>
      <c r="K607" t="s">
        <v>55</v>
      </c>
      <c r="L607">
        <v>2.2999999999999998</v>
      </c>
      <c r="M607" t="s">
        <v>52</v>
      </c>
      <c r="N607" t="str" cm="1">
        <f t="array" ref="N607">_xlfn.IFS(
    AND(HOUR(A607)&gt;=0, HOUR(A607)&lt;10), "Morning",
    AND(HOUR(A607)&gt;=10, HOUR(A607)&lt;15), "Afternoon",
    AND(HOUR(E607)&gt;=15, HOUR(E607)&lt;19), "Evening",
    AND(HOUR(E607)&gt;=19, HOUR(E607)&lt;=23), "Night"
)</f>
        <v>Morning</v>
      </c>
    </row>
    <row r="608" spans="1:14" x14ac:dyDescent="0.25">
      <c r="A608" s="3">
        <v>42580.65625</v>
      </c>
      <c r="B608" s="2">
        <f t="shared" si="56"/>
        <v>42580</v>
      </c>
      <c r="C608" t="str">
        <f t="shared" si="57"/>
        <v>July</v>
      </c>
      <c r="D608" t="str">
        <f t="shared" si="58"/>
        <v>Friday</v>
      </c>
      <c r="E608" t="str">
        <f t="shared" si="54"/>
        <v>03:45:00 PM</v>
      </c>
      <c r="F608" s="3">
        <v>42580.657638888886</v>
      </c>
      <c r="G608" s="4">
        <f t="shared" si="59"/>
        <v>0.65763888888614019</v>
      </c>
      <c r="H608" t="str">
        <f t="shared" si="55"/>
        <v>2 min</v>
      </c>
      <c r="I608" t="s">
        <v>2</v>
      </c>
      <c r="J608" t="s">
        <v>77</v>
      </c>
      <c r="K608" t="s">
        <v>83</v>
      </c>
      <c r="L608">
        <v>2.2000000000000002</v>
      </c>
      <c r="M608" t="s">
        <v>52</v>
      </c>
      <c r="N608" t="str" cm="1">
        <f t="array" ref="N608">_xlfn.IFS(
    AND(HOUR(A608)&gt;=0, HOUR(A608)&lt;10), "Morning",
    AND(HOUR(A608)&gt;=10, HOUR(A608)&lt;15), "Afternoon",
    AND(HOUR(E608)&gt;=15, HOUR(E608)&lt;19), "Evening",
    AND(HOUR(E608)&gt;=19, HOUR(E608)&lt;=23), "Night"
)</f>
        <v>Evening</v>
      </c>
    </row>
    <row r="609" spans="1:14" x14ac:dyDescent="0.25">
      <c r="A609" s="3">
        <v>42580.727083333331</v>
      </c>
      <c r="B609" s="2">
        <f t="shared" si="56"/>
        <v>42580</v>
      </c>
      <c r="C609" t="str">
        <f t="shared" si="57"/>
        <v>July</v>
      </c>
      <c r="D609" t="str">
        <f t="shared" si="58"/>
        <v>Friday</v>
      </c>
      <c r="E609" t="str">
        <f t="shared" si="54"/>
        <v>05:27:00 PM</v>
      </c>
      <c r="F609" s="3">
        <v>42580.739583333336</v>
      </c>
      <c r="G609" s="4">
        <f t="shared" si="59"/>
        <v>0.73958333333575865</v>
      </c>
      <c r="H609" t="str">
        <f t="shared" si="55"/>
        <v>18 min</v>
      </c>
      <c r="I609" t="s">
        <v>2</v>
      </c>
      <c r="J609" t="s">
        <v>83</v>
      </c>
      <c r="K609" t="s">
        <v>77</v>
      </c>
      <c r="L609">
        <v>2.2000000000000002</v>
      </c>
      <c r="M609" t="s">
        <v>9</v>
      </c>
      <c r="N609" t="str" cm="1">
        <f t="array" ref="N609">_xlfn.IFS(
    AND(HOUR(A609)&gt;=0, HOUR(A609)&lt;10), "Morning",
    AND(HOUR(A609)&gt;=10, HOUR(A609)&lt;15), "Afternoon",
    AND(HOUR(E609)&gt;=15, HOUR(E609)&lt;19), "Evening",
    AND(HOUR(E609)&gt;=19, HOUR(E609)&lt;=23), "Night"
)</f>
        <v>Evening</v>
      </c>
    </row>
    <row r="610" spans="1:14" x14ac:dyDescent="0.25">
      <c r="A610" s="3">
        <v>42581.709722222222</v>
      </c>
      <c r="B610" s="2">
        <f t="shared" si="56"/>
        <v>42581</v>
      </c>
      <c r="C610" t="str">
        <f t="shared" si="57"/>
        <v>July</v>
      </c>
      <c r="D610" t="str">
        <f t="shared" si="58"/>
        <v>Saturday</v>
      </c>
      <c r="E610" t="str">
        <f t="shared" si="54"/>
        <v>05:02:00 PM</v>
      </c>
      <c r="F610" s="3">
        <v>42581.727083333331</v>
      </c>
      <c r="G610" s="4">
        <f t="shared" si="59"/>
        <v>0.72708333333139308</v>
      </c>
      <c r="H610" t="str">
        <f t="shared" si="55"/>
        <v>25 min</v>
      </c>
      <c r="I610" t="s">
        <v>2</v>
      </c>
      <c r="J610" t="s">
        <v>55</v>
      </c>
      <c r="K610" t="s">
        <v>75</v>
      </c>
      <c r="L610">
        <v>14</v>
      </c>
      <c r="M610" t="s">
        <v>52</v>
      </c>
      <c r="N610" t="str" cm="1">
        <f t="array" ref="N610">_xlfn.IFS(
    AND(HOUR(A610)&gt;=0, HOUR(A610)&lt;10), "Morning",
    AND(HOUR(A610)&gt;=10, HOUR(A610)&lt;15), "Afternoon",
    AND(HOUR(E610)&gt;=15, HOUR(E610)&lt;19), "Evening",
    AND(HOUR(E610)&gt;=19, HOUR(E610)&lt;=23), "Night"
)</f>
        <v>Evening</v>
      </c>
    </row>
    <row r="611" spans="1:14" x14ac:dyDescent="0.25">
      <c r="A611" s="3">
        <v>42581.886111111111</v>
      </c>
      <c r="B611" s="2">
        <f t="shared" si="56"/>
        <v>42581</v>
      </c>
      <c r="C611" t="str">
        <f t="shared" si="57"/>
        <v>July</v>
      </c>
      <c r="D611" t="str">
        <f t="shared" si="58"/>
        <v>Saturday</v>
      </c>
      <c r="E611" t="str">
        <f t="shared" si="54"/>
        <v>09:16:00 PM</v>
      </c>
      <c r="F611" s="3">
        <v>42581.90347222222</v>
      </c>
      <c r="G611" s="4">
        <f t="shared" si="59"/>
        <v>0.90347222222044365</v>
      </c>
      <c r="H611" t="str">
        <f t="shared" si="55"/>
        <v>25 min</v>
      </c>
      <c r="I611" t="s">
        <v>2</v>
      </c>
      <c r="J611" t="s">
        <v>75</v>
      </c>
      <c r="K611" t="s">
        <v>55</v>
      </c>
      <c r="L611">
        <v>13.3</v>
      </c>
      <c r="M611" t="s">
        <v>52</v>
      </c>
      <c r="N611" t="str" cm="1">
        <f t="array" ref="N611">_xlfn.IFS(
    AND(HOUR(A611)&gt;=0, HOUR(A611)&lt;10), "Morning",
    AND(HOUR(A611)&gt;=10, HOUR(A611)&lt;15), "Afternoon",
    AND(HOUR(E611)&gt;=15, HOUR(E611)&lt;19), "Evening",
    AND(HOUR(E611)&gt;=19, HOUR(E611)&lt;=23), "Night"
)</f>
        <v>Night</v>
      </c>
    </row>
    <row r="612" spans="1:14" x14ac:dyDescent="0.25">
      <c r="A612" s="3">
        <v>42582.729166666664</v>
      </c>
      <c r="B612" s="2">
        <f t="shared" si="56"/>
        <v>42582</v>
      </c>
      <c r="C612" t="str">
        <f t="shared" si="57"/>
        <v>July</v>
      </c>
      <c r="D612" t="str">
        <f t="shared" si="58"/>
        <v>Sunday</v>
      </c>
      <c r="E612" t="str">
        <f t="shared" si="54"/>
        <v>05:30:00 PM</v>
      </c>
      <c r="F612" s="3">
        <v>42582.734027777777</v>
      </c>
      <c r="G612" s="4">
        <f t="shared" si="59"/>
        <v>0.73402777777664596</v>
      </c>
      <c r="H612" t="str">
        <f t="shared" si="55"/>
        <v>7 min</v>
      </c>
      <c r="I612" t="s">
        <v>2</v>
      </c>
      <c r="J612" t="s">
        <v>83</v>
      </c>
      <c r="K612" t="s">
        <v>77</v>
      </c>
      <c r="L612">
        <v>1.8</v>
      </c>
      <c r="M612" t="s">
        <v>52</v>
      </c>
      <c r="N612" t="str" cm="1">
        <f t="array" ref="N612">_xlfn.IFS(
    AND(HOUR(A612)&gt;=0, HOUR(A612)&lt;10), "Morning",
    AND(HOUR(A612)&gt;=10, HOUR(A612)&lt;15), "Afternoon",
    AND(HOUR(E612)&gt;=15, HOUR(E612)&lt;19), "Evening",
    AND(HOUR(E612)&gt;=19, HOUR(E612)&lt;=23), "Night"
)</f>
        <v>Evening</v>
      </c>
    </row>
    <row r="613" spans="1:14" x14ac:dyDescent="0.25">
      <c r="A613" s="3">
        <v>42583.532638888886</v>
      </c>
      <c r="B613" s="2">
        <f t="shared" si="56"/>
        <v>42583</v>
      </c>
      <c r="C613" t="str">
        <f t="shared" si="57"/>
        <v>August</v>
      </c>
      <c r="D613" t="str">
        <f t="shared" si="58"/>
        <v>Monday</v>
      </c>
      <c r="E613" t="str">
        <f t="shared" si="54"/>
        <v>12:47:00 PM</v>
      </c>
      <c r="F613" s="3">
        <v>42583.544444444444</v>
      </c>
      <c r="G613" s="4">
        <f t="shared" si="59"/>
        <v>0.54444444444379769</v>
      </c>
      <c r="H613" t="str">
        <f t="shared" si="55"/>
        <v>17 min</v>
      </c>
      <c r="I613" t="s">
        <v>2</v>
      </c>
      <c r="J613" t="s">
        <v>77</v>
      </c>
      <c r="K613" t="s">
        <v>214</v>
      </c>
      <c r="L613">
        <v>6.2</v>
      </c>
      <c r="M613" t="s">
        <v>52</v>
      </c>
      <c r="N613" t="str" cm="1">
        <f t="array" ref="N613">_xlfn.IFS(
    AND(HOUR(A613)&gt;=0, HOUR(A613)&lt;10), "Morning",
    AND(HOUR(A613)&gt;=10, HOUR(A613)&lt;15), "Afternoon",
    AND(HOUR(E613)&gt;=15, HOUR(E613)&lt;19), "Evening",
    AND(HOUR(E613)&gt;=19, HOUR(E613)&lt;=23), "Night"
)</f>
        <v>Afternoon</v>
      </c>
    </row>
    <row r="614" spans="1:14" x14ac:dyDescent="0.25">
      <c r="A614" s="3">
        <v>42583.547222222223</v>
      </c>
      <c r="B614" s="2">
        <f t="shared" si="56"/>
        <v>42583</v>
      </c>
      <c r="C614" t="str">
        <f t="shared" si="57"/>
        <v>August</v>
      </c>
      <c r="D614" t="str">
        <f t="shared" si="58"/>
        <v>Monday</v>
      </c>
      <c r="E614" t="str">
        <f t="shared" si="54"/>
        <v>01:08:00 PM</v>
      </c>
      <c r="F614" s="3">
        <v>42583.554861111108</v>
      </c>
      <c r="G614" s="4">
        <f t="shared" si="59"/>
        <v>0.55486111110803904</v>
      </c>
      <c r="H614" t="str">
        <f t="shared" si="55"/>
        <v>11 min</v>
      </c>
      <c r="I614" t="s">
        <v>2</v>
      </c>
      <c r="J614" t="s">
        <v>214</v>
      </c>
      <c r="K614" t="s">
        <v>213</v>
      </c>
      <c r="L614">
        <v>1.3</v>
      </c>
      <c r="M614" t="s">
        <v>52</v>
      </c>
      <c r="N614" t="str" cm="1">
        <f t="array" ref="N614">_xlfn.IFS(
    AND(HOUR(A614)&gt;=0, HOUR(A614)&lt;10), "Morning",
    AND(HOUR(A614)&gt;=10, HOUR(A614)&lt;15), "Afternoon",
    AND(HOUR(E614)&gt;=15, HOUR(E614)&lt;19), "Evening",
    AND(HOUR(E614)&gt;=19, HOUR(E614)&lt;=23), "Night"
)</f>
        <v>Afternoon</v>
      </c>
    </row>
    <row r="615" spans="1:14" x14ac:dyDescent="0.25">
      <c r="A615" s="3">
        <v>42583.561111111114</v>
      </c>
      <c r="B615" s="2">
        <f t="shared" si="56"/>
        <v>42583</v>
      </c>
      <c r="C615" t="str">
        <f t="shared" si="57"/>
        <v>August</v>
      </c>
      <c r="D615" t="str">
        <f t="shared" si="58"/>
        <v>Monday</v>
      </c>
      <c r="E615" t="str">
        <f t="shared" si="54"/>
        <v>01:28:00 PM</v>
      </c>
      <c r="F615" s="3">
        <v>42583.573611111111</v>
      </c>
      <c r="G615" s="4">
        <f t="shared" si="59"/>
        <v>0.57361111111094942</v>
      </c>
      <c r="H615" t="str">
        <f t="shared" si="55"/>
        <v>18 min</v>
      </c>
      <c r="I615" t="s">
        <v>2</v>
      </c>
      <c r="J615" t="s">
        <v>213</v>
      </c>
      <c r="K615" t="s">
        <v>83</v>
      </c>
      <c r="L615">
        <v>1.9</v>
      </c>
      <c r="M615" t="s">
        <v>52</v>
      </c>
      <c r="N615" t="str" cm="1">
        <f t="array" ref="N615">_xlfn.IFS(
    AND(HOUR(A615)&gt;=0, HOUR(A615)&lt;10), "Morning",
    AND(HOUR(A615)&gt;=10, HOUR(A615)&lt;15), "Afternoon",
    AND(HOUR(E615)&gt;=15, HOUR(E615)&lt;19), "Evening",
    AND(HOUR(E615)&gt;=19, HOUR(E615)&lt;=23), "Night"
)</f>
        <v>Afternoon</v>
      </c>
    </row>
    <row r="616" spans="1:14" x14ac:dyDescent="0.25">
      <c r="A616" s="3">
        <v>42583.577777777777</v>
      </c>
      <c r="B616" s="2">
        <f t="shared" si="56"/>
        <v>42583</v>
      </c>
      <c r="C616" t="str">
        <f t="shared" si="57"/>
        <v>August</v>
      </c>
      <c r="D616" t="str">
        <f t="shared" si="58"/>
        <v>Monday</v>
      </c>
      <c r="E616" t="str">
        <f t="shared" si="54"/>
        <v>01:52:00 PM</v>
      </c>
      <c r="F616" s="3">
        <v>42583.593055555553</v>
      </c>
      <c r="G616" s="4">
        <f t="shared" si="59"/>
        <v>0.59305555555329192</v>
      </c>
      <c r="H616" t="str">
        <f t="shared" si="55"/>
        <v>22 min</v>
      </c>
      <c r="I616" t="s">
        <v>2</v>
      </c>
      <c r="J616" t="s">
        <v>55</v>
      </c>
      <c r="K616" t="s">
        <v>87</v>
      </c>
      <c r="L616">
        <v>6.9</v>
      </c>
      <c r="M616" t="s">
        <v>52</v>
      </c>
      <c r="N616" t="str" cm="1">
        <f t="array" ref="N616">_xlfn.IFS(
    AND(HOUR(A616)&gt;=0, HOUR(A616)&lt;10), "Morning",
    AND(HOUR(A616)&gt;=10, HOUR(A616)&lt;15), "Afternoon",
    AND(HOUR(E616)&gt;=15, HOUR(E616)&lt;19), "Evening",
    AND(HOUR(E616)&gt;=19, HOUR(E616)&lt;=23), "Night"
)</f>
        <v>Afternoon</v>
      </c>
    </row>
    <row r="617" spans="1:14" x14ac:dyDescent="0.25">
      <c r="A617" s="3">
        <v>42583.652777777781</v>
      </c>
      <c r="B617" s="2">
        <f t="shared" si="56"/>
        <v>42583</v>
      </c>
      <c r="C617" t="str">
        <f t="shared" si="57"/>
        <v>August</v>
      </c>
      <c r="D617" t="str">
        <f t="shared" si="58"/>
        <v>Monday</v>
      </c>
      <c r="E617" t="str">
        <f t="shared" si="54"/>
        <v>03:40:00 PM</v>
      </c>
      <c r="F617" s="3">
        <v>42583.657638888886</v>
      </c>
      <c r="G617" s="4">
        <f t="shared" si="59"/>
        <v>0.65763888888614019</v>
      </c>
      <c r="H617" t="str">
        <f t="shared" si="55"/>
        <v>7 min</v>
      </c>
      <c r="I617" t="s">
        <v>2</v>
      </c>
      <c r="J617" t="s">
        <v>87</v>
      </c>
      <c r="K617" t="s">
        <v>55</v>
      </c>
      <c r="L617">
        <v>4.5999999999999996</v>
      </c>
      <c r="M617" t="s">
        <v>52</v>
      </c>
      <c r="N617" t="str" cm="1">
        <f t="array" ref="N617">_xlfn.IFS(
    AND(HOUR(A617)&gt;=0, HOUR(A617)&lt;10), "Morning",
    AND(HOUR(A617)&gt;=10, HOUR(A617)&lt;15), "Afternoon",
    AND(HOUR(E617)&gt;=15, HOUR(E617)&lt;19), "Evening",
    AND(HOUR(E617)&gt;=19, HOUR(E617)&lt;=23), "Night"
)</f>
        <v>Evening</v>
      </c>
    </row>
    <row r="618" spans="1:14" x14ac:dyDescent="0.25">
      <c r="A618" s="3">
        <v>42583.679166666669</v>
      </c>
      <c r="B618" s="2">
        <f t="shared" si="56"/>
        <v>42583</v>
      </c>
      <c r="C618" t="str">
        <f t="shared" si="57"/>
        <v>August</v>
      </c>
      <c r="D618" t="str">
        <f t="shared" si="58"/>
        <v>Monday</v>
      </c>
      <c r="E618" t="str">
        <f t="shared" si="54"/>
        <v>04:18:00 PM</v>
      </c>
      <c r="F618" s="3">
        <v>42583.684027777781</v>
      </c>
      <c r="G618" s="4">
        <f t="shared" si="59"/>
        <v>0.68402777778101154</v>
      </c>
      <c r="H618" t="str">
        <f t="shared" si="55"/>
        <v>7 min</v>
      </c>
      <c r="I618" t="s">
        <v>2</v>
      </c>
      <c r="J618" t="s">
        <v>77</v>
      </c>
      <c r="K618" t="s">
        <v>92</v>
      </c>
      <c r="L618">
        <v>2.8</v>
      </c>
      <c r="M618" t="s">
        <v>52</v>
      </c>
      <c r="N618" t="str" cm="1">
        <f t="array" ref="N618">_xlfn.IFS(
    AND(HOUR(A618)&gt;=0, HOUR(A618)&lt;10), "Morning",
    AND(HOUR(A618)&gt;=10, HOUR(A618)&lt;15), "Afternoon",
    AND(HOUR(E618)&gt;=15, HOUR(E618)&lt;19), "Evening",
    AND(HOUR(E618)&gt;=19, HOUR(E618)&lt;=23), "Night"
)</f>
        <v>Evening</v>
      </c>
    </row>
    <row r="619" spans="1:14" x14ac:dyDescent="0.25">
      <c r="A619" s="3">
        <v>42583.686805555553</v>
      </c>
      <c r="B619" s="2">
        <f t="shared" si="56"/>
        <v>42583</v>
      </c>
      <c r="C619" t="str">
        <f t="shared" si="57"/>
        <v>August</v>
      </c>
      <c r="D619" t="str">
        <f t="shared" si="58"/>
        <v>Monday</v>
      </c>
      <c r="E619" t="str">
        <f t="shared" si="54"/>
        <v>04:29:00 PM</v>
      </c>
      <c r="F619" s="3">
        <v>42583.707638888889</v>
      </c>
      <c r="G619" s="4">
        <f t="shared" si="59"/>
        <v>0.70763888888905058</v>
      </c>
      <c r="H619" t="str">
        <f t="shared" si="55"/>
        <v>30 min</v>
      </c>
      <c r="I619" t="s">
        <v>2</v>
      </c>
      <c r="J619" t="s">
        <v>55</v>
      </c>
      <c r="K619" t="s">
        <v>56</v>
      </c>
      <c r="L619">
        <v>9.1</v>
      </c>
      <c r="M619" t="s">
        <v>52</v>
      </c>
      <c r="N619" t="str" cm="1">
        <f t="array" ref="N619">_xlfn.IFS(
    AND(HOUR(A619)&gt;=0, HOUR(A619)&lt;10), "Morning",
    AND(HOUR(A619)&gt;=10, HOUR(A619)&lt;15), "Afternoon",
    AND(HOUR(E619)&gt;=15, HOUR(E619)&lt;19), "Evening",
    AND(HOUR(E619)&gt;=19, HOUR(E619)&lt;=23), "Night"
)</f>
        <v>Evening</v>
      </c>
    </row>
    <row r="620" spans="1:14" x14ac:dyDescent="0.25">
      <c r="A620" s="3">
        <v>42583.724305555559</v>
      </c>
      <c r="B620" s="2">
        <f t="shared" si="56"/>
        <v>42583</v>
      </c>
      <c r="C620" t="str">
        <f t="shared" si="57"/>
        <v>August</v>
      </c>
      <c r="D620" t="str">
        <f t="shared" si="58"/>
        <v>Monday</v>
      </c>
      <c r="E620" t="str">
        <f t="shared" si="54"/>
        <v>05:23:00 PM</v>
      </c>
      <c r="F620" s="3">
        <v>42583.746527777781</v>
      </c>
      <c r="G620" s="4">
        <f t="shared" si="59"/>
        <v>0.74652777778101154</v>
      </c>
      <c r="H620" t="str">
        <f t="shared" si="55"/>
        <v>32 min</v>
      </c>
      <c r="I620" t="s">
        <v>2</v>
      </c>
      <c r="J620" t="s">
        <v>56</v>
      </c>
      <c r="K620" t="s">
        <v>55</v>
      </c>
      <c r="L620">
        <v>8.1</v>
      </c>
      <c r="M620" t="s">
        <v>52</v>
      </c>
      <c r="N620" t="str" cm="1">
        <f t="array" ref="N620">_xlfn.IFS(
    AND(HOUR(A620)&gt;=0, HOUR(A620)&lt;10), "Morning",
    AND(HOUR(A620)&gt;=10, HOUR(A620)&lt;15), "Afternoon",
    AND(HOUR(E620)&gt;=15, HOUR(E620)&lt;19), "Evening",
    AND(HOUR(E620)&gt;=19, HOUR(E620)&lt;=23), "Night"
)</f>
        <v>Evening</v>
      </c>
    </row>
    <row r="621" spans="1:14" x14ac:dyDescent="0.25">
      <c r="A621" s="3">
        <v>42584.34097222222</v>
      </c>
      <c r="B621" s="2">
        <f t="shared" si="56"/>
        <v>42584</v>
      </c>
      <c r="C621" t="str">
        <f t="shared" si="57"/>
        <v>August</v>
      </c>
      <c r="D621" t="str">
        <f t="shared" si="58"/>
        <v>Tuesday</v>
      </c>
      <c r="E621" t="str">
        <f t="shared" si="54"/>
        <v>08:11:00 AM</v>
      </c>
      <c r="F621" s="3">
        <v>42584.355555555558</v>
      </c>
      <c r="G621" s="4">
        <f t="shared" si="59"/>
        <v>0.3555555555576575</v>
      </c>
      <c r="H621" t="str">
        <f t="shared" si="55"/>
        <v>21 min</v>
      </c>
      <c r="I621" t="s">
        <v>2</v>
      </c>
      <c r="J621" t="s">
        <v>55</v>
      </c>
      <c r="K621" t="s">
        <v>56</v>
      </c>
      <c r="L621">
        <v>8.4</v>
      </c>
      <c r="M621" t="s">
        <v>10</v>
      </c>
      <c r="N621" t="str" cm="1">
        <f t="array" ref="N621">_xlfn.IFS(
    AND(HOUR(A621)&gt;=0, HOUR(A621)&lt;10), "Morning",
    AND(HOUR(A621)&gt;=10, HOUR(A621)&lt;15), "Afternoon",
    AND(HOUR(E621)&gt;=15, HOUR(E621)&lt;19), "Evening",
    AND(HOUR(E621)&gt;=19, HOUR(E621)&lt;=23), "Night"
)</f>
        <v>Morning</v>
      </c>
    </row>
    <row r="622" spans="1:14" x14ac:dyDescent="0.25">
      <c r="A622" s="3">
        <v>42584.493750000001</v>
      </c>
      <c r="B622" s="2">
        <f t="shared" si="56"/>
        <v>42584</v>
      </c>
      <c r="C622" t="str">
        <f t="shared" si="57"/>
        <v>August</v>
      </c>
      <c r="D622" t="str">
        <f t="shared" si="58"/>
        <v>Tuesday</v>
      </c>
      <c r="E622" t="str">
        <f t="shared" si="54"/>
        <v>11:51:00 AM</v>
      </c>
      <c r="F622" s="3">
        <v>42584.510416666664</v>
      </c>
      <c r="G622" s="4">
        <f t="shared" si="59"/>
        <v>0.51041666666424135</v>
      </c>
      <c r="H622" t="str">
        <f t="shared" si="55"/>
        <v>24 min</v>
      </c>
      <c r="I622" t="s">
        <v>2</v>
      </c>
      <c r="J622" t="s">
        <v>215</v>
      </c>
      <c r="K622" t="s">
        <v>216</v>
      </c>
      <c r="L622">
        <v>4.9000000000000004</v>
      </c>
      <c r="M622" t="s">
        <v>52</v>
      </c>
      <c r="N622" t="str" cm="1">
        <f t="array" ref="N622">_xlfn.IFS(
    AND(HOUR(A622)&gt;=0, HOUR(A622)&lt;10), "Morning",
    AND(HOUR(A622)&gt;=10, HOUR(A622)&lt;15), "Afternoon",
    AND(HOUR(E622)&gt;=15, HOUR(E622)&lt;19), "Evening",
    AND(HOUR(E622)&gt;=19, HOUR(E622)&lt;=23), "Night"
)</f>
        <v>Afternoon</v>
      </c>
    </row>
    <row r="623" spans="1:14" x14ac:dyDescent="0.25">
      <c r="A623" s="3">
        <v>42584.802083333336</v>
      </c>
      <c r="B623" s="2">
        <f t="shared" si="56"/>
        <v>42584</v>
      </c>
      <c r="C623" t="str">
        <f t="shared" si="57"/>
        <v>August</v>
      </c>
      <c r="D623" t="str">
        <f t="shared" si="58"/>
        <v>Tuesday</v>
      </c>
      <c r="E623" t="str">
        <f t="shared" si="54"/>
        <v>07:15:00 PM</v>
      </c>
      <c r="F623" s="3">
        <v>42584.807638888888</v>
      </c>
      <c r="G623" s="4">
        <f t="shared" si="59"/>
        <v>0.80763888888759539</v>
      </c>
      <c r="H623" t="str">
        <f t="shared" si="55"/>
        <v>8 min</v>
      </c>
      <c r="I623" t="s">
        <v>2</v>
      </c>
      <c r="J623" t="s">
        <v>217</v>
      </c>
      <c r="K623" t="s">
        <v>218</v>
      </c>
      <c r="L623">
        <v>1</v>
      </c>
      <c r="M623" t="s">
        <v>52</v>
      </c>
      <c r="N623" t="str" cm="1">
        <f t="array" ref="N623">_xlfn.IFS(
    AND(HOUR(A623)&gt;=0, HOUR(A623)&lt;10), "Morning",
    AND(HOUR(A623)&gt;=10, HOUR(A623)&lt;15), "Afternoon",
    AND(HOUR(E623)&gt;=15, HOUR(E623)&lt;19), "Evening",
    AND(HOUR(E623)&gt;=19, HOUR(E623)&lt;=23), "Night"
)</f>
        <v>Night</v>
      </c>
    </row>
    <row r="624" spans="1:14" x14ac:dyDescent="0.25">
      <c r="A624" s="3">
        <v>42584.890972222223</v>
      </c>
      <c r="B624" s="2">
        <f t="shared" si="56"/>
        <v>42584</v>
      </c>
      <c r="C624" t="str">
        <f t="shared" si="57"/>
        <v>August</v>
      </c>
      <c r="D624" t="str">
        <f t="shared" si="58"/>
        <v>Tuesday</v>
      </c>
      <c r="E624" t="str">
        <f t="shared" si="54"/>
        <v>09:23:00 PM</v>
      </c>
      <c r="F624" s="3">
        <v>42584.895138888889</v>
      </c>
      <c r="G624" s="4">
        <f t="shared" si="59"/>
        <v>0.89513888888905058</v>
      </c>
      <c r="H624" t="str">
        <f t="shared" si="55"/>
        <v>6 min</v>
      </c>
      <c r="I624" t="s">
        <v>2</v>
      </c>
      <c r="J624" t="s">
        <v>218</v>
      </c>
      <c r="K624" t="s">
        <v>217</v>
      </c>
      <c r="L624">
        <v>1</v>
      </c>
      <c r="M624" t="s">
        <v>52</v>
      </c>
      <c r="N624" t="str" cm="1">
        <f t="array" ref="N624">_xlfn.IFS(
    AND(HOUR(A624)&gt;=0, HOUR(A624)&lt;10), "Morning",
    AND(HOUR(A624)&gt;=10, HOUR(A624)&lt;15), "Afternoon",
    AND(HOUR(E624)&gt;=15, HOUR(E624)&lt;19), "Evening",
    AND(HOUR(E624)&gt;=19, HOUR(E624)&lt;=23), "Night"
)</f>
        <v>Night</v>
      </c>
    </row>
    <row r="625" spans="1:14" x14ac:dyDescent="0.25">
      <c r="A625" s="3">
        <v>42585.531944444447</v>
      </c>
      <c r="B625" s="2">
        <f t="shared" si="56"/>
        <v>42585</v>
      </c>
      <c r="C625" t="str">
        <f t="shared" si="57"/>
        <v>August</v>
      </c>
      <c r="D625" t="str">
        <f t="shared" si="58"/>
        <v>Wednesday</v>
      </c>
      <c r="E625" t="str">
        <f t="shared" si="54"/>
        <v>12:46:00 PM</v>
      </c>
      <c r="F625" s="3">
        <v>42585.541666666664</v>
      </c>
      <c r="G625" s="4">
        <f t="shared" si="59"/>
        <v>0.54166666666424135</v>
      </c>
      <c r="H625" t="str">
        <f t="shared" si="55"/>
        <v>14 min</v>
      </c>
      <c r="I625" t="s">
        <v>2</v>
      </c>
      <c r="J625" t="s">
        <v>219</v>
      </c>
      <c r="K625" t="s">
        <v>220</v>
      </c>
      <c r="L625">
        <v>2</v>
      </c>
      <c r="M625" t="s">
        <v>52</v>
      </c>
      <c r="N625" t="str" cm="1">
        <f t="array" ref="N625">_xlfn.IFS(
    AND(HOUR(A625)&gt;=0, HOUR(A625)&lt;10), "Morning",
    AND(HOUR(A625)&gt;=10, HOUR(A625)&lt;15), "Afternoon",
    AND(HOUR(E625)&gt;=15, HOUR(E625)&lt;19), "Evening",
    AND(HOUR(E625)&gt;=19, HOUR(E625)&lt;=23), "Night"
)</f>
        <v>Afternoon</v>
      </c>
    </row>
    <row r="626" spans="1:14" x14ac:dyDescent="0.25">
      <c r="A626" s="3">
        <v>42585.624305555553</v>
      </c>
      <c r="B626" s="2">
        <f t="shared" si="56"/>
        <v>42585</v>
      </c>
      <c r="C626" t="str">
        <f t="shared" si="57"/>
        <v>August</v>
      </c>
      <c r="D626" t="str">
        <f t="shared" si="58"/>
        <v>Wednesday</v>
      </c>
      <c r="E626" t="str">
        <f t="shared" si="54"/>
        <v>02:59:00 PM</v>
      </c>
      <c r="F626" s="3">
        <v>42585.627083333333</v>
      </c>
      <c r="G626" s="4">
        <f t="shared" si="59"/>
        <v>0.62708333333284827</v>
      </c>
      <c r="H626" t="str">
        <f t="shared" si="55"/>
        <v>4 min</v>
      </c>
      <c r="I626" t="s">
        <v>2</v>
      </c>
      <c r="J626" t="s">
        <v>218</v>
      </c>
      <c r="K626" t="s">
        <v>217</v>
      </c>
      <c r="L626">
        <v>1.1000000000000001</v>
      </c>
      <c r="M626" t="s">
        <v>52</v>
      </c>
      <c r="N626" t="str" cm="1">
        <f t="array" ref="N626">_xlfn.IFS(
    AND(HOUR(A626)&gt;=0, HOUR(A626)&lt;10), "Morning",
    AND(HOUR(A626)&gt;=10, HOUR(A626)&lt;15), "Afternoon",
    AND(HOUR(E626)&gt;=15, HOUR(E626)&lt;19), "Evening",
    AND(HOUR(E626)&gt;=19, HOUR(E626)&lt;=23), "Night"
)</f>
        <v>Afternoon</v>
      </c>
    </row>
    <row r="627" spans="1:14" x14ac:dyDescent="0.25">
      <c r="A627" s="3">
        <v>42585.666666666664</v>
      </c>
      <c r="B627" s="2">
        <f t="shared" si="56"/>
        <v>42585</v>
      </c>
      <c r="C627" t="str">
        <f t="shared" si="57"/>
        <v>August</v>
      </c>
      <c r="D627" t="str">
        <f t="shared" si="58"/>
        <v>Wednesday</v>
      </c>
      <c r="E627" t="str">
        <f t="shared" si="54"/>
        <v>04:00:00 PM</v>
      </c>
      <c r="F627" s="3">
        <v>42585.669444444444</v>
      </c>
      <c r="G627" s="4">
        <f t="shared" si="59"/>
        <v>0.66944444444379769</v>
      </c>
      <c r="H627" t="str">
        <f t="shared" si="55"/>
        <v>4 min</v>
      </c>
      <c r="I627" t="s">
        <v>2</v>
      </c>
      <c r="J627" t="s">
        <v>217</v>
      </c>
      <c r="K627" t="s">
        <v>70</v>
      </c>
      <c r="L627">
        <v>1.5</v>
      </c>
      <c r="M627" t="s">
        <v>52</v>
      </c>
      <c r="N627" t="str" cm="1">
        <f t="array" ref="N627">_xlfn.IFS(
    AND(HOUR(A627)&gt;=0, HOUR(A627)&lt;10), "Morning",
    AND(HOUR(A627)&gt;=10, HOUR(A627)&lt;15), "Afternoon",
    AND(HOUR(E627)&gt;=15, HOUR(E627)&lt;19), "Evening",
    AND(HOUR(E627)&gt;=19, HOUR(E627)&lt;=23), "Night"
)</f>
        <v>Evening</v>
      </c>
    </row>
    <row r="628" spans="1:14" x14ac:dyDescent="0.25">
      <c r="A628" s="3">
        <v>42587.724305555559</v>
      </c>
      <c r="B628" s="2">
        <f t="shared" si="56"/>
        <v>42587</v>
      </c>
      <c r="C628" t="str">
        <f t="shared" si="57"/>
        <v>August</v>
      </c>
      <c r="D628" t="str">
        <f t="shared" si="58"/>
        <v>Friday</v>
      </c>
      <c r="E628" t="str">
        <f t="shared" si="54"/>
        <v>05:23:00 PM</v>
      </c>
      <c r="F628" s="3">
        <v>42587.729166666664</v>
      </c>
      <c r="G628" s="4">
        <f t="shared" si="59"/>
        <v>0.72916666666424135</v>
      </c>
      <c r="H628" t="str">
        <f t="shared" si="55"/>
        <v>7 min</v>
      </c>
      <c r="I628" t="s">
        <v>2</v>
      </c>
      <c r="J628" t="s">
        <v>221</v>
      </c>
      <c r="K628" t="s">
        <v>217</v>
      </c>
      <c r="L628">
        <v>1.3</v>
      </c>
      <c r="M628" t="s">
        <v>52</v>
      </c>
      <c r="N628" t="str" cm="1">
        <f t="array" ref="N628">_xlfn.IFS(
    AND(HOUR(A628)&gt;=0, HOUR(A628)&lt;10), "Morning",
    AND(HOUR(A628)&gt;=10, HOUR(A628)&lt;15), "Afternoon",
    AND(HOUR(E628)&gt;=15, HOUR(E628)&lt;19), "Evening",
    AND(HOUR(E628)&gt;=19, HOUR(E628)&lt;=23), "Night"
)</f>
        <v>Evening</v>
      </c>
    </row>
    <row r="629" spans="1:14" x14ac:dyDescent="0.25">
      <c r="A629" s="3">
        <v>42587.761805555558</v>
      </c>
      <c r="B629" s="2">
        <f t="shared" si="56"/>
        <v>42587</v>
      </c>
      <c r="C629" t="str">
        <f t="shared" si="57"/>
        <v>August</v>
      </c>
      <c r="D629" t="str">
        <f t="shared" si="58"/>
        <v>Friday</v>
      </c>
      <c r="E629" t="str">
        <f t="shared" si="54"/>
        <v>06:17:00 PM</v>
      </c>
      <c r="F629" s="3">
        <v>42587.76458333333</v>
      </c>
      <c r="G629" s="4">
        <f t="shared" si="59"/>
        <v>0.76458333332993789</v>
      </c>
      <c r="H629" t="str">
        <f t="shared" si="55"/>
        <v>4 min</v>
      </c>
      <c r="I629" t="s">
        <v>2</v>
      </c>
      <c r="J629" t="s">
        <v>217</v>
      </c>
      <c r="K629" t="s">
        <v>222</v>
      </c>
      <c r="L629">
        <v>1.8</v>
      </c>
      <c r="M629" t="s">
        <v>52</v>
      </c>
      <c r="N629" t="str" cm="1">
        <f t="array" ref="N629">_xlfn.IFS(
    AND(HOUR(A629)&gt;=0, HOUR(A629)&lt;10), "Morning",
    AND(HOUR(A629)&gt;=10, HOUR(A629)&lt;15), "Afternoon",
    AND(HOUR(E629)&gt;=15, HOUR(E629)&lt;19), "Evening",
    AND(HOUR(E629)&gt;=19, HOUR(E629)&lt;=23), "Night"
)</f>
        <v>Evening</v>
      </c>
    </row>
    <row r="630" spans="1:14" x14ac:dyDescent="0.25">
      <c r="A630" s="3">
        <v>42587.803472222222</v>
      </c>
      <c r="B630" s="2">
        <f t="shared" si="56"/>
        <v>42587</v>
      </c>
      <c r="C630" t="str">
        <f t="shared" si="57"/>
        <v>August</v>
      </c>
      <c r="D630" t="str">
        <f t="shared" si="58"/>
        <v>Friday</v>
      </c>
      <c r="E630" t="str">
        <f t="shared" si="54"/>
        <v>07:17:00 PM</v>
      </c>
      <c r="F630" s="3">
        <v>42587.810416666667</v>
      </c>
      <c r="G630" s="4">
        <f t="shared" si="59"/>
        <v>0.81041666666715173</v>
      </c>
      <c r="H630" t="str">
        <f t="shared" si="55"/>
        <v>10 min</v>
      </c>
      <c r="I630" t="s">
        <v>2</v>
      </c>
      <c r="J630" t="s">
        <v>222</v>
      </c>
      <c r="K630" t="s">
        <v>217</v>
      </c>
      <c r="L630">
        <v>1.5</v>
      </c>
      <c r="M630" t="s">
        <v>52</v>
      </c>
      <c r="N630" t="str" cm="1">
        <f t="array" ref="N630">_xlfn.IFS(
    AND(HOUR(A630)&gt;=0, HOUR(A630)&lt;10), "Morning",
    AND(HOUR(A630)&gt;=10, HOUR(A630)&lt;15), "Afternoon",
    AND(HOUR(E630)&gt;=15, HOUR(E630)&lt;19), "Evening",
    AND(HOUR(E630)&gt;=19, HOUR(E630)&lt;=23), "Night"
)</f>
        <v>Night</v>
      </c>
    </row>
    <row r="631" spans="1:14" x14ac:dyDescent="0.25">
      <c r="A631" s="3">
        <v>42588.277777777781</v>
      </c>
      <c r="B631" s="2">
        <f t="shared" si="56"/>
        <v>42588</v>
      </c>
      <c r="C631" t="str">
        <f t="shared" si="57"/>
        <v>August</v>
      </c>
      <c r="D631" t="str">
        <f t="shared" si="58"/>
        <v>Saturday</v>
      </c>
      <c r="E631" t="str">
        <f t="shared" si="54"/>
        <v>06:40:00 AM</v>
      </c>
      <c r="F631" s="3">
        <v>42588.290277777778</v>
      </c>
      <c r="G631" s="4">
        <f t="shared" si="59"/>
        <v>0.29027777777810115</v>
      </c>
      <c r="H631" t="str">
        <f t="shared" si="55"/>
        <v>18 min</v>
      </c>
      <c r="I631" t="s">
        <v>2</v>
      </c>
      <c r="J631" t="s">
        <v>216</v>
      </c>
      <c r="K631" t="s">
        <v>215</v>
      </c>
      <c r="L631">
        <v>6.6</v>
      </c>
      <c r="M631" t="s">
        <v>52</v>
      </c>
      <c r="N631" t="str" cm="1">
        <f t="array" ref="N631">_xlfn.IFS(
    AND(HOUR(A631)&gt;=0, HOUR(A631)&lt;10), "Morning",
    AND(HOUR(A631)&gt;=10, HOUR(A631)&lt;15), "Afternoon",
    AND(HOUR(E631)&gt;=15, HOUR(E631)&lt;19), "Evening",
    AND(HOUR(E631)&gt;=19, HOUR(E631)&lt;=23), "Night"
)</f>
        <v>Morning</v>
      </c>
    </row>
    <row r="632" spans="1:14" x14ac:dyDescent="0.25">
      <c r="A632" s="3">
        <v>42588.396527777775</v>
      </c>
      <c r="B632" s="2">
        <f t="shared" si="56"/>
        <v>42588</v>
      </c>
      <c r="C632" t="str">
        <f t="shared" si="57"/>
        <v>August</v>
      </c>
      <c r="D632" t="str">
        <f t="shared" si="58"/>
        <v>Saturday</v>
      </c>
      <c r="E632" t="str">
        <f t="shared" si="54"/>
        <v>09:31:00 AM</v>
      </c>
      <c r="F632" s="3">
        <v>42588.411805555559</v>
      </c>
      <c r="G632" s="4">
        <f t="shared" si="59"/>
        <v>0.41180555555911269</v>
      </c>
      <c r="H632" t="str">
        <f t="shared" si="55"/>
        <v>22 min</v>
      </c>
      <c r="I632" t="s">
        <v>2</v>
      </c>
      <c r="J632" t="s">
        <v>56</v>
      </c>
      <c r="K632" t="s">
        <v>55</v>
      </c>
      <c r="L632">
        <v>8</v>
      </c>
      <c r="M632" t="s">
        <v>52</v>
      </c>
      <c r="N632" t="str" cm="1">
        <f t="array" ref="N632">_xlfn.IFS(
    AND(HOUR(A632)&gt;=0, HOUR(A632)&lt;10), "Morning",
    AND(HOUR(A632)&gt;=10, HOUR(A632)&lt;15), "Afternoon",
    AND(HOUR(E632)&gt;=15, HOUR(E632)&lt;19), "Evening",
    AND(HOUR(E632)&gt;=19, HOUR(E632)&lt;=23), "Night"
)</f>
        <v>Morning</v>
      </c>
    </row>
    <row r="633" spans="1:14" x14ac:dyDescent="0.25">
      <c r="A633" s="3">
        <v>42589.718055555553</v>
      </c>
      <c r="B633" s="2">
        <f t="shared" si="56"/>
        <v>42589</v>
      </c>
      <c r="C633" t="str">
        <f t="shared" si="57"/>
        <v>August</v>
      </c>
      <c r="D633" t="str">
        <f t="shared" si="58"/>
        <v>Sunday</v>
      </c>
      <c r="E633" t="str">
        <f t="shared" si="54"/>
        <v>05:14:00 PM</v>
      </c>
      <c r="F633" s="3">
        <v>42589.724305555559</v>
      </c>
      <c r="G633" s="4">
        <f t="shared" si="59"/>
        <v>0.72430555555911269</v>
      </c>
      <c r="H633" t="str">
        <f t="shared" si="55"/>
        <v>9 min</v>
      </c>
      <c r="I633" t="s">
        <v>2</v>
      </c>
      <c r="J633" t="s">
        <v>77</v>
      </c>
      <c r="K633" t="s">
        <v>92</v>
      </c>
      <c r="L633">
        <v>2.7</v>
      </c>
      <c r="M633" t="s">
        <v>52</v>
      </c>
      <c r="N633" t="str" cm="1">
        <f t="array" ref="N633">_xlfn.IFS(
    AND(HOUR(A633)&gt;=0, HOUR(A633)&lt;10), "Morning",
    AND(HOUR(A633)&gt;=10, HOUR(A633)&lt;15), "Afternoon",
    AND(HOUR(E633)&gt;=15, HOUR(E633)&lt;19), "Evening",
    AND(HOUR(E633)&gt;=19, HOUR(E633)&lt;=23), "Night"
)</f>
        <v>Evening</v>
      </c>
    </row>
    <row r="634" spans="1:14" x14ac:dyDescent="0.25">
      <c r="A634" s="3">
        <v>42589.727777777778</v>
      </c>
      <c r="B634" s="2">
        <f t="shared" si="56"/>
        <v>42589</v>
      </c>
      <c r="C634" t="str">
        <f t="shared" si="57"/>
        <v>August</v>
      </c>
      <c r="D634" t="str">
        <f t="shared" si="58"/>
        <v>Sunday</v>
      </c>
      <c r="E634" t="str">
        <f t="shared" si="54"/>
        <v>05:28:00 PM</v>
      </c>
      <c r="F634" s="3">
        <v>42589.738194444442</v>
      </c>
      <c r="G634" s="4">
        <f t="shared" si="59"/>
        <v>0.7381944444423425</v>
      </c>
      <c r="H634" t="str">
        <f t="shared" si="55"/>
        <v>15 min</v>
      </c>
      <c r="I634" t="s">
        <v>2</v>
      </c>
      <c r="J634" t="s">
        <v>92</v>
      </c>
      <c r="K634" t="s">
        <v>77</v>
      </c>
      <c r="L634">
        <v>2.7</v>
      </c>
      <c r="M634" t="s">
        <v>7</v>
      </c>
      <c r="N634" t="str" cm="1">
        <f t="array" ref="N634">_xlfn.IFS(
    AND(HOUR(A634)&gt;=0, HOUR(A634)&lt;10), "Morning",
    AND(HOUR(A634)&gt;=10, HOUR(A634)&lt;15), "Afternoon",
    AND(HOUR(E634)&gt;=15, HOUR(E634)&lt;19), "Evening",
    AND(HOUR(E634)&gt;=19, HOUR(E634)&lt;=23), "Night"
)</f>
        <v>Evening</v>
      </c>
    </row>
    <row r="635" spans="1:14" x14ac:dyDescent="0.25">
      <c r="A635" s="3">
        <v>42589.761805555558</v>
      </c>
      <c r="B635" s="2">
        <f t="shared" si="56"/>
        <v>42589</v>
      </c>
      <c r="C635" t="str">
        <f t="shared" si="57"/>
        <v>August</v>
      </c>
      <c r="D635" t="str">
        <f t="shared" si="58"/>
        <v>Sunday</v>
      </c>
      <c r="E635" t="str">
        <f t="shared" si="54"/>
        <v>06:17:00 PM</v>
      </c>
      <c r="F635" s="3">
        <v>42589.765972222223</v>
      </c>
      <c r="G635" s="4">
        <f t="shared" si="59"/>
        <v>0.76597222222335404</v>
      </c>
      <c r="H635" t="str">
        <f t="shared" si="55"/>
        <v>6 min</v>
      </c>
      <c r="I635" t="s">
        <v>2</v>
      </c>
      <c r="J635" t="s">
        <v>55</v>
      </c>
      <c r="K635" t="s">
        <v>56</v>
      </c>
      <c r="L635">
        <v>2.5</v>
      </c>
      <c r="M635" t="s">
        <v>52</v>
      </c>
      <c r="N635" t="str" cm="1">
        <f t="array" ref="N635">_xlfn.IFS(
    AND(HOUR(A635)&gt;=0, HOUR(A635)&lt;10), "Morning",
    AND(HOUR(A635)&gt;=10, HOUR(A635)&lt;15), "Afternoon",
    AND(HOUR(E635)&gt;=15, HOUR(E635)&lt;19), "Evening",
    AND(HOUR(E635)&gt;=19, HOUR(E635)&lt;=23), "Night"
)</f>
        <v>Evening</v>
      </c>
    </row>
    <row r="636" spans="1:14" x14ac:dyDescent="0.25">
      <c r="A636" s="3">
        <v>42589.84375</v>
      </c>
      <c r="B636" s="2">
        <f t="shared" si="56"/>
        <v>42589</v>
      </c>
      <c r="C636" t="str">
        <f t="shared" si="57"/>
        <v>August</v>
      </c>
      <c r="D636" t="str">
        <f t="shared" si="58"/>
        <v>Sunday</v>
      </c>
      <c r="E636" t="str">
        <f t="shared" si="54"/>
        <v>08:15:00 PM</v>
      </c>
      <c r="F636" s="3">
        <v>42589.849305555559</v>
      </c>
      <c r="G636" s="4">
        <f t="shared" si="59"/>
        <v>0.84930555555911269</v>
      </c>
      <c r="H636" t="str">
        <f t="shared" si="55"/>
        <v>8 min</v>
      </c>
      <c r="I636" t="s">
        <v>2</v>
      </c>
      <c r="J636" t="s">
        <v>56</v>
      </c>
      <c r="K636" t="s">
        <v>55</v>
      </c>
      <c r="L636">
        <v>2.5</v>
      </c>
      <c r="M636" t="s">
        <v>9</v>
      </c>
      <c r="N636" t="str" cm="1">
        <f t="array" ref="N636">_xlfn.IFS(
    AND(HOUR(A636)&gt;=0, HOUR(A636)&lt;10), "Morning",
    AND(HOUR(A636)&gt;=10, HOUR(A636)&lt;15), "Afternoon",
    AND(HOUR(E636)&gt;=15, HOUR(E636)&lt;19), "Evening",
    AND(HOUR(E636)&gt;=19, HOUR(E636)&lt;=23), "Night"
)</f>
        <v>Night</v>
      </c>
    </row>
    <row r="637" spans="1:14" x14ac:dyDescent="0.25">
      <c r="A637" s="3">
        <v>42590.678472222222</v>
      </c>
      <c r="B637" s="2">
        <f t="shared" si="56"/>
        <v>42590</v>
      </c>
      <c r="C637" t="str">
        <f t="shared" si="57"/>
        <v>August</v>
      </c>
      <c r="D637" t="str">
        <f t="shared" si="58"/>
        <v>Monday</v>
      </c>
      <c r="E637" t="str">
        <f t="shared" si="54"/>
        <v>04:17:00 PM</v>
      </c>
      <c r="F637" s="3">
        <v>42590.688194444447</v>
      </c>
      <c r="G637" s="4">
        <f t="shared" si="59"/>
        <v>0.68819444444670808</v>
      </c>
      <c r="H637" t="str">
        <f t="shared" si="55"/>
        <v>14 min</v>
      </c>
      <c r="I637" t="s">
        <v>2</v>
      </c>
      <c r="J637" t="s">
        <v>77</v>
      </c>
      <c r="K637" t="s">
        <v>76</v>
      </c>
      <c r="L637">
        <v>5.2</v>
      </c>
      <c r="M637" t="s">
        <v>52</v>
      </c>
      <c r="N637" t="str" cm="1">
        <f t="array" ref="N637">_xlfn.IFS(
    AND(HOUR(A637)&gt;=0, HOUR(A637)&lt;10), "Morning",
    AND(HOUR(A637)&gt;=10, HOUR(A637)&lt;15), "Afternoon",
    AND(HOUR(E637)&gt;=15, HOUR(E637)&lt;19), "Evening",
    AND(HOUR(E637)&gt;=19, HOUR(E637)&lt;=23), "Night"
)</f>
        <v>Evening</v>
      </c>
    </row>
    <row r="638" spans="1:14" x14ac:dyDescent="0.25">
      <c r="A638" s="3">
        <v>42590.692361111112</v>
      </c>
      <c r="B638" s="2">
        <f t="shared" si="56"/>
        <v>42590</v>
      </c>
      <c r="C638" t="str">
        <f t="shared" si="57"/>
        <v>August</v>
      </c>
      <c r="D638" t="str">
        <f t="shared" si="58"/>
        <v>Monday</v>
      </c>
      <c r="E638" t="str">
        <f t="shared" si="54"/>
        <v>04:37:00 PM</v>
      </c>
      <c r="F638" s="3">
        <v>42590.701388888891</v>
      </c>
      <c r="G638" s="4">
        <f t="shared" si="59"/>
        <v>0.70138888889050577</v>
      </c>
      <c r="H638" t="str">
        <f t="shared" si="55"/>
        <v>13 min</v>
      </c>
      <c r="I638" t="s">
        <v>2</v>
      </c>
      <c r="J638" t="s">
        <v>76</v>
      </c>
      <c r="K638" t="s">
        <v>92</v>
      </c>
      <c r="L638">
        <v>4</v>
      </c>
      <c r="M638" t="s">
        <v>52</v>
      </c>
      <c r="N638" t="str" cm="1">
        <f t="array" ref="N638">_xlfn.IFS(
    AND(HOUR(A638)&gt;=0, HOUR(A638)&lt;10), "Morning",
    AND(HOUR(A638)&gt;=10, HOUR(A638)&lt;15), "Afternoon",
    AND(HOUR(E638)&gt;=15, HOUR(E638)&lt;19), "Evening",
    AND(HOUR(E638)&gt;=19, HOUR(E638)&lt;=23), "Night"
)</f>
        <v>Evening</v>
      </c>
    </row>
    <row r="639" spans="1:14" x14ac:dyDescent="0.25">
      <c r="A639" s="3">
        <v>42590.709722222222</v>
      </c>
      <c r="B639" s="2">
        <f t="shared" si="56"/>
        <v>42590</v>
      </c>
      <c r="C639" t="str">
        <f t="shared" si="57"/>
        <v>August</v>
      </c>
      <c r="D639" t="str">
        <f t="shared" si="58"/>
        <v>Monday</v>
      </c>
      <c r="E639" t="str">
        <f t="shared" si="54"/>
        <v>05:02:00 PM</v>
      </c>
      <c r="F639" s="3">
        <v>42590.717361111114</v>
      </c>
      <c r="G639" s="4">
        <f t="shared" si="59"/>
        <v>0.71736111111385981</v>
      </c>
      <c r="H639" t="str">
        <f t="shared" si="55"/>
        <v>11 min</v>
      </c>
      <c r="I639" t="s">
        <v>2</v>
      </c>
      <c r="J639" t="s">
        <v>92</v>
      </c>
      <c r="K639" t="s">
        <v>77</v>
      </c>
      <c r="L639">
        <v>2.7</v>
      </c>
      <c r="M639" t="s">
        <v>7</v>
      </c>
      <c r="N639" t="str" cm="1">
        <f t="array" ref="N639">_xlfn.IFS(
    AND(HOUR(A639)&gt;=0, HOUR(A639)&lt;10), "Morning",
    AND(HOUR(A639)&gt;=10, HOUR(A639)&lt;15), "Afternoon",
    AND(HOUR(E639)&gt;=15, HOUR(E639)&lt;19), "Evening",
    AND(HOUR(E639)&gt;=19, HOUR(E639)&lt;=23), "Night"
)</f>
        <v>Evening</v>
      </c>
    </row>
    <row r="640" spans="1:14" x14ac:dyDescent="0.25">
      <c r="A640" s="3">
        <v>42590.909722222219</v>
      </c>
      <c r="B640" s="2">
        <f t="shared" si="56"/>
        <v>42590</v>
      </c>
      <c r="C640" t="str">
        <f t="shared" si="57"/>
        <v>August</v>
      </c>
      <c r="D640" t="str">
        <f t="shared" si="58"/>
        <v>Monday</v>
      </c>
      <c r="E640" t="str">
        <f t="shared" si="54"/>
        <v>09:50:00 PM</v>
      </c>
      <c r="F640" s="3">
        <v>42590.927083333336</v>
      </c>
      <c r="G640" s="4">
        <f t="shared" si="59"/>
        <v>0.92708333333575865</v>
      </c>
      <c r="H640" t="str">
        <f t="shared" si="55"/>
        <v>25 min</v>
      </c>
      <c r="I640" t="s">
        <v>2</v>
      </c>
      <c r="J640" t="s">
        <v>55</v>
      </c>
      <c r="K640" t="s">
        <v>56</v>
      </c>
      <c r="L640">
        <v>4.8</v>
      </c>
      <c r="M640" t="s">
        <v>52</v>
      </c>
      <c r="N640" t="str" cm="1">
        <f t="array" ref="N640">_xlfn.IFS(
    AND(HOUR(A640)&gt;=0, HOUR(A640)&lt;10), "Morning",
    AND(HOUR(A640)&gt;=10, HOUR(A640)&lt;15), "Afternoon",
    AND(HOUR(E640)&gt;=15, HOUR(E640)&lt;19), "Evening",
    AND(HOUR(E640)&gt;=19, HOUR(E640)&lt;=23), "Night"
)</f>
        <v>Night</v>
      </c>
    </row>
    <row r="641" spans="1:14" x14ac:dyDescent="0.25">
      <c r="A641" s="3">
        <v>42590.977777777778</v>
      </c>
      <c r="B641" s="2">
        <f t="shared" si="56"/>
        <v>42590</v>
      </c>
      <c r="C641" t="str">
        <f t="shared" si="57"/>
        <v>August</v>
      </c>
      <c r="D641" t="str">
        <f t="shared" si="58"/>
        <v>Monday</v>
      </c>
      <c r="E641" t="str">
        <f t="shared" si="54"/>
        <v>11:28:00 PM</v>
      </c>
      <c r="F641" s="3">
        <v>42590.984027777777</v>
      </c>
      <c r="G641" s="4">
        <f t="shared" si="59"/>
        <v>0.98402777777664596</v>
      </c>
      <c r="H641" t="str">
        <f t="shared" si="55"/>
        <v>9 min</v>
      </c>
      <c r="I641" t="s">
        <v>2</v>
      </c>
      <c r="J641" t="s">
        <v>56</v>
      </c>
      <c r="K641" t="s">
        <v>55</v>
      </c>
      <c r="L641">
        <v>3.2</v>
      </c>
      <c r="M641" t="s">
        <v>7</v>
      </c>
      <c r="N641" t="str" cm="1">
        <f t="array" ref="N641">_xlfn.IFS(
    AND(HOUR(A641)&gt;=0, HOUR(A641)&lt;10), "Morning",
    AND(HOUR(A641)&gt;=10, HOUR(A641)&lt;15), "Afternoon",
    AND(HOUR(E641)&gt;=15, HOUR(E641)&lt;19), "Evening",
    AND(HOUR(E641)&gt;=19, HOUR(E641)&lt;=23), "Night"
)</f>
        <v>Night</v>
      </c>
    </row>
    <row r="642" spans="1:14" x14ac:dyDescent="0.25">
      <c r="A642" s="3">
        <v>42591.597222222219</v>
      </c>
      <c r="B642" s="2">
        <f t="shared" si="56"/>
        <v>42591</v>
      </c>
      <c r="C642" t="str">
        <f t="shared" si="57"/>
        <v>August</v>
      </c>
      <c r="D642" t="str">
        <f t="shared" si="58"/>
        <v>Tuesday</v>
      </c>
      <c r="E642" t="str">
        <f t="shared" ref="E642:E705" si="60">TEXT(A642, "hh:mm:ss AM/PM")</f>
        <v>02:20:00 PM</v>
      </c>
      <c r="F642" s="3">
        <v>42591.609722222223</v>
      </c>
      <c r="G642" s="4">
        <f t="shared" si="59"/>
        <v>0.60972222222335404</v>
      </c>
      <c r="H642" t="str">
        <f t="shared" ref="H642:H705" si="61">HOUR(IF(G642&lt;E642, G642+1-E642, G642-E642))*60 + MINUTE(IF(G642&lt;E642, G642+1-E642, G642-E642)) &amp; " min"</f>
        <v>18 min</v>
      </c>
      <c r="I642" t="s">
        <v>2</v>
      </c>
      <c r="J642" t="s">
        <v>77</v>
      </c>
      <c r="K642" t="s">
        <v>109</v>
      </c>
      <c r="L642">
        <v>6.9</v>
      </c>
      <c r="M642" t="s">
        <v>52</v>
      </c>
      <c r="N642" t="str" cm="1">
        <f t="array" ref="N642">_xlfn.IFS(
    AND(HOUR(A642)&gt;=0, HOUR(A642)&lt;10), "Morning",
    AND(HOUR(A642)&gt;=10, HOUR(A642)&lt;15), "Afternoon",
    AND(HOUR(E642)&gt;=15, HOUR(E642)&lt;19), "Evening",
    AND(HOUR(E642)&gt;=19, HOUR(E642)&lt;=23), "Night"
)</f>
        <v>Afternoon</v>
      </c>
    </row>
    <row r="643" spans="1:14" x14ac:dyDescent="0.25">
      <c r="A643" s="3">
        <v>42591.635416666664</v>
      </c>
      <c r="B643" s="2">
        <f t="shared" ref="B643:B706" si="62">INT(A643)</f>
        <v>42591</v>
      </c>
      <c r="C643" t="str">
        <f t="shared" ref="C643:C706" si="63">TEXT(B643, "mmmm")</f>
        <v>August</v>
      </c>
      <c r="D643" t="str">
        <f t="shared" ref="D643:D706" si="64">TEXT(B643, "dddd")</f>
        <v>Tuesday</v>
      </c>
      <c r="E643" t="str">
        <f t="shared" si="60"/>
        <v>03:15:00 PM</v>
      </c>
      <c r="F643" s="3">
        <v>42591.65</v>
      </c>
      <c r="G643" s="4">
        <f t="shared" ref="G643:G706" si="65">F643-INT(F643)</f>
        <v>0.65000000000145519</v>
      </c>
      <c r="H643" t="str">
        <f t="shared" si="61"/>
        <v>21 min</v>
      </c>
      <c r="I643" t="s">
        <v>2</v>
      </c>
      <c r="J643" t="s">
        <v>55</v>
      </c>
      <c r="K643" t="s">
        <v>79</v>
      </c>
      <c r="L643">
        <v>14.9</v>
      </c>
      <c r="M643" t="s">
        <v>52</v>
      </c>
      <c r="N643" t="str" cm="1">
        <f t="array" ref="N643">_xlfn.IFS(
    AND(HOUR(A643)&gt;=0, HOUR(A643)&lt;10), "Morning",
    AND(HOUR(A643)&gt;=10, HOUR(A643)&lt;15), "Afternoon",
    AND(HOUR(E643)&gt;=15, HOUR(E643)&lt;19), "Evening",
    AND(HOUR(E643)&gt;=19, HOUR(E643)&lt;=23), "Night"
)</f>
        <v>Evening</v>
      </c>
    </row>
    <row r="644" spans="1:14" x14ac:dyDescent="0.25">
      <c r="A644" s="3">
        <v>42591.669444444444</v>
      </c>
      <c r="B644" s="2">
        <f t="shared" si="62"/>
        <v>42591</v>
      </c>
      <c r="C644" t="str">
        <f t="shared" si="63"/>
        <v>August</v>
      </c>
      <c r="D644" t="str">
        <f t="shared" si="64"/>
        <v>Tuesday</v>
      </c>
      <c r="E644" t="str">
        <f t="shared" si="60"/>
        <v>04:04:00 PM</v>
      </c>
      <c r="F644" s="3">
        <v>42591.692361111112</v>
      </c>
      <c r="G644" s="4">
        <f t="shared" si="65"/>
        <v>0.69236111111240461</v>
      </c>
      <c r="H644" t="str">
        <f t="shared" si="61"/>
        <v>33 min</v>
      </c>
      <c r="I644" t="s">
        <v>2</v>
      </c>
      <c r="J644" t="s">
        <v>79</v>
      </c>
      <c r="K644" t="s">
        <v>55</v>
      </c>
      <c r="L644">
        <v>17.399999999999999</v>
      </c>
      <c r="M644" t="s">
        <v>52</v>
      </c>
      <c r="N644" t="str" cm="1">
        <f t="array" ref="N644">_xlfn.IFS(
    AND(HOUR(A644)&gt;=0, HOUR(A644)&lt;10), "Morning",
    AND(HOUR(A644)&gt;=10, HOUR(A644)&lt;15), "Afternoon",
    AND(HOUR(E644)&gt;=15, HOUR(E644)&lt;19), "Evening",
    AND(HOUR(E644)&gt;=19, HOUR(E644)&lt;=23), "Night"
)</f>
        <v>Evening</v>
      </c>
    </row>
    <row r="645" spans="1:14" x14ac:dyDescent="0.25">
      <c r="A645" s="3">
        <v>42592.705555555556</v>
      </c>
      <c r="B645" s="2">
        <f t="shared" si="62"/>
        <v>42592</v>
      </c>
      <c r="C645" t="str">
        <f t="shared" si="63"/>
        <v>August</v>
      </c>
      <c r="D645" t="str">
        <f t="shared" si="64"/>
        <v>Wednesday</v>
      </c>
      <c r="E645" t="str">
        <f t="shared" si="60"/>
        <v>04:56:00 PM</v>
      </c>
      <c r="F645" s="3">
        <v>42592.724999999999</v>
      </c>
      <c r="G645" s="4">
        <f t="shared" si="65"/>
        <v>0.72499999999854481</v>
      </c>
      <c r="H645" t="str">
        <f t="shared" si="61"/>
        <v>28 min</v>
      </c>
      <c r="I645" t="s">
        <v>2</v>
      </c>
      <c r="J645" t="s">
        <v>55</v>
      </c>
      <c r="K645" t="s">
        <v>75</v>
      </c>
      <c r="L645">
        <v>12.9</v>
      </c>
      <c r="M645" t="s">
        <v>52</v>
      </c>
      <c r="N645" t="str" cm="1">
        <f t="array" ref="N645">_xlfn.IFS(
    AND(HOUR(A645)&gt;=0, HOUR(A645)&lt;10), "Morning",
    AND(HOUR(A645)&gt;=10, HOUR(A645)&lt;15), "Afternoon",
    AND(HOUR(E645)&gt;=15, HOUR(E645)&lt;19), "Evening",
    AND(HOUR(E645)&gt;=19, HOUR(E645)&lt;=23), "Night"
)</f>
        <v>Evening</v>
      </c>
    </row>
    <row r="646" spans="1:14" x14ac:dyDescent="0.25">
      <c r="A646" s="3">
        <v>42592.745138888888</v>
      </c>
      <c r="B646" s="2">
        <f t="shared" si="62"/>
        <v>42592</v>
      </c>
      <c r="C646" t="str">
        <f t="shared" si="63"/>
        <v>August</v>
      </c>
      <c r="D646" t="str">
        <f t="shared" si="64"/>
        <v>Wednesday</v>
      </c>
      <c r="E646" t="str">
        <f t="shared" si="60"/>
        <v>05:53:00 PM</v>
      </c>
      <c r="F646" s="3">
        <v>42592.769444444442</v>
      </c>
      <c r="G646" s="4">
        <f t="shared" si="65"/>
        <v>0.7694444444423425</v>
      </c>
      <c r="H646" t="str">
        <f t="shared" si="61"/>
        <v>35 min</v>
      </c>
      <c r="I646" t="s">
        <v>2</v>
      </c>
      <c r="J646" t="s">
        <v>75</v>
      </c>
      <c r="K646" t="s">
        <v>87</v>
      </c>
      <c r="L646">
        <v>15.3</v>
      </c>
      <c r="M646" t="s">
        <v>52</v>
      </c>
      <c r="N646" t="str" cm="1">
        <f t="array" ref="N646">_xlfn.IFS(
    AND(HOUR(A646)&gt;=0, HOUR(A646)&lt;10), "Morning",
    AND(HOUR(A646)&gt;=10, HOUR(A646)&lt;15), "Afternoon",
    AND(HOUR(E646)&gt;=15, HOUR(E646)&lt;19), "Evening",
    AND(HOUR(E646)&gt;=19, HOUR(E646)&lt;=23), "Night"
)</f>
        <v>Evening</v>
      </c>
    </row>
    <row r="647" spans="1:14" x14ac:dyDescent="0.25">
      <c r="A647" s="3">
        <v>42592.78402777778</v>
      </c>
      <c r="B647" s="2">
        <f t="shared" si="62"/>
        <v>42592</v>
      </c>
      <c r="C647" t="str">
        <f t="shared" si="63"/>
        <v>August</v>
      </c>
      <c r="D647" t="str">
        <f t="shared" si="64"/>
        <v>Wednesday</v>
      </c>
      <c r="E647" t="str">
        <f t="shared" si="60"/>
        <v>06:49:00 PM</v>
      </c>
      <c r="F647" s="3">
        <v>42592.784722222219</v>
      </c>
      <c r="G647" s="4">
        <f t="shared" si="65"/>
        <v>0.78472222221898846</v>
      </c>
      <c r="H647" t="str">
        <f t="shared" si="61"/>
        <v>1 min</v>
      </c>
      <c r="I647" t="s">
        <v>2</v>
      </c>
      <c r="J647" t="s">
        <v>87</v>
      </c>
      <c r="K647" t="s">
        <v>87</v>
      </c>
      <c r="L647">
        <v>1</v>
      </c>
      <c r="M647" t="s">
        <v>52</v>
      </c>
      <c r="N647" t="str" cm="1">
        <f t="array" ref="N647">_xlfn.IFS(
    AND(HOUR(A647)&gt;=0, HOUR(A647)&lt;10), "Morning",
    AND(HOUR(A647)&gt;=10, HOUR(A647)&lt;15), "Afternoon",
    AND(HOUR(E647)&gt;=15, HOUR(E647)&lt;19), "Evening",
    AND(HOUR(E647)&gt;=19, HOUR(E647)&lt;=23), "Night"
)</f>
        <v>Evening</v>
      </c>
    </row>
    <row r="648" spans="1:14" x14ac:dyDescent="0.25">
      <c r="A648" s="3">
        <v>42592.824305555558</v>
      </c>
      <c r="B648" s="2">
        <f t="shared" si="62"/>
        <v>42592</v>
      </c>
      <c r="C648" t="str">
        <f t="shared" si="63"/>
        <v>August</v>
      </c>
      <c r="D648" t="str">
        <f t="shared" si="64"/>
        <v>Wednesday</v>
      </c>
      <c r="E648" t="str">
        <f t="shared" si="60"/>
        <v>07:47:00 PM</v>
      </c>
      <c r="F648" s="3">
        <v>42592.834722222222</v>
      </c>
      <c r="G648" s="4">
        <f t="shared" si="65"/>
        <v>0.83472222222189885</v>
      </c>
      <c r="H648" t="str">
        <f t="shared" si="61"/>
        <v>15 min</v>
      </c>
      <c r="I648" t="s">
        <v>2</v>
      </c>
      <c r="J648" t="s">
        <v>87</v>
      </c>
      <c r="K648" t="s">
        <v>55</v>
      </c>
      <c r="L648">
        <v>6</v>
      </c>
      <c r="M648" t="s">
        <v>52</v>
      </c>
      <c r="N648" t="str" cm="1">
        <f t="array" ref="N648">_xlfn.IFS(
    AND(HOUR(A648)&gt;=0, HOUR(A648)&lt;10), "Morning",
    AND(HOUR(A648)&gt;=10, HOUR(A648)&lt;15), "Afternoon",
    AND(HOUR(E648)&gt;=15, HOUR(E648)&lt;19), "Evening",
    AND(HOUR(E648)&gt;=19, HOUR(E648)&lt;=23), "Night"
)</f>
        <v>Night</v>
      </c>
    </row>
    <row r="649" spans="1:14" x14ac:dyDescent="0.25">
      <c r="A649" s="3">
        <v>42593.536805555559</v>
      </c>
      <c r="B649" s="2">
        <f t="shared" si="62"/>
        <v>42593</v>
      </c>
      <c r="C649" t="str">
        <f t="shared" si="63"/>
        <v>August</v>
      </c>
      <c r="D649" t="str">
        <f t="shared" si="64"/>
        <v>Thursday</v>
      </c>
      <c r="E649" t="str">
        <f t="shared" si="60"/>
        <v>12:53:00 PM</v>
      </c>
      <c r="F649" s="3">
        <v>42593.541666666664</v>
      </c>
      <c r="G649" s="4">
        <f t="shared" si="65"/>
        <v>0.54166666666424135</v>
      </c>
      <c r="H649" t="str">
        <f t="shared" si="61"/>
        <v>7 min</v>
      </c>
      <c r="I649" t="s">
        <v>2</v>
      </c>
      <c r="J649" t="s">
        <v>77</v>
      </c>
      <c r="K649" t="s">
        <v>108</v>
      </c>
      <c r="L649">
        <v>2.2000000000000002</v>
      </c>
      <c r="M649" t="s">
        <v>52</v>
      </c>
      <c r="N649" t="str" cm="1">
        <f t="array" ref="N649">_xlfn.IFS(
    AND(HOUR(A649)&gt;=0, HOUR(A649)&lt;10), "Morning",
    AND(HOUR(A649)&gt;=10, HOUR(A649)&lt;15), "Afternoon",
    AND(HOUR(E649)&gt;=15, HOUR(E649)&lt;19), "Evening",
    AND(HOUR(E649)&gt;=19, HOUR(E649)&lt;=23), "Night"
)</f>
        <v>Afternoon</v>
      </c>
    </row>
    <row r="650" spans="1:14" x14ac:dyDescent="0.25">
      <c r="A650" s="3">
        <v>42593.551388888889</v>
      </c>
      <c r="B650" s="2">
        <f t="shared" si="62"/>
        <v>42593</v>
      </c>
      <c r="C650" t="str">
        <f t="shared" si="63"/>
        <v>August</v>
      </c>
      <c r="D650" t="str">
        <f t="shared" si="64"/>
        <v>Thursday</v>
      </c>
      <c r="E650" t="str">
        <f t="shared" si="60"/>
        <v>01:14:00 PM</v>
      </c>
      <c r="F650" s="3">
        <v>42593.561111111114</v>
      </c>
      <c r="G650" s="4">
        <f t="shared" si="65"/>
        <v>0.56111111111385981</v>
      </c>
      <c r="H650" t="str">
        <f t="shared" si="61"/>
        <v>14 min</v>
      </c>
      <c r="I650" t="s">
        <v>2</v>
      </c>
      <c r="J650" t="s">
        <v>108</v>
      </c>
      <c r="K650" t="s">
        <v>92</v>
      </c>
      <c r="L650">
        <v>4.4000000000000004</v>
      </c>
      <c r="M650" t="s">
        <v>52</v>
      </c>
      <c r="N650" t="str" cm="1">
        <f t="array" ref="N650">_xlfn.IFS(
    AND(HOUR(A650)&gt;=0, HOUR(A650)&lt;10), "Morning",
    AND(HOUR(A650)&gt;=10, HOUR(A650)&lt;15), "Afternoon",
    AND(HOUR(E650)&gt;=15, HOUR(E650)&lt;19), "Evening",
    AND(HOUR(E650)&gt;=19, HOUR(E650)&lt;=23), "Night"
)</f>
        <v>Afternoon</v>
      </c>
    </row>
    <row r="651" spans="1:14" x14ac:dyDescent="0.25">
      <c r="A651" s="3">
        <v>42593.563888888886</v>
      </c>
      <c r="B651" s="2">
        <f t="shared" si="62"/>
        <v>42593</v>
      </c>
      <c r="C651" t="str">
        <f t="shared" si="63"/>
        <v>August</v>
      </c>
      <c r="D651" t="str">
        <f t="shared" si="64"/>
        <v>Thursday</v>
      </c>
      <c r="E651" t="str">
        <f t="shared" si="60"/>
        <v>01:32:00 PM</v>
      </c>
      <c r="F651" s="3">
        <v>42593.570833333331</v>
      </c>
      <c r="G651" s="4">
        <f t="shared" si="65"/>
        <v>0.57083333333139308</v>
      </c>
      <c r="H651" t="str">
        <f t="shared" si="61"/>
        <v>10 min</v>
      </c>
      <c r="I651" t="s">
        <v>2</v>
      </c>
      <c r="J651" t="s">
        <v>92</v>
      </c>
      <c r="K651" t="s">
        <v>77</v>
      </c>
      <c r="L651">
        <v>2.8</v>
      </c>
      <c r="M651" t="s">
        <v>52</v>
      </c>
      <c r="N651" t="str" cm="1">
        <f t="array" ref="N651">_xlfn.IFS(
    AND(HOUR(A651)&gt;=0, HOUR(A651)&lt;10), "Morning",
    AND(HOUR(A651)&gt;=10, HOUR(A651)&lt;15), "Afternoon",
    AND(HOUR(E651)&gt;=15, HOUR(E651)&lt;19), "Evening",
    AND(HOUR(E651)&gt;=19, HOUR(E651)&lt;=23), "Night"
)</f>
        <v>Afternoon</v>
      </c>
    </row>
    <row r="652" spans="1:14" x14ac:dyDescent="0.25">
      <c r="A652" s="3">
        <v>42593.775694444441</v>
      </c>
      <c r="B652" s="2">
        <f t="shared" si="62"/>
        <v>42593</v>
      </c>
      <c r="C652" t="str">
        <f t="shared" si="63"/>
        <v>August</v>
      </c>
      <c r="D652" t="str">
        <f t="shared" si="64"/>
        <v>Thursday</v>
      </c>
      <c r="E652" t="str">
        <f t="shared" si="60"/>
        <v>06:37:00 PM</v>
      </c>
      <c r="F652" s="3">
        <v>42593.811805555553</v>
      </c>
      <c r="G652" s="4">
        <f t="shared" si="65"/>
        <v>0.81180555555329192</v>
      </c>
      <c r="H652" t="str">
        <f t="shared" si="61"/>
        <v>52 min</v>
      </c>
      <c r="I652" t="s">
        <v>2</v>
      </c>
      <c r="J652" t="s">
        <v>55</v>
      </c>
      <c r="K652" t="s">
        <v>223</v>
      </c>
      <c r="L652">
        <v>31.7</v>
      </c>
      <c r="M652" t="s">
        <v>52</v>
      </c>
      <c r="N652" t="str" cm="1">
        <f t="array" ref="N652">_xlfn.IFS(
    AND(HOUR(A652)&gt;=0, HOUR(A652)&lt;10), "Morning",
    AND(HOUR(A652)&gt;=10, HOUR(A652)&lt;15), "Afternoon",
    AND(HOUR(E652)&gt;=15, HOUR(E652)&lt;19), "Evening",
    AND(HOUR(E652)&gt;=19, HOUR(E652)&lt;=23), "Night"
)</f>
        <v>Evening</v>
      </c>
    </row>
    <row r="653" spans="1:14" x14ac:dyDescent="0.25">
      <c r="A653" s="3">
        <v>42593.874305555553</v>
      </c>
      <c r="B653" s="2">
        <f t="shared" si="62"/>
        <v>42593</v>
      </c>
      <c r="C653" t="str">
        <f t="shared" si="63"/>
        <v>August</v>
      </c>
      <c r="D653" t="str">
        <f t="shared" si="64"/>
        <v>Thursday</v>
      </c>
      <c r="E653" t="str">
        <f t="shared" si="60"/>
        <v>08:59:00 PM</v>
      </c>
      <c r="F653" s="3">
        <v>42593.905555555553</v>
      </c>
      <c r="G653" s="4">
        <f t="shared" si="65"/>
        <v>0.90555555555329192</v>
      </c>
      <c r="H653" t="str">
        <f t="shared" si="61"/>
        <v>45 min</v>
      </c>
      <c r="I653" t="s">
        <v>2</v>
      </c>
      <c r="J653" t="s">
        <v>223</v>
      </c>
      <c r="K653" t="s">
        <v>55</v>
      </c>
      <c r="L653">
        <v>31.9</v>
      </c>
      <c r="M653" t="s">
        <v>52</v>
      </c>
      <c r="N653" t="str" cm="1">
        <f t="array" ref="N653">_xlfn.IFS(
    AND(HOUR(A653)&gt;=0, HOUR(A653)&lt;10), "Morning",
    AND(HOUR(A653)&gt;=10, HOUR(A653)&lt;15), "Afternoon",
    AND(HOUR(E653)&gt;=15, HOUR(E653)&lt;19), "Evening",
    AND(HOUR(E653)&gt;=19, HOUR(E653)&lt;=23), "Night"
)</f>
        <v>Night</v>
      </c>
    </row>
    <row r="654" spans="1:14" x14ac:dyDescent="0.25">
      <c r="A654" s="3">
        <v>42594.78402777778</v>
      </c>
      <c r="B654" s="2">
        <f t="shared" si="62"/>
        <v>42594</v>
      </c>
      <c r="C654" t="str">
        <f t="shared" si="63"/>
        <v>August</v>
      </c>
      <c r="D654" t="str">
        <f t="shared" si="64"/>
        <v>Friday</v>
      </c>
      <c r="E654" t="str">
        <f t="shared" si="60"/>
        <v>06:49:00 PM</v>
      </c>
      <c r="F654" s="3">
        <v>42594.786111111112</v>
      </c>
      <c r="G654" s="4">
        <f t="shared" si="65"/>
        <v>0.78611111111240461</v>
      </c>
      <c r="H654" t="str">
        <f t="shared" si="61"/>
        <v>3 min</v>
      </c>
      <c r="I654" t="s">
        <v>2</v>
      </c>
      <c r="J654" t="s">
        <v>77</v>
      </c>
      <c r="K654" t="s">
        <v>83</v>
      </c>
      <c r="L654">
        <v>1.9</v>
      </c>
      <c r="M654" t="s">
        <v>52</v>
      </c>
      <c r="N654" t="str" cm="1">
        <f t="array" ref="N654">_xlfn.IFS(
    AND(HOUR(A654)&gt;=0, HOUR(A654)&lt;10), "Morning",
    AND(HOUR(A654)&gt;=10, HOUR(A654)&lt;15), "Afternoon",
    AND(HOUR(E654)&gt;=15, HOUR(E654)&lt;19), "Evening",
    AND(HOUR(E654)&gt;=19, HOUR(E654)&lt;=23), "Night"
)</f>
        <v>Evening</v>
      </c>
    </row>
    <row r="655" spans="1:14" x14ac:dyDescent="0.25">
      <c r="A655" s="3">
        <v>42594.788888888892</v>
      </c>
      <c r="B655" s="2">
        <f t="shared" si="62"/>
        <v>42594</v>
      </c>
      <c r="C655" t="str">
        <f t="shared" si="63"/>
        <v>August</v>
      </c>
      <c r="D655" t="str">
        <f t="shared" si="64"/>
        <v>Friday</v>
      </c>
      <c r="E655" t="str">
        <f t="shared" si="60"/>
        <v>06:56:00 PM</v>
      </c>
      <c r="F655" s="3">
        <v>42594.795138888891</v>
      </c>
      <c r="G655" s="4">
        <f t="shared" si="65"/>
        <v>0.79513888889050577</v>
      </c>
      <c r="H655" t="str">
        <f t="shared" si="61"/>
        <v>9 min</v>
      </c>
      <c r="I655" t="s">
        <v>2</v>
      </c>
      <c r="J655" t="s">
        <v>83</v>
      </c>
      <c r="K655" t="s">
        <v>77</v>
      </c>
      <c r="L655">
        <v>1.8</v>
      </c>
      <c r="M655" t="s">
        <v>52</v>
      </c>
      <c r="N655" t="str" cm="1">
        <f t="array" ref="N655">_xlfn.IFS(
    AND(HOUR(A655)&gt;=0, HOUR(A655)&lt;10), "Morning",
    AND(HOUR(A655)&gt;=10, HOUR(A655)&lt;15), "Afternoon",
    AND(HOUR(E655)&gt;=15, HOUR(E655)&lt;19), "Evening",
    AND(HOUR(E655)&gt;=19, HOUR(E655)&lt;=23), "Night"
)</f>
        <v>Evening</v>
      </c>
    </row>
    <row r="656" spans="1:14" x14ac:dyDescent="0.25">
      <c r="A656" s="3">
        <v>42595.649305555555</v>
      </c>
      <c r="B656" s="2">
        <f t="shared" si="62"/>
        <v>42595</v>
      </c>
      <c r="C656" t="str">
        <f t="shared" si="63"/>
        <v>August</v>
      </c>
      <c r="D656" t="str">
        <f t="shared" si="64"/>
        <v>Saturday</v>
      </c>
      <c r="E656" t="str">
        <f t="shared" si="60"/>
        <v>03:35:00 PM</v>
      </c>
      <c r="F656" s="3">
        <v>42595.665277777778</v>
      </c>
      <c r="G656" s="4">
        <f t="shared" si="65"/>
        <v>0.66527777777810115</v>
      </c>
      <c r="H656" t="str">
        <f t="shared" si="61"/>
        <v>23 min</v>
      </c>
      <c r="I656" t="s">
        <v>2</v>
      </c>
      <c r="J656" t="s">
        <v>55</v>
      </c>
      <c r="K656" t="s">
        <v>56</v>
      </c>
      <c r="L656">
        <v>8.4</v>
      </c>
      <c r="M656" t="s">
        <v>10</v>
      </c>
      <c r="N656" t="str" cm="1">
        <f t="array" ref="N656">_xlfn.IFS(
    AND(HOUR(A656)&gt;=0, HOUR(A656)&lt;10), "Morning",
    AND(HOUR(A656)&gt;=10, HOUR(A656)&lt;15), "Afternoon",
    AND(HOUR(E656)&gt;=15, HOUR(E656)&lt;19), "Evening",
    AND(HOUR(E656)&gt;=19, HOUR(E656)&lt;=23), "Night"
)</f>
        <v>Evening</v>
      </c>
    </row>
    <row r="657" spans="1:14" x14ac:dyDescent="0.25">
      <c r="A657" s="3">
        <v>42597.378472222219</v>
      </c>
      <c r="B657" s="2">
        <f t="shared" si="62"/>
        <v>42597</v>
      </c>
      <c r="C657" t="str">
        <f t="shared" si="63"/>
        <v>August</v>
      </c>
      <c r="D657" t="str">
        <f t="shared" si="64"/>
        <v>Monday</v>
      </c>
      <c r="E657" t="str">
        <f t="shared" si="60"/>
        <v>09:05:00 AM</v>
      </c>
      <c r="F657" s="3">
        <v>42597.411111111112</v>
      </c>
      <c r="G657" s="4">
        <f t="shared" si="65"/>
        <v>0.41111111111240461</v>
      </c>
      <c r="H657" t="str">
        <f t="shared" si="61"/>
        <v>47 min</v>
      </c>
      <c r="I657" t="s">
        <v>2</v>
      </c>
      <c r="J657" t="s">
        <v>106</v>
      </c>
      <c r="K657" t="s">
        <v>102</v>
      </c>
      <c r="L657">
        <v>15.6</v>
      </c>
      <c r="M657" t="s">
        <v>52</v>
      </c>
      <c r="N657" t="str" cm="1">
        <f t="array" ref="N657">_xlfn.IFS(
    AND(HOUR(A657)&gt;=0, HOUR(A657)&lt;10), "Morning",
    AND(HOUR(A657)&gt;=10, HOUR(A657)&lt;15), "Afternoon",
    AND(HOUR(E657)&gt;=15, HOUR(E657)&lt;19), "Evening",
    AND(HOUR(E657)&gt;=19, HOUR(E657)&lt;=23), "Night"
)</f>
        <v>Morning</v>
      </c>
    </row>
    <row r="658" spans="1:14" x14ac:dyDescent="0.25">
      <c r="A658" s="3">
        <v>42597.638888888891</v>
      </c>
      <c r="B658" s="2">
        <f t="shared" si="62"/>
        <v>42597</v>
      </c>
      <c r="C658" t="str">
        <f t="shared" si="63"/>
        <v>August</v>
      </c>
      <c r="D658" t="str">
        <f t="shared" si="64"/>
        <v>Monday</v>
      </c>
      <c r="E658" t="str">
        <f t="shared" si="60"/>
        <v>03:20:00 PM</v>
      </c>
      <c r="F658" s="3">
        <v>42597.657638888886</v>
      </c>
      <c r="G658" s="4">
        <f t="shared" si="65"/>
        <v>0.65763888888614019</v>
      </c>
      <c r="H658" t="str">
        <f t="shared" si="61"/>
        <v>27 min</v>
      </c>
      <c r="I658" t="s">
        <v>2</v>
      </c>
      <c r="J658" t="s">
        <v>102</v>
      </c>
      <c r="K658" t="s">
        <v>102</v>
      </c>
      <c r="L658">
        <v>14.1</v>
      </c>
      <c r="M658" t="s">
        <v>52</v>
      </c>
      <c r="N658" t="str" cm="1">
        <f t="array" ref="N658">_xlfn.IFS(
    AND(HOUR(A658)&gt;=0, HOUR(A658)&lt;10), "Morning",
    AND(HOUR(A658)&gt;=10, HOUR(A658)&lt;15), "Afternoon",
    AND(HOUR(E658)&gt;=15, HOUR(E658)&lt;19), "Evening",
    AND(HOUR(E658)&gt;=19, HOUR(E658)&lt;=23), "Night"
)</f>
        <v>Evening</v>
      </c>
    </row>
    <row r="659" spans="1:14" x14ac:dyDescent="0.25">
      <c r="A659" s="3">
        <v>42597.702777777777</v>
      </c>
      <c r="B659" s="2">
        <f t="shared" si="62"/>
        <v>42597</v>
      </c>
      <c r="C659" t="str">
        <f t="shared" si="63"/>
        <v>August</v>
      </c>
      <c r="D659" t="str">
        <f t="shared" si="64"/>
        <v>Monday</v>
      </c>
      <c r="E659" t="str">
        <f t="shared" si="60"/>
        <v>04:52:00 PM</v>
      </c>
      <c r="F659" s="3">
        <v>42597.729166666664</v>
      </c>
      <c r="G659" s="4">
        <f t="shared" si="65"/>
        <v>0.72916666666424135</v>
      </c>
      <c r="H659" t="str">
        <f t="shared" si="61"/>
        <v>38 min</v>
      </c>
      <c r="I659" t="s">
        <v>2</v>
      </c>
      <c r="J659" t="s">
        <v>102</v>
      </c>
      <c r="K659" t="s">
        <v>102</v>
      </c>
      <c r="L659">
        <v>15.7</v>
      </c>
      <c r="M659" t="s">
        <v>52</v>
      </c>
      <c r="N659" t="str" cm="1">
        <f t="array" ref="N659">_xlfn.IFS(
    AND(HOUR(A659)&gt;=0, HOUR(A659)&lt;10), "Morning",
    AND(HOUR(A659)&gt;=10, HOUR(A659)&lt;15), "Afternoon",
    AND(HOUR(E659)&gt;=15, HOUR(E659)&lt;19), "Evening",
    AND(HOUR(E659)&gt;=19, HOUR(E659)&lt;=23), "Night"
)</f>
        <v>Evening</v>
      </c>
    </row>
    <row r="660" spans="1:14" x14ac:dyDescent="0.25">
      <c r="A660" s="3">
        <v>42597.797222222223</v>
      </c>
      <c r="B660" s="2">
        <f t="shared" si="62"/>
        <v>42597</v>
      </c>
      <c r="C660" t="str">
        <f t="shared" si="63"/>
        <v>August</v>
      </c>
      <c r="D660" t="str">
        <f t="shared" si="64"/>
        <v>Monday</v>
      </c>
      <c r="E660" t="str">
        <f t="shared" si="60"/>
        <v>07:08:00 PM</v>
      </c>
      <c r="F660" s="3">
        <v>42597.854166666664</v>
      </c>
      <c r="G660" s="4">
        <f t="shared" si="65"/>
        <v>0.85416666666424135</v>
      </c>
      <c r="H660" t="str">
        <f t="shared" si="61"/>
        <v>82 min</v>
      </c>
      <c r="I660" t="s">
        <v>2</v>
      </c>
      <c r="J660" t="s">
        <v>102</v>
      </c>
      <c r="K660" t="s">
        <v>102</v>
      </c>
      <c r="L660">
        <v>25.9</v>
      </c>
      <c r="M660" t="s">
        <v>11</v>
      </c>
      <c r="N660" t="str" cm="1">
        <f t="array" ref="N660">_xlfn.IFS(
    AND(HOUR(A660)&gt;=0, HOUR(A660)&lt;10), "Morning",
    AND(HOUR(A660)&gt;=10, HOUR(A660)&lt;15), "Afternoon",
    AND(HOUR(E660)&gt;=15, HOUR(E660)&lt;19), "Evening",
    AND(HOUR(E660)&gt;=19, HOUR(E660)&lt;=23), "Night"
)</f>
        <v>Night</v>
      </c>
    </row>
    <row r="661" spans="1:14" x14ac:dyDescent="0.25">
      <c r="A661" s="3">
        <v>42598.331944444442</v>
      </c>
      <c r="B661" s="2">
        <f t="shared" si="62"/>
        <v>42598</v>
      </c>
      <c r="C661" t="str">
        <f t="shared" si="63"/>
        <v>August</v>
      </c>
      <c r="D661" t="str">
        <f t="shared" si="64"/>
        <v>Tuesday</v>
      </c>
      <c r="E661" t="str">
        <f t="shared" si="60"/>
        <v>07:58:00 AM</v>
      </c>
      <c r="F661" s="3">
        <v>42598.34097222222</v>
      </c>
      <c r="G661" s="4">
        <f t="shared" si="65"/>
        <v>0.34097222222044365</v>
      </c>
      <c r="H661" t="str">
        <f t="shared" si="61"/>
        <v>13 min</v>
      </c>
      <c r="I661" t="s">
        <v>2</v>
      </c>
      <c r="J661" t="s">
        <v>102</v>
      </c>
      <c r="K661" t="s">
        <v>102</v>
      </c>
      <c r="L661">
        <v>7.9</v>
      </c>
      <c r="M661" t="s">
        <v>52</v>
      </c>
      <c r="N661" t="str" cm="1">
        <f t="array" ref="N661">_xlfn.IFS(
    AND(HOUR(A661)&gt;=0, HOUR(A661)&lt;10), "Morning",
    AND(HOUR(A661)&gt;=10, HOUR(A661)&lt;15), "Afternoon",
    AND(HOUR(E661)&gt;=15, HOUR(E661)&lt;19), "Evening",
    AND(HOUR(E661)&gt;=19, HOUR(E661)&lt;=23), "Night"
)</f>
        <v>Morning</v>
      </c>
    </row>
    <row r="662" spans="1:14" x14ac:dyDescent="0.25">
      <c r="A662" s="3">
        <v>42598.344444444447</v>
      </c>
      <c r="B662" s="2">
        <f t="shared" si="62"/>
        <v>42598</v>
      </c>
      <c r="C662" t="str">
        <f t="shared" si="63"/>
        <v>August</v>
      </c>
      <c r="D662" t="str">
        <f t="shared" si="64"/>
        <v>Tuesday</v>
      </c>
      <c r="E662" t="str">
        <f t="shared" si="60"/>
        <v>08:16:00 AM</v>
      </c>
      <c r="F662" s="3">
        <v>42598.349305555559</v>
      </c>
      <c r="G662" s="4">
        <f t="shared" si="65"/>
        <v>0.34930555555911269</v>
      </c>
      <c r="H662" t="str">
        <f t="shared" si="61"/>
        <v>7 min</v>
      </c>
      <c r="I662" t="s">
        <v>2</v>
      </c>
      <c r="J662" t="s">
        <v>102</v>
      </c>
      <c r="K662" t="s">
        <v>102</v>
      </c>
      <c r="L662">
        <v>2.7</v>
      </c>
      <c r="M662" t="s">
        <v>52</v>
      </c>
      <c r="N662" t="str" cm="1">
        <f t="array" ref="N662">_xlfn.IFS(
    AND(HOUR(A662)&gt;=0, HOUR(A662)&lt;10), "Morning",
    AND(HOUR(A662)&gt;=10, HOUR(A662)&lt;15), "Afternoon",
    AND(HOUR(E662)&gt;=15, HOUR(E662)&lt;19), "Evening",
    AND(HOUR(E662)&gt;=19, HOUR(E662)&lt;=23), "Night"
)</f>
        <v>Morning</v>
      </c>
    </row>
    <row r="663" spans="1:14" x14ac:dyDescent="0.25">
      <c r="A663" s="3">
        <v>42598.365277777775</v>
      </c>
      <c r="B663" s="2">
        <f t="shared" si="62"/>
        <v>42598</v>
      </c>
      <c r="C663" t="str">
        <f t="shared" si="63"/>
        <v>August</v>
      </c>
      <c r="D663" t="str">
        <f t="shared" si="64"/>
        <v>Tuesday</v>
      </c>
      <c r="E663" t="str">
        <f t="shared" si="60"/>
        <v>08:46:00 AM</v>
      </c>
      <c r="F663" s="3">
        <v>42598.370138888888</v>
      </c>
      <c r="G663" s="4">
        <f t="shared" si="65"/>
        <v>0.37013888888759539</v>
      </c>
      <c r="H663" t="str">
        <f t="shared" si="61"/>
        <v>7 min</v>
      </c>
      <c r="I663" t="s">
        <v>2</v>
      </c>
      <c r="J663" t="s">
        <v>102</v>
      </c>
      <c r="K663" t="s">
        <v>102</v>
      </c>
      <c r="L663">
        <v>5.5</v>
      </c>
      <c r="M663" t="s">
        <v>52</v>
      </c>
      <c r="N663" t="str" cm="1">
        <f t="array" ref="N663">_xlfn.IFS(
    AND(HOUR(A663)&gt;=0, HOUR(A663)&lt;10), "Morning",
    AND(HOUR(A663)&gt;=10, HOUR(A663)&lt;15), "Afternoon",
    AND(HOUR(E663)&gt;=15, HOUR(E663)&lt;19), "Evening",
    AND(HOUR(E663)&gt;=19, HOUR(E663)&lt;=23), "Night"
)</f>
        <v>Morning</v>
      </c>
    </row>
    <row r="664" spans="1:14" x14ac:dyDescent="0.25">
      <c r="A664" s="3">
        <v>42598.42083333333</v>
      </c>
      <c r="B664" s="2">
        <f t="shared" si="62"/>
        <v>42598</v>
      </c>
      <c r="C664" t="str">
        <f t="shared" si="63"/>
        <v>August</v>
      </c>
      <c r="D664" t="str">
        <f t="shared" si="64"/>
        <v>Tuesday</v>
      </c>
      <c r="E664" t="str">
        <f t="shared" si="60"/>
        <v>10:06:00 AM</v>
      </c>
      <c r="F664" s="3">
        <v>42598.435416666667</v>
      </c>
      <c r="G664" s="4">
        <f t="shared" si="65"/>
        <v>0.43541666666715173</v>
      </c>
      <c r="H664" t="str">
        <f t="shared" si="61"/>
        <v>21 min</v>
      </c>
      <c r="I664" t="s">
        <v>2</v>
      </c>
      <c r="J664" t="s">
        <v>102</v>
      </c>
      <c r="K664" t="s">
        <v>105</v>
      </c>
      <c r="L664">
        <v>5.7</v>
      </c>
      <c r="M664" t="s">
        <v>52</v>
      </c>
      <c r="N664" t="str" cm="1">
        <f t="array" ref="N664">_xlfn.IFS(
    AND(HOUR(A664)&gt;=0, HOUR(A664)&lt;10), "Morning",
    AND(HOUR(A664)&gt;=10, HOUR(A664)&lt;15), "Afternoon",
    AND(HOUR(E664)&gt;=15, HOUR(E664)&lt;19), "Evening",
    AND(HOUR(E664)&gt;=19, HOUR(E664)&lt;=23), "Night"
)</f>
        <v>Afternoon</v>
      </c>
    </row>
    <row r="665" spans="1:14" x14ac:dyDescent="0.25">
      <c r="A665" s="3">
        <v>42598.438194444447</v>
      </c>
      <c r="B665" s="2">
        <f t="shared" si="62"/>
        <v>42598</v>
      </c>
      <c r="C665" t="str">
        <f t="shared" si="63"/>
        <v>August</v>
      </c>
      <c r="D665" t="str">
        <f t="shared" si="64"/>
        <v>Tuesday</v>
      </c>
      <c r="E665" t="str">
        <f t="shared" si="60"/>
        <v>10:31:00 AM</v>
      </c>
      <c r="F665" s="3">
        <v>42598.443055555559</v>
      </c>
      <c r="G665" s="4">
        <f t="shared" si="65"/>
        <v>0.44305555555911269</v>
      </c>
      <c r="H665" t="str">
        <f t="shared" si="61"/>
        <v>7 min</v>
      </c>
      <c r="I665" t="s">
        <v>2</v>
      </c>
      <c r="J665" t="s">
        <v>105</v>
      </c>
      <c r="K665" t="s">
        <v>105</v>
      </c>
      <c r="L665">
        <v>1.2</v>
      </c>
      <c r="M665" t="s">
        <v>52</v>
      </c>
      <c r="N665" t="str" cm="1">
        <f t="array" ref="N665">_xlfn.IFS(
    AND(HOUR(A665)&gt;=0, HOUR(A665)&lt;10), "Morning",
    AND(HOUR(A665)&gt;=10, HOUR(A665)&lt;15), "Afternoon",
    AND(HOUR(E665)&gt;=15, HOUR(E665)&lt;19), "Evening",
    AND(HOUR(E665)&gt;=19, HOUR(E665)&lt;=23), "Night"
)</f>
        <v>Afternoon</v>
      </c>
    </row>
    <row r="666" spans="1:14" x14ac:dyDescent="0.25">
      <c r="A666" s="3">
        <v>42598.490972222222</v>
      </c>
      <c r="B666" s="2">
        <f t="shared" si="62"/>
        <v>42598</v>
      </c>
      <c r="C666" t="str">
        <f t="shared" si="63"/>
        <v>August</v>
      </c>
      <c r="D666" t="str">
        <f t="shared" si="64"/>
        <v>Tuesday</v>
      </c>
      <c r="E666" t="str">
        <f t="shared" si="60"/>
        <v>11:47:00 AM</v>
      </c>
      <c r="F666" s="3">
        <v>42598.502083333333</v>
      </c>
      <c r="G666" s="4">
        <f t="shared" si="65"/>
        <v>0.50208333333284827</v>
      </c>
      <c r="H666" t="str">
        <f t="shared" si="61"/>
        <v>16 min</v>
      </c>
      <c r="I666" t="s">
        <v>2</v>
      </c>
      <c r="J666" t="s">
        <v>105</v>
      </c>
      <c r="K666" t="s">
        <v>102</v>
      </c>
      <c r="L666">
        <v>5.7</v>
      </c>
      <c r="M666" t="s">
        <v>11</v>
      </c>
      <c r="N666" t="str" cm="1">
        <f t="array" ref="N666">_xlfn.IFS(
    AND(HOUR(A666)&gt;=0, HOUR(A666)&lt;10), "Morning",
    AND(HOUR(A666)&gt;=10, HOUR(A666)&lt;15), "Afternoon",
    AND(HOUR(E666)&gt;=15, HOUR(E666)&lt;19), "Evening",
    AND(HOUR(E666)&gt;=19, HOUR(E666)&lt;=23), "Night"
)</f>
        <v>Afternoon</v>
      </c>
    </row>
    <row r="667" spans="1:14" x14ac:dyDescent="0.25">
      <c r="A667" s="3">
        <v>42598.634027777778</v>
      </c>
      <c r="B667" s="2">
        <f t="shared" si="62"/>
        <v>42598</v>
      </c>
      <c r="C667" t="str">
        <f t="shared" si="63"/>
        <v>August</v>
      </c>
      <c r="D667" t="str">
        <f t="shared" si="64"/>
        <v>Tuesday</v>
      </c>
      <c r="E667" t="str">
        <f t="shared" si="60"/>
        <v>03:13:00 PM</v>
      </c>
      <c r="F667" s="3">
        <v>42598.65</v>
      </c>
      <c r="G667" s="4">
        <f t="shared" si="65"/>
        <v>0.65000000000145519</v>
      </c>
      <c r="H667" t="str">
        <f t="shared" si="61"/>
        <v>23 min</v>
      </c>
      <c r="I667" t="s">
        <v>2</v>
      </c>
      <c r="J667" t="s">
        <v>102</v>
      </c>
      <c r="K667" t="s">
        <v>102</v>
      </c>
      <c r="L667">
        <v>16.2</v>
      </c>
      <c r="M667" t="s">
        <v>52</v>
      </c>
      <c r="N667" t="str" cm="1">
        <f t="array" ref="N667">_xlfn.IFS(
    AND(HOUR(A667)&gt;=0, HOUR(A667)&lt;10), "Morning",
    AND(HOUR(A667)&gt;=10, HOUR(A667)&lt;15), "Afternoon",
    AND(HOUR(E667)&gt;=15, HOUR(E667)&lt;19), "Evening",
    AND(HOUR(E667)&gt;=19, HOUR(E667)&lt;=23), "Night"
)</f>
        <v>Evening</v>
      </c>
    </row>
    <row r="668" spans="1:14" x14ac:dyDescent="0.25">
      <c r="A668" s="3">
        <v>42599.428472222222</v>
      </c>
      <c r="B668" s="2">
        <f t="shared" si="62"/>
        <v>42599</v>
      </c>
      <c r="C668" t="str">
        <f t="shared" si="63"/>
        <v>August</v>
      </c>
      <c r="D668" t="str">
        <f t="shared" si="64"/>
        <v>Wednesday</v>
      </c>
      <c r="E668" t="str">
        <f t="shared" si="60"/>
        <v>10:17:00 AM</v>
      </c>
      <c r="F668" s="3">
        <v>42599.445138888892</v>
      </c>
      <c r="G668" s="4">
        <f t="shared" si="65"/>
        <v>0.44513888889196096</v>
      </c>
      <c r="H668" t="str">
        <f t="shared" si="61"/>
        <v>24 min</v>
      </c>
      <c r="I668" t="s">
        <v>2</v>
      </c>
      <c r="J668" t="s">
        <v>102</v>
      </c>
      <c r="K668" t="s">
        <v>102</v>
      </c>
      <c r="L668">
        <v>2.6</v>
      </c>
      <c r="M668" t="s">
        <v>52</v>
      </c>
      <c r="N668" t="str" cm="1">
        <f t="array" ref="N668">_xlfn.IFS(
    AND(HOUR(A668)&gt;=0, HOUR(A668)&lt;10), "Morning",
    AND(HOUR(A668)&gt;=10, HOUR(A668)&lt;15), "Afternoon",
    AND(HOUR(E668)&gt;=15, HOUR(E668)&lt;19), "Evening",
    AND(HOUR(E668)&gt;=19, HOUR(E668)&lt;=23), "Night"
)</f>
        <v>Afternoon</v>
      </c>
    </row>
    <row r="669" spans="1:14" x14ac:dyDescent="0.25">
      <c r="A669" s="3">
        <v>42599.456250000003</v>
      </c>
      <c r="B669" s="2">
        <f t="shared" si="62"/>
        <v>42599</v>
      </c>
      <c r="C669" t="str">
        <f t="shared" si="63"/>
        <v>August</v>
      </c>
      <c r="D669" t="str">
        <f t="shared" si="64"/>
        <v>Wednesday</v>
      </c>
      <c r="E669" t="str">
        <f t="shared" si="60"/>
        <v>10:57:00 AM</v>
      </c>
      <c r="F669" s="3">
        <v>42599.472222222219</v>
      </c>
      <c r="G669" s="4">
        <f t="shared" si="65"/>
        <v>0.47222222221898846</v>
      </c>
      <c r="H669" t="str">
        <f t="shared" si="61"/>
        <v>23 min</v>
      </c>
      <c r="I669" t="s">
        <v>2</v>
      </c>
      <c r="J669" t="s">
        <v>102</v>
      </c>
      <c r="K669" t="s">
        <v>102</v>
      </c>
      <c r="L669">
        <v>12.1</v>
      </c>
      <c r="M669" t="s">
        <v>52</v>
      </c>
      <c r="N669" t="str" cm="1">
        <f t="array" ref="N669">_xlfn.IFS(
    AND(HOUR(A669)&gt;=0, HOUR(A669)&lt;10), "Morning",
    AND(HOUR(A669)&gt;=10, HOUR(A669)&lt;15), "Afternoon",
    AND(HOUR(E669)&gt;=15, HOUR(E669)&lt;19), "Evening",
    AND(HOUR(E669)&gt;=19, HOUR(E669)&lt;=23), "Night"
)</f>
        <v>Afternoon</v>
      </c>
    </row>
    <row r="670" spans="1:14" x14ac:dyDescent="0.25">
      <c r="A670" s="3">
        <v>42599.614583333336</v>
      </c>
      <c r="B670" s="2">
        <f t="shared" si="62"/>
        <v>42599</v>
      </c>
      <c r="C670" t="str">
        <f t="shared" si="63"/>
        <v>August</v>
      </c>
      <c r="D670" t="str">
        <f t="shared" si="64"/>
        <v>Wednesday</v>
      </c>
      <c r="E670" t="str">
        <f t="shared" si="60"/>
        <v>02:45:00 PM</v>
      </c>
      <c r="F670" s="3">
        <v>42599.618055555555</v>
      </c>
      <c r="G670" s="4">
        <f t="shared" si="65"/>
        <v>0.61805555555474712</v>
      </c>
      <c r="H670" t="str">
        <f t="shared" si="61"/>
        <v>5 min</v>
      </c>
      <c r="I670" t="s">
        <v>2</v>
      </c>
      <c r="J670" t="s">
        <v>102</v>
      </c>
      <c r="K670" t="s">
        <v>106</v>
      </c>
      <c r="L670">
        <v>1.4</v>
      </c>
      <c r="M670" t="s">
        <v>52</v>
      </c>
      <c r="N670" t="str" cm="1">
        <f t="array" ref="N670">_xlfn.IFS(
    AND(HOUR(A670)&gt;=0, HOUR(A670)&lt;10), "Morning",
    AND(HOUR(A670)&gt;=10, HOUR(A670)&lt;15), "Afternoon",
    AND(HOUR(E670)&gt;=15, HOUR(E670)&lt;19), "Evening",
    AND(HOUR(E670)&gt;=19, HOUR(E670)&lt;=23), "Night"
)</f>
        <v>Afternoon</v>
      </c>
    </row>
    <row r="671" spans="1:14" x14ac:dyDescent="0.25">
      <c r="A671" s="3">
        <v>42599.647222222222</v>
      </c>
      <c r="B671" s="2">
        <f t="shared" si="62"/>
        <v>42599</v>
      </c>
      <c r="C671" t="str">
        <f t="shared" si="63"/>
        <v>August</v>
      </c>
      <c r="D671" t="str">
        <f t="shared" si="64"/>
        <v>Wednesday</v>
      </c>
      <c r="E671" t="str">
        <f t="shared" si="60"/>
        <v>03:32:00 PM</v>
      </c>
      <c r="F671" s="3">
        <v>42599.657638888886</v>
      </c>
      <c r="G671" s="4">
        <f t="shared" si="65"/>
        <v>0.65763888888614019</v>
      </c>
      <c r="H671" t="str">
        <f t="shared" si="61"/>
        <v>15 min</v>
      </c>
      <c r="I671" t="s">
        <v>2</v>
      </c>
      <c r="J671" t="s">
        <v>106</v>
      </c>
      <c r="K671" t="s">
        <v>105</v>
      </c>
      <c r="L671">
        <v>6.4</v>
      </c>
      <c r="M671" t="s">
        <v>52</v>
      </c>
      <c r="N671" t="str" cm="1">
        <f t="array" ref="N671">_xlfn.IFS(
    AND(HOUR(A671)&gt;=0, HOUR(A671)&lt;10), "Morning",
    AND(HOUR(A671)&gt;=10, HOUR(A671)&lt;15), "Afternoon",
    AND(HOUR(E671)&gt;=15, HOUR(E671)&lt;19), "Evening",
    AND(HOUR(E671)&gt;=19, HOUR(E671)&lt;=23), "Night"
)</f>
        <v>Evening</v>
      </c>
    </row>
    <row r="672" spans="1:14" x14ac:dyDescent="0.25">
      <c r="A672" s="3">
        <v>42599.686805555553</v>
      </c>
      <c r="B672" s="2">
        <f t="shared" si="62"/>
        <v>42599</v>
      </c>
      <c r="C672" t="str">
        <f t="shared" si="63"/>
        <v>August</v>
      </c>
      <c r="D672" t="str">
        <f t="shared" si="64"/>
        <v>Wednesday</v>
      </c>
      <c r="E672" t="str">
        <f t="shared" si="60"/>
        <v>04:29:00 PM</v>
      </c>
      <c r="F672" s="3">
        <v>42599.701388888891</v>
      </c>
      <c r="G672" s="4">
        <f t="shared" si="65"/>
        <v>0.70138888889050577</v>
      </c>
      <c r="H672" t="str">
        <f t="shared" si="61"/>
        <v>21 min</v>
      </c>
      <c r="I672" t="s">
        <v>2</v>
      </c>
      <c r="J672" t="s">
        <v>105</v>
      </c>
      <c r="K672" t="s">
        <v>102</v>
      </c>
      <c r="L672">
        <v>7.3</v>
      </c>
      <c r="M672" t="s">
        <v>52</v>
      </c>
      <c r="N672" t="str" cm="1">
        <f t="array" ref="N672">_xlfn.IFS(
    AND(HOUR(A672)&gt;=0, HOUR(A672)&lt;10), "Morning",
    AND(HOUR(A672)&gt;=10, HOUR(A672)&lt;15), "Afternoon",
    AND(HOUR(E672)&gt;=15, HOUR(E672)&lt;19), "Evening",
    AND(HOUR(E672)&gt;=19, HOUR(E672)&lt;=23), "Night"
)</f>
        <v>Evening</v>
      </c>
    </row>
    <row r="673" spans="1:14" x14ac:dyDescent="0.25">
      <c r="A673" s="3">
        <v>42599.70416666667</v>
      </c>
      <c r="B673" s="2">
        <f t="shared" si="62"/>
        <v>42599</v>
      </c>
      <c r="C673" t="str">
        <f t="shared" si="63"/>
        <v>August</v>
      </c>
      <c r="D673" t="str">
        <f t="shared" si="64"/>
        <v>Wednesday</v>
      </c>
      <c r="E673" t="str">
        <f t="shared" si="60"/>
        <v>04:54:00 PM</v>
      </c>
      <c r="F673" s="3">
        <v>42599.708333333336</v>
      </c>
      <c r="G673" s="4">
        <f t="shared" si="65"/>
        <v>0.70833333333575865</v>
      </c>
      <c r="H673" t="str">
        <f t="shared" si="61"/>
        <v>6 min</v>
      </c>
      <c r="I673" t="s">
        <v>2</v>
      </c>
      <c r="J673" t="s">
        <v>102</v>
      </c>
      <c r="K673" t="s">
        <v>102</v>
      </c>
      <c r="L673">
        <v>5.3</v>
      </c>
      <c r="M673" t="s">
        <v>52</v>
      </c>
      <c r="N673" t="str" cm="1">
        <f t="array" ref="N673">_xlfn.IFS(
    AND(HOUR(A673)&gt;=0, HOUR(A673)&lt;10), "Morning",
    AND(HOUR(A673)&gt;=10, HOUR(A673)&lt;15), "Afternoon",
    AND(HOUR(E673)&gt;=15, HOUR(E673)&lt;19), "Evening",
    AND(HOUR(E673)&gt;=19, HOUR(E673)&lt;=23), "Night"
)</f>
        <v>Evening</v>
      </c>
    </row>
    <row r="674" spans="1:14" x14ac:dyDescent="0.25">
      <c r="A674" s="3">
        <v>42599.711805555555</v>
      </c>
      <c r="B674" s="2">
        <f t="shared" si="62"/>
        <v>42599</v>
      </c>
      <c r="C674" t="str">
        <f t="shared" si="63"/>
        <v>August</v>
      </c>
      <c r="D674" t="str">
        <f t="shared" si="64"/>
        <v>Wednesday</v>
      </c>
      <c r="E674" t="str">
        <f t="shared" si="60"/>
        <v>05:05:00 PM</v>
      </c>
      <c r="F674" s="3">
        <v>42599.731944444444</v>
      </c>
      <c r="G674" s="4">
        <f t="shared" si="65"/>
        <v>0.73194444444379769</v>
      </c>
      <c r="H674" t="str">
        <f t="shared" si="61"/>
        <v>29 min</v>
      </c>
      <c r="I674" t="s">
        <v>2</v>
      </c>
      <c r="J674" t="s">
        <v>102</v>
      </c>
      <c r="K674" t="s">
        <v>102</v>
      </c>
      <c r="L674">
        <v>5.5</v>
      </c>
      <c r="M674" t="s">
        <v>52</v>
      </c>
      <c r="N674" t="str" cm="1">
        <f t="array" ref="N674">_xlfn.IFS(
    AND(HOUR(A674)&gt;=0, HOUR(A674)&lt;10), "Morning",
    AND(HOUR(A674)&gt;=10, HOUR(A674)&lt;15), "Afternoon",
    AND(HOUR(E674)&gt;=15, HOUR(E674)&lt;19), "Evening",
    AND(HOUR(E674)&gt;=19, HOUR(E674)&lt;=23), "Night"
)</f>
        <v>Evening</v>
      </c>
    </row>
    <row r="675" spans="1:14" x14ac:dyDescent="0.25">
      <c r="A675" s="3">
        <v>42599.776388888888</v>
      </c>
      <c r="B675" s="2">
        <f t="shared" si="62"/>
        <v>42599</v>
      </c>
      <c r="C675" t="str">
        <f t="shared" si="63"/>
        <v>August</v>
      </c>
      <c r="D675" t="str">
        <f t="shared" si="64"/>
        <v>Wednesday</v>
      </c>
      <c r="E675" t="str">
        <f t="shared" si="60"/>
        <v>06:38:00 PM</v>
      </c>
      <c r="F675" s="3">
        <v>42599.789583333331</v>
      </c>
      <c r="G675" s="4">
        <f t="shared" si="65"/>
        <v>0.78958333333139308</v>
      </c>
      <c r="H675" t="str">
        <f t="shared" si="61"/>
        <v>19 min</v>
      </c>
      <c r="I675" t="s">
        <v>2</v>
      </c>
      <c r="J675" t="s">
        <v>102</v>
      </c>
      <c r="K675" t="s">
        <v>102</v>
      </c>
      <c r="L675">
        <v>7.7</v>
      </c>
      <c r="M675" t="s">
        <v>11</v>
      </c>
      <c r="N675" t="str" cm="1">
        <f t="array" ref="N675">_xlfn.IFS(
    AND(HOUR(A675)&gt;=0, HOUR(A675)&lt;10), "Morning",
    AND(HOUR(A675)&gt;=10, HOUR(A675)&lt;15), "Afternoon",
    AND(HOUR(E675)&gt;=15, HOUR(E675)&lt;19), "Evening",
    AND(HOUR(E675)&gt;=19, HOUR(E675)&lt;=23), "Night"
)</f>
        <v>Evening</v>
      </c>
    </row>
    <row r="676" spans="1:14" x14ac:dyDescent="0.25">
      <c r="A676" s="3">
        <v>42600.777777777781</v>
      </c>
      <c r="B676" s="2">
        <f t="shared" si="62"/>
        <v>42600</v>
      </c>
      <c r="C676" t="str">
        <f t="shared" si="63"/>
        <v>August</v>
      </c>
      <c r="D676" t="str">
        <f t="shared" si="64"/>
        <v>Thursday</v>
      </c>
      <c r="E676" t="str">
        <f t="shared" si="60"/>
        <v>06:40:00 PM</v>
      </c>
      <c r="F676" s="3">
        <v>42600.796527777777</v>
      </c>
      <c r="G676" s="4">
        <f t="shared" si="65"/>
        <v>0.79652777777664596</v>
      </c>
      <c r="H676" t="str">
        <f t="shared" si="61"/>
        <v>27 min</v>
      </c>
      <c r="I676" t="s">
        <v>2</v>
      </c>
      <c r="J676" t="s">
        <v>102</v>
      </c>
      <c r="K676" t="s">
        <v>102</v>
      </c>
      <c r="L676">
        <v>7.6</v>
      </c>
      <c r="M676" t="s">
        <v>11</v>
      </c>
      <c r="N676" t="str" cm="1">
        <f t="array" ref="N676">_xlfn.IFS(
    AND(HOUR(A676)&gt;=0, HOUR(A676)&lt;10), "Morning",
    AND(HOUR(A676)&gt;=10, HOUR(A676)&lt;15), "Afternoon",
    AND(HOUR(E676)&gt;=15, HOUR(E676)&lt;19), "Evening",
    AND(HOUR(E676)&gt;=19, HOUR(E676)&lt;=23), "Night"
)</f>
        <v>Evening</v>
      </c>
    </row>
    <row r="677" spans="1:14" x14ac:dyDescent="0.25">
      <c r="A677" s="3">
        <v>42601.35</v>
      </c>
      <c r="B677" s="2">
        <f t="shared" si="62"/>
        <v>42601</v>
      </c>
      <c r="C677" t="str">
        <f t="shared" si="63"/>
        <v>August</v>
      </c>
      <c r="D677" t="str">
        <f t="shared" si="64"/>
        <v>Friday</v>
      </c>
      <c r="E677" t="str">
        <f t="shared" si="60"/>
        <v>08:24:00 AM</v>
      </c>
      <c r="F677" s="3">
        <v>42601.364583333336</v>
      </c>
      <c r="G677" s="4">
        <f t="shared" si="65"/>
        <v>0.36458333333575865</v>
      </c>
      <c r="H677" t="str">
        <f t="shared" si="61"/>
        <v>21 min</v>
      </c>
      <c r="I677" t="s">
        <v>2</v>
      </c>
      <c r="J677" t="s">
        <v>102</v>
      </c>
      <c r="K677" t="s">
        <v>107</v>
      </c>
      <c r="L677">
        <v>7.6</v>
      </c>
      <c r="M677" t="s">
        <v>52</v>
      </c>
      <c r="N677" t="str" cm="1">
        <f t="array" ref="N677">_xlfn.IFS(
    AND(HOUR(A677)&gt;=0, HOUR(A677)&lt;10), "Morning",
    AND(HOUR(A677)&gt;=10, HOUR(A677)&lt;15), "Afternoon",
    AND(HOUR(E677)&gt;=15, HOUR(E677)&lt;19), "Evening",
    AND(HOUR(E677)&gt;=19, HOUR(E677)&lt;=23), "Night"
)</f>
        <v>Morning</v>
      </c>
    </row>
    <row r="678" spans="1:14" x14ac:dyDescent="0.25">
      <c r="A678" s="3">
        <v>42601.370833333334</v>
      </c>
      <c r="B678" s="2">
        <f t="shared" si="62"/>
        <v>42601</v>
      </c>
      <c r="C678" t="str">
        <f t="shared" si="63"/>
        <v>August</v>
      </c>
      <c r="D678" t="str">
        <f t="shared" si="64"/>
        <v>Friday</v>
      </c>
      <c r="E678" t="str">
        <f t="shared" si="60"/>
        <v>08:54:00 AM</v>
      </c>
      <c r="F678" s="3">
        <v>42601.379861111112</v>
      </c>
      <c r="G678" s="4">
        <f t="shared" si="65"/>
        <v>0.37986111111240461</v>
      </c>
      <c r="H678" t="str">
        <f t="shared" si="61"/>
        <v>13 min</v>
      </c>
      <c r="I678" t="s">
        <v>2</v>
      </c>
      <c r="J678" t="s">
        <v>107</v>
      </c>
      <c r="K678" t="s">
        <v>105</v>
      </c>
      <c r="L678">
        <v>3.3</v>
      </c>
      <c r="M678" t="s">
        <v>52</v>
      </c>
      <c r="N678" t="str" cm="1">
        <f t="array" ref="N678">_xlfn.IFS(
    AND(HOUR(A678)&gt;=0, HOUR(A678)&lt;10), "Morning",
    AND(HOUR(A678)&gt;=10, HOUR(A678)&lt;15), "Afternoon",
    AND(HOUR(E678)&gt;=15, HOUR(E678)&lt;19), "Evening",
    AND(HOUR(E678)&gt;=19, HOUR(E678)&lt;=23), "Night"
)</f>
        <v>Morning</v>
      </c>
    </row>
    <row r="679" spans="1:14" x14ac:dyDescent="0.25">
      <c r="A679" s="3">
        <v>42601.393750000003</v>
      </c>
      <c r="B679" s="2">
        <f t="shared" si="62"/>
        <v>42601</v>
      </c>
      <c r="C679" t="str">
        <f t="shared" si="63"/>
        <v>August</v>
      </c>
      <c r="D679" t="str">
        <f t="shared" si="64"/>
        <v>Friday</v>
      </c>
      <c r="E679" t="str">
        <f t="shared" si="60"/>
        <v>09:27:00 AM</v>
      </c>
      <c r="F679" s="3">
        <v>42601.407638888886</v>
      </c>
      <c r="G679" s="4">
        <f t="shared" si="65"/>
        <v>0.40763888888614019</v>
      </c>
      <c r="H679" t="str">
        <f t="shared" si="61"/>
        <v>20 min</v>
      </c>
      <c r="I679" t="s">
        <v>2</v>
      </c>
      <c r="J679" t="s">
        <v>105</v>
      </c>
      <c r="K679" t="s">
        <v>106</v>
      </c>
      <c r="L679">
        <v>6.5</v>
      </c>
      <c r="M679" t="s">
        <v>52</v>
      </c>
      <c r="N679" t="str" cm="1">
        <f t="array" ref="N679">_xlfn.IFS(
    AND(HOUR(A679)&gt;=0, HOUR(A679)&lt;10), "Morning",
    AND(HOUR(A679)&gt;=10, HOUR(A679)&lt;15), "Afternoon",
    AND(HOUR(E679)&gt;=15, HOUR(E679)&lt;19), "Evening",
    AND(HOUR(E679)&gt;=19, HOUR(E679)&lt;=23), "Night"
)</f>
        <v>Morning</v>
      </c>
    </row>
    <row r="680" spans="1:14" x14ac:dyDescent="0.25">
      <c r="A680" s="3">
        <v>42601.456250000003</v>
      </c>
      <c r="B680" s="2">
        <f t="shared" si="62"/>
        <v>42601</v>
      </c>
      <c r="C680" t="str">
        <f t="shared" si="63"/>
        <v>August</v>
      </c>
      <c r="D680" t="str">
        <f t="shared" si="64"/>
        <v>Friday</v>
      </c>
      <c r="E680" t="str">
        <f t="shared" si="60"/>
        <v>10:57:00 AM</v>
      </c>
      <c r="F680" s="3">
        <v>42601.462500000001</v>
      </c>
      <c r="G680" s="4">
        <f t="shared" si="65"/>
        <v>0.46250000000145519</v>
      </c>
      <c r="H680" t="str">
        <f t="shared" si="61"/>
        <v>9 min</v>
      </c>
      <c r="I680" t="s">
        <v>2</v>
      </c>
      <c r="J680" t="s">
        <v>106</v>
      </c>
      <c r="K680" t="s">
        <v>102</v>
      </c>
      <c r="L680">
        <v>2</v>
      </c>
      <c r="M680" t="s">
        <v>52</v>
      </c>
      <c r="N680" t="str" cm="1">
        <f t="array" ref="N680">_xlfn.IFS(
    AND(HOUR(A680)&gt;=0, HOUR(A680)&lt;10), "Morning",
    AND(HOUR(A680)&gt;=10, HOUR(A680)&lt;15), "Afternoon",
    AND(HOUR(E680)&gt;=15, HOUR(E680)&lt;19), "Evening",
    AND(HOUR(E680)&gt;=19, HOUR(E680)&lt;=23), "Night"
)</f>
        <v>Afternoon</v>
      </c>
    </row>
    <row r="681" spans="1:14" x14ac:dyDescent="0.25">
      <c r="A681" s="3">
        <v>42601.504861111112</v>
      </c>
      <c r="B681" s="2">
        <f t="shared" si="62"/>
        <v>42601</v>
      </c>
      <c r="C681" t="str">
        <f t="shared" si="63"/>
        <v>August</v>
      </c>
      <c r="D681" t="str">
        <f t="shared" si="64"/>
        <v>Friday</v>
      </c>
      <c r="E681" t="str">
        <f t="shared" si="60"/>
        <v>12:07:00 PM</v>
      </c>
      <c r="F681" s="3">
        <v>42601.51666666667</v>
      </c>
      <c r="G681" s="4">
        <f t="shared" si="65"/>
        <v>0.51666666667006211</v>
      </c>
      <c r="H681" t="str">
        <f t="shared" si="61"/>
        <v>17 min</v>
      </c>
      <c r="I681" t="s">
        <v>2</v>
      </c>
      <c r="J681" t="s">
        <v>102</v>
      </c>
      <c r="K681" t="s">
        <v>105</v>
      </c>
      <c r="L681">
        <v>5.7</v>
      </c>
      <c r="M681" t="s">
        <v>52</v>
      </c>
      <c r="N681" t="str" cm="1">
        <f t="array" ref="N681">_xlfn.IFS(
    AND(HOUR(A681)&gt;=0, HOUR(A681)&lt;10), "Morning",
    AND(HOUR(A681)&gt;=10, HOUR(A681)&lt;15), "Afternoon",
    AND(HOUR(E681)&gt;=15, HOUR(E681)&lt;19), "Evening",
    AND(HOUR(E681)&gt;=19, HOUR(E681)&lt;=23), "Night"
)</f>
        <v>Afternoon</v>
      </c>
    </row>
    <row r="682" spans="1:14" x14ac:dyDescent="0.25">
      <c r="A682" s="3">
        <v>42601.660416666666</v>
      </c>
      <c r="B682" s="2">
        <f t="shared" si="62"/>
        <v>42601</v>
      </c>
      <c r="C682" t="str">
        <f t="shared" si="63"/>
        <v>August</v>
      </c>
      <c r="D682" t="str">
        <f t="shared" si="64"/>
        <v>Friday</v>
      </c>
      <c r="E682" t="str">
        <f t="shared" si="60"/>
        <v>03:51:00 PM</v>
      </c>
      <c r="F682" s="3">
        <v>42601.67083333333</v>
      </c>
      <c r="G682" s="4">
        <f t="shared" si="65"/>
        <v>0.67083333332993789</v>
      </c>
      <c r="H682" t="str">
        <f t="shared" si="61"/>
        <v>15 min</v>
      </c>
      <c r="I682" t="s">
        <v>2</v>
      </c>
      <c r="J682" t="s">
        <v>105</v>
      </c>
      <c r="K682" t="s">
        <v>105</v>
      </c>
      <c r="L682">
        <v>3.2</v>
      </c>
      <c r="M682" t="s">
        <v>52</v>
      </c>
      <c r="N682" t="str" cm="1">
        <f t="array" ref="N682">_xlfn.IFS(
    AND(HOUR(A682)&gt;=0, HOUR(A682)&lt;10), "Morning",
    AND(HOUR(A682)&gt;=10, HOUR(A682)&lt;15), "Afternoon",
    AND(HOUR(E682)&gt;=15, HOUR(E682)&lt;19), "Evening",
    AND(HOUR(E682)&gt;=19, HOUR(E682)&lt;=23), "Night"
)</f>
        <v>Evening</v>
      </c>
    </row>
    <row r="683" spans="1:14" x14ac:dyDescent="0.25">
      <c r="A683" s="3">
        <v>42601.716666666667</v>
      </c>
      <c r="B683" s="2">
        <f t="shared" si="62"/>
        <v>42601</v>
      </c>
      <c r="C683" t="str">
        <f t="shared" si="63"/>
        <v>August</v>
      </c>
      <c r="D683" t="str">
        <f t="shared" si="64"/>
        <v>Friday</v>
      </c>
      <c r="E683" t="str">
        <f t="shared" si="60"/>
        <v>05:12:00 PM</v>
      </c>
      <c r="F683" s="3">
        <v>42601.744444444441</v>
      </c>
      <c r="G683" s="4">
        <f t="shared" si="65"/>
        <v>0.74444444444088731</v>
      </c>
      <c r="H683" t="str">
        <f t="shared" si="61"/>
        <v>40 min</v>
      </c>
      <c r="I683" t="s">
        <v>2</v>
      </c>
      <c r="J683" t="s">
        <v>105</v>
      </c>
      <c r="K683" t="s">
        <v>102</v>
      </c>
      <c r="L683">
        <v>12.5</v>
      </c>
      <c r="M683" t="s">
        <v>52</v>
      </c>
      <c r="N683" t="str" cm="1">
        <f t="array" ref="N683">_xlfn.IFS(
    AND(HOUR(A683)&gt;=0, HOUR(A683)&lt;10), "Morning",
    AND(HOUR(A683)&gt;=10, HOUR(A683)&lt;15), "Afternoon",
    AND(HOUR(E683)&gt;=15, HOUR(E683)&lt;19), "Evening",
    AND(HOUR(E683)&gt;=19, HOUR(E683)&lt;=23), "Night"
)</f>
        <v>Evening</v>
      </c>
    </row>
    <row r="684" spans="1:14" x14ac:dyDescent="0.25">
      <c r="A684" s="3">
        <v>42603.416666666664</v>
      </c>
      <c r="B684" s="2">
        <f t="shared" si="62"/>
        <v>42603</v>
      </c>
      <c r="C684" t="str">
        <f t="shared" si="63"/>
        <v>August</v>
      </c>
      <c r="D684" t="str">
        <f t="shared" si="64"/>
        <v>Sunday</v>
      </c>
      <c r="E684" t="str">
        <f t="shared" si="60"/>
        <v>10:00:00 AM</v>
      </c>
      <c r="F684" s="3">
        <v>42603.436805555553</v>
      </c>
      <c r="G684" s="4">
        <f t="shared" si="65"/>
        <v>0.43680555555329192</v>
      </c>
      <c r="H684" t="str">
        <f t="shared" si="61"/>
        <v>29 min</v>
      </c>
      <c r="I684" t="s">
        <v>2</v>
      </c>
      <c r="J684" t="s">
        <v>102</v>
      </c>
      <c r="K684" t="s">
        <v>102</v>
      </c>
      <c r="L684">
        <v>7.6</v>
      </c>
      <c r="M684" t="s">
        <v>224</v>
      </c>
      <c r="N684" t="str" cm="1">
        <f t="array" ref="N684">_xlfn.IFS(
    AND(HOUR(A684)&gt;=0, HOUR(A684)&lt;10), "Morning",
    AND(HOUR(A684)&gt;=10, HOUR(A684)&lt;15), "Afternoon",
    AND(HOUR(E684)&gt;=15, HOUR(E684)&lt;19), "Evening",
    AND(HOUR(E684)&gt;=19, HOUR(E684)&lt;=23), "Night"
)</f>
        <v>Afternoon</v>
      </c>
    </row>
    <row r="685" spans="1:14" x14ac:dyDescent="0.25">
      <c r="A685" s="3">
        <v>42603.586805555555</v>
      </c>
      <c r="B685" s="2">
        <f t="shared" si="62"/>
        <v>42603</v>
      </c>
      <c r="C685" t="str">
        <f t="shared" si="63"/>
        <v>August</v>
      </c>
      <c r="D685" t="str">
        <f t="shared" si="64"/>
        <v>Sunday</v>
      </c>
      <c r="E685" t="str">
        <f t="shared" si="60"/>
        <v>02:05:00 PM</v>
      </c>
      <c r="F685" s="3">
        <v>42603.606944444444</v>
      </c>
      <c r="G685" s="4">
        <f t="shared" si="65"/>
        <v>0.60694444444379769</v>
      </c>
      <c r="H685" t="str">
        <f t="shared" si="61"/>
        <v>29 min</v>
      </c>
      <c r="I685" t="s">
        <v>2</v>
      </c>
      <c r="J685" t="s">
        <v>102</v>
      </c>
      <c r="K685" t="s">
        <v>102</v>
      </c>
      <c r="L685">
        <v>7.7</v>
      </c>
      <c r="M685" t="s">
        <v>52</v>
      </c>
      <c r="N685" t="str" cm="1">
        <f t="array" ref="N685">_xlfn.IFS(
    AND(HOUR(A685)&gt;=0, HOUR(A685)&lt;10), "Morning",
    AND(HOUR(A685)&gt;=10, HOUR(A685)&lt;15), "Afternoon",
    AND(HOUR(E685)&gt;=15, HOUR(E685)&lt;19), "Evening",
    AND(HOUR(E685)&gt;=19, HOUR(E685)&lt;=23), "Night"
)</f>
        <v>Afternoon</v>
      </c>
    </row>
    <row r="686" spans="1:14" x14ac:dyDescent="0.25">
      <c r="A686" s="3">
        <v>42603.6875</v>
      </c>
      <c r="B686" s="2">
        <f t="shared" si="62"/>
        <v>42603</v>
      </c>
      <c r="C686" t="str">
        <f t="shared" si="63"/>
        <v>August</v>
      </c>
      <c r="D686" t="str">
        <f t="shared" si="64"/>
        <v>Sunday</v>
      </c>
      <c r="E686" t="str">
        <f t="shared" si="60"/>
        <v>04:30:00 PM</v>
      </c>
      <c r="F686" s="3">
        <v>42603.709722222222</v>
      </c>
      <c r="G686" s="4">
        <f t="shared" si="65"/>
        <v>0.70972222222189885</v>
      </c>
      <c r="H686" t="str">
        <f t="shared" si="61"/>
        <v>32 min</v>
      </c>
      <c r="I686" t="s">
        <v>2</v>
      </c>
      <c r="J686" t="s">
        <v>102</v>
      </c>
      <c r="K686" t="s">
        <v>105</v>
      </c>
      <c r="L686">
        <v>12.2</v>
      </c>
      <c r="M686" t="s">
        <v>52</v>
      </c>
      <c r="N686" t="str" cm="1">
        <f t="array" ref="N686">_xlfn.IFS(
    AND(HOUR(A686)&gt;=0, HOUR(A686)&lt;10), "Morning",
    AND(HOUR(A686)&gt;=10, HOUR(A686)&lt;15), "Afternoon",
    AND(HOUR(E686)&gt;=15, HOUR(E686)&lt;19), "Evening",
    AND(HOUR(E686)&gt;=19, HOUR(E686)&lt;=23), "Night"
)</f>
        <v>Evening</v>
      </c>
    </row>
    <row r="687" spans="1:14" x14ac:dyDescent="0.25">
      <c r="A687" s="3">
        <v>42603.756944444445</v>
      </c>
      <c r="B687" s="2">
        <f t="shared" si="62"/>
        <v>42603</v>
      </c>
      <c r="C687" t="str">
        <f t="shared" si="63"/>
        <v>August</v>
      </c>
      <c r="D687" t="str">
        <f t="shared" si="64"/>
        <v>Sunday</v>
      </c>
      <c r="E687" t="str">
        <f t="shared" si="60"/>
        <v>06:10:00 PM</v>
      </c>
      <c r="F687" s="3">
        <v>42603.761805555558</v>
      </c>
      <c r="G687" s="4">
        <f t="shared" si="65"/>
        <v>0.7618055555576575</v>
      </c>
      <c r="H687" t="str">
        <f t="shared" si="61"/>
        <v>7 min</v>
      </c>
      <c r="I687" t="s">
        <v>2</v>
      </c>
      <c r="J687" t="s">
        <v>105</v>
      </c>
      <c r="K687" t="s">
        <v>105</v>
      </c>
      <c r="L687">
        <v>1.4</v>
      </c>
      <c r="M687" t="s">
        <v>52</v>
      </c>
      <c r="N687" t="str" cm="1">
        <f t="array" ref="N687">_xlfn.IFS(
    AND(HOUR(A687)&gt;=0, HOUR(A687)&lt;10), "Morning",
    AND(HOUR(A687)&gt;=10, HOUR(A687)&lt;15), "Afternoon",
    AND(HOUR(E687)&gt;=15, HOUR(E687)&lt;19), "Evening",
    AND(HOUR(E687)&gt;=19, HOUR(E687)&lt;=23), "Night"
)</f>
        <v>Evening</v>
      </c>
    </row>
    <row r="688" spans="1:14" x14ac:dyDescent="0.25">
      <c r="A688" s="3">
        <v>42603.783333333333</v>
      </c>
      <c r="B688" s="2">
        <f t="shared" si="62"/>
        <v>42603</v>
      </c>
      <c r="C688" t="str">
        <f t="shared" si="63"/>
        <v>August</v>
      </c>
      <c r="D688" t="str">
        <f t="shared" si="64"/>
        <v>Sunday</v>
      </c>
      <c r="E688" t="str">
        <f t="shared" si="60"/>
        <v>06:48:00 PM</v>
      </c>
      <c r="F688" s="3">
        <v>42603.808333333334</v>
      </c>
      <c r="G688" s="4">
        <f t="shared" si="65"/>
        <v>0.80833333333430346</v>
      </c>
      <c r="H688" t="str">
        <f t="shared" si="61"/>
        <v>36 min</v>
      </c>
      <c r="I688" t="s">
        <v>2</v>
      </c>
      <c r="J688" t="s">
        <v>105</v>
      </c>
      <c r="K688" t="s">
        <v>102</v>
      </c>
      <c r="L688">
        <v>20.2</v>
      </c>
      <c r="M688" t="s">
        <v>52</v>
      </c>
      <c r="N688" t="str" cm="1">
        <f t="array" ref="N688">_xlfn.IFS(
    AND(HOUR(A688)&gt;=0, HOUR(A688)&lt;10), "Morning",
    AND(HOUR(A688)&gt;=10, HOUR(A688)&lt;15), "Afternoon",
    AND(HOUR(E688)&gt;=15, HOUR(E688)&lt;19), "Evening",
    AND(HOUR(E688)&gt;=19, HOUR(E688)&lt;=23), "Night"
)</f>
        <v>Evening</v>
      </c>
    </row>
    <row r="689" spans="1:14" x14ac:dyDescent="0.25">
      <c r="A689" s="3">
        <v>42604.416666666664</v>
      </c>
      <c r="B689" s="2">
        <f t="shared" si="62"/>
        <v>42604</v>
      </c>
      <c r="C689" t="str">
        <f t="shared" si="63"/>
        <v>August</v>
      </c>
      <c r="D689" t="str">
        <f t="shared" si="64"/>
        <v>Monday</v>
      </c>
      <c r="E689" t="str">
        <f t="shared" si="60"/>
        <v>10:00:00 AM</v>
      </c>
      <c r="F689" s="3">
        <v>42604.447222222225</v>
      </c>
      <c r="G689" s="4">
        <f t="shared" si="65"/>
        <v>0.44722222222480923</v>
      </c>
      <c r="H689" t="str">
        <f t="shared" si="61"/>
        <v>44 min</v>
      </c>
      <c r="I689" t="s">
        <v>2</v>
      </c>
      <c r="J689" t="s">
        <v>102</v>
      </c>
      <c r="K689" t="s">
        <v>105</v>
      </c>
      <c r="L689">
        <v>9.8000000000000007</v>
      </c>
      <c r="M689" t="s">
        <v>52</v>
      </c>
      <c r="N689" t="str" cm="1">
        <f t="array" ref="N689">_xlfn.IFS(
    AND(HOUR(A689)&gt;=0, HOUR(A689)&lt;10), "Morning",
    AND(HOUR(A689)&gt;=10, HOUR(A689)&lt;15), "Afternoon",
    AND(HOUR(E689)&gt;=15, HOUR(E689)&lt;19), "Evening",
    AND(HOUR(E689)&gt;=19, HOUR(E689)&lt;=23), "Night"
)</f>
        <v>Afternoon</v>
      </c>
    </row>
    <row r="690" spans="1:14" x14ac:dyDescent="0.25">
      <c r="A690" s="3">
        <v>42604.463194444441</v>
      </c>
      <c r="B690" s="2">
        <f t="shared" si="62"/>
        <v>42604</v>
      </c>
      <c r="C690" t="str">
        <f t="shared" si="63"/>
        <v>August</v>
      </c>
      <c r="D690" t="str">
        <f t="shared" si="64"/>
        <v>Monday</v>
      </c>
      <c r="E690" t="str">
        <f t="shared" si="60"/>
        <v>11:07:00 AM</v>
      </c>
      <c r="F690" s="3">
        <v>42604.474305555559</v>
      </c>
      <c r="G690" s="4">
        <f t="shared" si="65"/>
        <v>0.47430555555911269</v>
      </c>
      <c r="H690" t="str">
        <f t="shared" si="61"/>
        <v>16 min</v>
      </c>
      <c r="I690" t="s">
        <v>2</v>
      </c>
      <c r="J690" t="s">
        <v>105</v>
      </c>
      <c r="K690" t="s">
        <v>102</v>
      </c>
      <c r="L690">
        <v>6.3</v>
      </c>
      <c r="M690" t="s">
        <v>52</v>
      </c>
      <c r="N690" t="str" cm="1">
        <f t="array" ref="N690">_xlfn.IFS(
    AND(HOUR(A690)&gt;=0, HOUR(A690)&lt;10), "Morning",
    AND(HOUR(A690)&gt;=10, HOUR(A690)&lt;15), "Afternoon",
    AND(HOUR(E690)&gt;=15, HOUR(E690)&lt;19), "Evening",
    AND(HOUR(E690)&gt;=19, HOUR(E690)&lt;=23), "Night"
)</f>
        <v>Afternoon</v>
      </c>
    </row>
    <row r="691" spans="1:14" x14ac:dyDescent="0.25">
      <c r="A691" s="3">
        <v>42604.525000000001</v>
      </c>
      <c r="B691" s="2">
        <f t="shared" si="62"/>
        <v>42604</v>
      </c>
      <c r="C691" t="str">
        <f t="shared" si="63"/>
        <v>August</v>
      </c>
      <c r="D691" t="str">
        <f t="shared" si="64"/>
        <v>Monday</v>
      </c>
      <c r="E691" t="str">
        <f t="shared" si="60"/>
        <v>12:36:00 PM</v>
      </c>
      <c r="F691" s="3">
        <v>42604.53402777778</v>
      </c>
      <c r="G691" s="4">
        <f t="shared" si="65"/>
        <v>0.53402777777955635</v>
      </c>
      <c r="H691" t="str">
        <f t="shared" si="61"/>
        <v>13 min</v>
      </c>
      <c r="I691" t="s">
        <v>2</v>
      </c>
      <c r="J691" t="s">
        <v>102</v>
      </c>
      <c r="K691" t="s">
        <v>105</v>
      </c>
      <c r="L691">
        <v>4.9000000000000004</v>
      </c>
      <c r="M691" t="s">
        <v>52</v>
      </c>
      <c r="N691" t="str" cm="1">
        <f t="array" ref="N691">_xlfn.IFS(
    AND(HOUR(A691)&gt;=0, HOUR(A691)&lt;10), "Morning",
    AND(HOUR(A691)&gt;=10, HOUR(A691)&lt;15), "Afternoon",
    AND(HOUR(E691)&gt;=15, HOUR(E691)&lt;19), "Evening",
    AND(HOUR(E691)&gt;=19, HOUR(E691)&lt;=23), "Night"
)</f>
        <v>Afternoon</v>
      </c>
    </row>
    <row r="692" spans="1:14" x14ac:dyDescent="0.25">
      <c r="A692" s="3">
        <v>42604.543055555558</v>
      </c>
      <c r="B692" s="2">
        <f t="shared" si="62"/>
        <v>42604</v>
      </c>
      <c r="C692" t="str">
        <f t="shared" si="63"/>
        <v>August</v>
      </c>
      <c r="D692" t="str">
        <f t="shared" si="64"/>
        <v>Monday</v>
      </c>
      <c r="E692" t="str">
        <f t="shared" si="60"/>
        <v>01:02:00 PM</v>
      </c>
      <c r="F692" s="3">
        <v>42604.549305555556</v>
      </c>
      <c r="G692" s="4">
        <f t="shared" si="65"/>
        <v>0.54930555555620231</v>
      </c>
      <c r="H692" t="str">
        <f t="shared" si="61"/>
        <v>9 min</v>
      </c>
      <c r="I692" t="s">
        <v>2</v>
      </c>
      <c r="J692" t="s">
        <v>105</v>
      </c>
      <c r="K692" t="s">
        <v>105</v>
      </c>
      <c r="L692">
        <v>1.5</v>
      </c>
      <c r="M692" t="s">
        <v>52</v>
      </c>
      <c r="N692" t="str" cm="1">
        <f t="array" ref="N692">_xlfn.IFS(
    AND(HOUR(A692)&gt;=0, HOUR(A692)&lt;10), "Morning",
    AND(HOUR(A692)&gt;=10, HOUR(A692)&lt;15), "Afternoon",
    AND(HOUR(E692)&gt;=15, HOUR(E692)&lt;19), "Evening",
    AND(HOUR(E692)&gt;=19, HOUR(E692)&lt;=23), "Night"
)</f>
        <v>Afternoon</v>
      </c>
    </row>
    <row r="693" spans="1:14" x14ac:dyDescent="0.25">
      <c r="A693" s="3">
        <v>42604.588194444441</v>
      </c>
      <c r="B693" s="2">
        <f t="shared" si="62"/>
        <v>42604</v>
      </c>
      <c r="C693" t="str">
        <f t="shared" si="63"/>
        <v>August</v>
      </c>
      <c r="D693" t="str">
        <f t="shared" si="64"/>
        <v>Monday</v>
      </c>
      <c r="E693" t="str">
        <f t="shared" si="60"/>
        <v>02:07:00 PM</v>
      </c>
      <c r="F693" s="3">
        <v>42604.604861111111</v>
      </c>
      <c r="G693" s="4">
        <f t="shared" si="65"/>
        <v>0.60486111111094942</v>
      </c>
      <c r="H693" t="str">
        <f t="shared" si="61"/>
        <v>24 min</v>
      </c>
      <c r="I693" t="s">
        <v>2</v>
      </c>
      <c r="J693" t="s">
        <v>105</v>
      </c>
      <c r="K693" t="s">
        <v>102</v>
      </c>
      <c r="L693">
        <v>10.9</v>
      </c>
      <c r="M693" t="s">
        <v>52</v>
      </c>
      <c r="N693" t="str" cm="1">
        <f t="array" ref="N693">_xlfn.IFS(
    AND(HOUR(A693)&gt;=0, HOUR(A693)&lt;10), "Morning",
    AND(HOUR(A693)&gt;=10, HOUR(A693)&lt;15), "Afternoon",
    AND(HOUR(E693)&gt;=15, HOUR(E693)&lt;19), "Evening",
    AND(HOUR(E693)&gt;=19, HOUR(E693)&lt;=23), "Night"
)</f>
        <v>Afternoon</v>
      </c>
    </row>
    <row r="694" spans="1:14" x14ac:dyDescent="0.25">
      <c r="A694" s="3">
        <v>42604.634722222225</v>
      </c>
      <c r="B694" s="2">
        <f t="shared" si="62"/>
        <v>42604</v>
      </c>
      <c r="C694" t="str">
        <f t="shared" si="63"/>
        <v>August</v>
      </c>
      <c r="D694" t="str">
        <f t="shared" si="64"/>
        <v>Monday</v>
      </c>
      <c r="E694" t="str">
        <f t="shared" si="60"/>
        <v>03:14:00 PM</v>
      </c>
      <c r="F694" s="3">
        <v>42604.65902777778</v>
      </c>
      <c r="G694" s="4">
        <f t="shared" si="65"/>
        <v>0.65902777777955635</v>
      </c>
      <c r="H694" t="str">
        <f t="shared" si="61"/>
        <v>35 min</v>
      </c>
      <c r="I694" t="s">
        <v>2</v>
      </c>
      <c r="J694" t="s">
        <v>102</v>
      </c>
      <c r="K694" t="s">
        <v>102</v>
      </c>
      <c r="L694">
        <v>19</v>
      </c>
      <c r="M694" t="s">
        <v>52</v>
      </c>
      <c r="N694" t="str" cm="1">
        <f t="array" ref="N694">_xlfn.IFS(
    AND(HOUR(A694)&gt;=0, HOUR(A694)&lt;10), "Morning",
    AND(HOUR(A694)&gt;=10, HOUR(A694)&lt;15), "Afternoon",
    AND(HOUR(E694)&gt;=15, HOUR(E694)&lt;19), "Evening",
    AND(HOUR(E694)&gt;=19, HOUR(E694)&lt;=23), "Night"
)</f>
        <v>Evening</v>
      </c>
    </row>
    <row r="695" spans="1:14" x14ac:dyDescent="0.25">
      <c r="A695" s="3">
        <v>42604.665972222225</v>
      </c>
      <c r="B695" s="2">
        <f t="shared" si="62"/>
        <v>42604</v>
      </c>
      <c r="C695" t="str">
        <f t="shared" si="63"/>
        <v>August</v>
      </c>
      <c r="D695" t="str">
        <f t="shared" si="64"/>
        <v>Monday</v>
      </c>
      <c r="E695" t="str">
        <f t="shared" si="60"/>
        <v>03:59:00 PM</v>
      </c>
      <c r="F695" s="3">
        <v>42604.719444444447</v>
      </c>
      <c r="G695" s="4">
        <f t="shared" si="65"/>
        <v>0.71944444444670808</v>
      </c>
      <c r="H695" t="str">
        <f t="shared" si="61"/>
        <v>77 min</v>
      </c>
      <c r="I695" t="s">
        <v>2</v>
      </c>
      <c r="J695" t="s">
        <v>102</v>
      </c>
      <c r="K695" t="s">
        <v>102</v>
      </c>
      <c r="L695">
        <v>19</v>
      </c>
      <c r="M695" t="s">
        <v>52</v>
      </c>
      <c r="N695" t="str" cm="1">
        <f t="array" ref="N695">_xlfn.IFS(
    AND(HOUR(A695)&gt;=0, HOUR(A695)&lt;10), "Morning",
    AND(HOUR(A695)&gt;=10, HOUR(A695)&lt;15), "Afternoon",
    AND(HOUR(E695)&gt;=15, HOUR(E695)&lt;19), "Evening",
    AND(HOUR(E695)&gt;=19, HOUR(E695)&lt;=23), "Night"
)</f>
        <v>Evening</v>
      </c>
    </row>
    <row r="696" spans="1:14" x14ac:dyDescent="0.25">
      <c r="A696" s="3">
        <v>42604.831944444442</v>
      </c>
      <c r="B696" s="2">
        <f t="shared" si="62"/>
        <v>42604</v>
      </c>
      <c r="C696" t="str">
        <f t="shared" si="63"/>
        <v>August</v>
      </c>
      <c r="D696" t="str">
        <f t="shared" si="64"/>
        <v>Monday</v>
      </c>
      <c r="E696" t="str">
        <f t="shared" si="60"/>
        <v>07:58:00 PM</v>
      </c>
      <c r="F696" s="3">
        <v>42604.868055555555</v>
      </c>
      <c r="G696" s="4">
        <f t="shared" si="65"/>
        <v>0.86805555555474712</v>
      </c>
      <c r="H696" t="str">
        <f t="shared" si="61"/>
        <v>52 min</v>
      </c>
      <c r="I696" t="s">
        <v>2</v>
      </c>
      <c r="J696" t="s">
        <v>102</v>
      </c>
      <c r="K696" t="s">
        <v>106</v>
      </c>
      <c r="L696">
        <v>7.9</v>
      </c>
      <c r="M696" t="s">
        <v>52</v>
      </c>
      <c r="N696" t="str" cm="1">
        <f t="array" ref="N696">_xlfn.IFS(
    AND(HOUR(A696)&gt;=0, HOUR(A696)&lt;10), "Morning",
    AND(HOUR(A696)&gt;=10, HOUR(A696)&lt;15), "Afternoon",
    AND(HOUR(E696)&gt;=15, HOUR(E696)&lt;19), "Evening",
    AND(HOUR(E696)&gt;=19, HOUR(E696)&lt;=23), "Night"
)</f>
        <v>Night</v>
      </c>
    </row>
    <row r="697" spans="1:14" x14ac:dyDescent="0.25">
      <c r="A697" s="3">
        <v>42604.870138888888</v>
      </c>
      <c r="B697" s="2">
        <f t="shared" si="62"/>
        <v>42604</v>
      </c>
      <c r="C697" t="str">
        <f t="shared" si="63"/>
        <v>August</v>
      </c>
      <c r="D697" t="str">
        <f t="shared" si="64"/>
        <v>Monday</v>
      </c>
      <c r="E697" t="str">
        <f t="shared" si="60"/>
        <v>08:53:00 PM</v>
      </c>
      <c r="F697" s="3">
        <v>42604.896527777775</v>
      </c>
      <c r="G697" s="4">
        <f t="shared" si="65"/>
        <v>0.89652777777519077</v>
      </c>
      <c r="H697" t="str">
        <f t="shared" si="61"/>
        <v>38 min</v>
      </c>
      <c r="I697" t="s">
        <v>2</v>
      </c>
      <c r="J697" t="s">
        <v>106</v>
      </c>
      <c r="K697" t="s">
        <v>106</v>
      </c>
      <c r="L697">
        <v>4.0999999999999996</v>
      </c>
      <c r="M697" t="s">
        <v>52</v>
      </c>
      <c r="N697" t="str" cm="1">
        <f t="array" ref="N697">_xlfn.IFS(
    AND(HOUR(A697)&gt;=0, HOUR(A697)&lt;10), "Morning",
    AND(HOUR(A697)&gt;=10, HOUR(A697)&lt;15), "Afternoon",
    AND(HOUR(E697)&gt;=15, HOUR(E697)&lt;19), "Evening",
    AND(HOUR(E697)&gt;=19, HOUR(E697)&lt;=23), "Night"
)</f>
        <v>Night</v>
      </c>
    </row>
    <row r="698" spans="1:14" x14ac:dyDescent="0.25">
      <c r="A698" s="3">
        <v>42604.938194444447</v>
      </c>
      <c r="B698" s="2">
        <f t="shared" si="62"/>
        <v>42604</v>
      </c>
      <c r="C698" t="str">
        <f t="shared" si="63"/>
        <v>August</v>
      </c>
      <c r="D698" t="str">
        <f t="shared" si="64"/>
        <v>Monday</v>
      </c>
      <c r="E698" t="str">
        <f t="shared" si="60"/>
        <v>10:31:00 PM</v>
      </c>
      <c r="F698" s="3">
        <v>42604.958333333336</v>
      </c>
      <c r="G698" s="4">
        <f t="shared" si="65"/>
        <v>0.95833333333575865</v>
      </c>
      <c r="H698" t="str">
        <f t="shared" si="61"/>
        <v>29 min</v>
      </c>
      <c r="I698" t="s">
        <v>2</v>
      </c>
      <c r="J698" t="s">
        <v>106</v>
      </c>
      <c r="K698" t="s">
        <v>102</v>
      </c>
      <c r="L698">
        <v>18.7</v>
      </c>
      <c r="M698" t="s">
        <v>52</v>
      </c>
      <c r="N698" t="str" cm="1">
        <f t="array" ref="N698">_xlfn.IFS(
    AND(HOUR(A698)&gt;=0, HOUR(A698)&lt;10), "Morning",
    AND(HOUR(A698)&gt;=10, HOUR(A698)&lt;15), "Afternoon",
    AND(HOUR(E698)&gt;=15, HOUR(E698)&lt;19), "Evening",
    AND(HOUR(E698)&gt;=19, HOUR(E698)&lt;=23), "Night"
)</f>
        <v>Night</v>
      </c>
    </row>
    <row r="699" spans="1:14" x14ac:dyDescent="0.25">
      <c r="A699" s="3">
        <v>42605.340277777781</v>
      </c>
      <c r="B699" s="2">
        <f t="shared" si="62"/>
        <v>42605</v>
      </c>
      <c r="C699" t="str">
        <f t="shared" si="63"/>
        <v>August</v>
      </c>
      <c r="D699" t="str">
        <f t="shared" si="64"/>
        <v>Tuesday</v>
      </c>
      <c r="E699" t="str">
        <f t="shared" si="60"/>
        <v>08:10:00 AM</v>
      </c>
      <c r="F699" s="3">
        <v>42605.350694444445</v>
      </c>
      <c r="G699" s="4">
        <f t="shared" si="65"/>
        <v>0.35069444444525288</v>
      </c>
      <c r="H699" t="str">
        <f t="shared" si="61"/>
        <v>15 min</v>
      </c>
      <c r="I699" t="s">
        <v>2</v>
      </c>
      <c r="J699" t="s">
        <v>102</v>
      </c>
      <c r="K699" t="s">
        <v>107</v>
      </c>
      <c r="L699">
        <v>8.6999999999999993</v>
      </c>
      <c r="M699" t="s">
        <v>52</v>
      </c>
      <c r="N699" t="str" cm="1">
        <f t="array" ref="N699">_xlfn.IFS(
    AND(HOUR(A699)&gt;=0, HOUR(A699)&lt;10), "Morning",
    AND(HOUR(A699)&gt;=10, HOUR(A699)&lt;15), "Afternoon",
    AND(HOUR(E699)&gt;=15, HOUR(E699)&lt;19), "Evening",
    AND(HOUR(E699)&gt;=19, HOUR(E699)&lt;=23), "Night"
)</f>
        <v>Morning</v>
      </c>
    </row>
    <row r="700" spans="1:14" x14ac:dyDescent="0.25">
      <c r="A700" s="3">
        <v>42605.399305555555</v>
      </c>
      <c r="B700" s="2">
        <f t="shared" si="62"/>
        <v>42605</v>
      </c>
      <c r="C700" t="str">
        <f t="shared" si="63"/>
        <v>August</v>
      </c>
      <c r="D700" t="str">
        <f t="shared" si="64"/>
        <v>Tuesday</v>
      </c>
      <c r="E700" t="str">
        <f t="shared" si="60"/>
        <v>09:35:00 AM</v>
      </c>
      <c r="F700" s="3">
        <v>42605.42291666667</v>
      </c>
      <c r="G700" s="4">
        <f t="shared" si="65"/>
        <v>0.42291666667006211</v>
      </c>
      <c r="H700" t="str">
        <f t="shared" si="61"/>
        <v>34 min</v>
      </c>
      <c r="I700" t="s">
        <v>2</v>
      </c>
      <c r="J700" t="s">
        <v>107</v>
      </c>
      <c r="K700" t="s">
        <v>102</v>
      </c>
      <c r="L700">
        <v>7.5</v>
      </c>
      <c r="M700" t="s">
        <v>52</v>
      </c>
      <c r="N700" t="str" cm="1">
        <f t="array" ref="N700">_xlfn.IFS(
    AND(HOUR(A700)&gt;=0, HOUR(A700)&lt;10), "Morning",
    AND(HOUR(A700)&gt;=10, HOUR(A700)&lt;15), "Afternoon",
    AND(HOUR(E700)&gt;=15, HOUR(E700)&lt;19), "Evening",
    AND(HOUR(E700)&gt;=19, HOUR(E700)&lt;=23), "Night"
)</f>
        <v>Morning</v>
      </c>
    </row>
    <row r="701" spans="1:14" x14ac:dyDescent="0.25">
      <c r="A701" s="3">
        <v>42605.540972222225</v>
      </c>
      <c r="B701" s="2">
        <f t="shared" si="62"/>
        <v>42605</v>
      </c>
      <c r="C701" t="str">
        <f t="shared" si="63"/>
        <v>August</v>
      </c>
      <c r="D701" t="str">
        <f t="shared" si="64"/>
        <v>Tuesday</v>
      </c>
      <c r="E701" t="str">
        <f t="shared" si="60"/>
        <v>12:59:00 PM</v>
      </c>
      <c r="F701" s="3">
        <v>42605.552083333336</v>
      </c>
      <c r="G701" s="4">
        <f t="shared" si="65"/>
        <v>0.55208333333575865</v>
      </c>
      <c r="H701" t="str">
        <f t="shared" si="61"/>
        <v>16 min</v>
      </c>
      <c r="I701" t="s">
        <v>2</v>
      </c>
      <c r="J701" t="s">
        <v>102</v>
      </c>
      <c r="K701" t="s">
        <v>107</v>
      </c>
      <c r="L701">
        <v>7.7</v>
      </c>
      <c r="M701" t="s">
        <v>52</v>
      </c>
      <c r="N701" t="str" cm="1">
        <f t="array" ref="N701">_xlfn.IFS(
    AND(HOUR(A701)&gt;=0, HOUR(A701)&lt;10), "Morning",
    AND(HOUR(A701)&gt;=10, HOUR(A701)&lt;15), "Afternoon",
    AND(HOUR(E701)&gt;=15, HOUR(E701)&lt;19), "Evening",
    AND(HOUR(E701)&gt;=19, HOUR(E701)&lt;=23), "Night"
)</f>
        <v>Afternoon</v>
      </c>
    </row>
    <row r="702" spans="1:14" x14ac:dyDescent="0.25">
      <c r="A702" s="3">
        <v>42605.554861111108</v>
      </c>
      <c r="B702" s="2">
        <f t="shared" si="62"/>
        <v>42605</v>
      </c>
      <c r="C702" t="str">
        <f t="shared" si="63"/>
        <v>August</v>
      </c>
      <c r="D702" t="str">
        <f t="shared" si="64"/>
        <v>Tuesday</v>
      </c>
      <c r="E702" t="str">
        <f t="shared" si="60"/>
        <v>01:19:00 PM</v>
      </c>
      <c r="F702" s="3">
        <v>42605.5625</v>
      </c>
      <c r="G702" s="4">
        <f t="shared" si="65"/>
        <v>0.5625</v>
      </c>
      <c r="H702" t="str">
        <f t="shared" si="61"/>
        <v>11 min</v>
      </c>
      <c r="I702" t="s">
        <v>2</v>
      </c>
      <c r="J702" t="s">
        <v>107</v>
      </c>
      <c r="K702" t="s">
        <v>105</v>
      </c>
      <c r="L702">
        <v>4.4000000000000004</v>
      </c>
      <c r="M702" t="s">
        <v>52</v>
      </c>
      <c r="N702" t="str" cm="1">
        <f t="array" ref="N702">_xlfn.IFS(
    AND(HOUR(A702)&gt;=0, HOUR(A702)&lt;10), "Morning",
    AND(HOUR(A702)&gt;=10, HOUR(A702)&lt;15), "Afternoon",
    AND(HOUR(E702)&gt;=15, HOUR(E702)&lt;19), "Evening",
    AND(HOUR(E702)&gt;=19, HOUR(E702)&lt;=23), "Night"
)</f>
        <v>Afternoon</v>
      </c>
    </row>
    <row r="703" spans="1:14" x14ac:dyDescent="0.25">
      <c r="A703" s="3">
        <v>42605.575694444444</v>
      </c>
      <c r="B703" s="2">
        <f t="shared" si="62"/>
        <v>42605</v>
      </c>
      <c r="C703" t="str">
        <f t="shared" si="63"/>
        <v>August</v>
      </c>
      <c r="D703" t="str">
        <f t="shared" si="64"/>
        <v>Tuesday</v>
      </c>
      <c r="E703" t="str">
        <f t="shared" si="60"/>
        <v>01:49:00 PM</v>
      </c>
      <c r="F703" s="3">
        <v>42605.586111111108</v>
      </c>
      <c r="G703" s="4">
        <f t="shared" si="65"/>
        <v>0.58611111110803904</v>
      </c>
      <c r="H703" t="str">
        <f t="shared" si="61"/>
        <v>15 min</v>
      </c>
      <c r="I703" t="s">
        <v>2</v>
      </c>
      <c r="J703" t="s">
        <v>105</v>
      </c>
      <c r="K703" t="s">
        <v>102</v>
      </c>
      <c r="L703">
        <v>5</v>
      </c>
      <c r="M703" t="s">
        <v>52</v>
      </c>
      <c r="N703" t="str" cm="1">
        <f t="array" ref="N703">_xlfn.IFS(
    AND(HOUR(A703)&gt;=0, HOUR(A703)&lt;10), "Morning",
    AND(HOUR(A703)&gt;=10, HOUR(A703)&lt;15), "Afternoon",
    AND(HOUR(E703)&gt;=15, HOUR(E703)&lt;19), "Evening",
    AND(HOUR(E703)&gt;=19, HOUR(E703)&lt;=23), "Night"
)</f>
        <v>Afternoon</v>
      </c>
    </row>
    <row r="704" spans="1:14" x14ac:dyDescent="0.25">
      <c r="A704" s="3">
        <v>42605.629861111112</v>
      </c>
      <c r="B704" s="2">
        <f t="shared" si="62"/>
        <v>42605</v>
      </c>
      <c r="C704" t="str">
        <f t="shared" si="63"/>
        <v>August</v>
      </c>
      <c r="D704" t="str">
        <f t="shared" si="64"/>
        <v>Tuesday</v>
      </c>
      <c r="E704" t="str">
        <f t="shared" si="60"/>
        <v>03:07:00 PM</v>
      </c>
      <c r="F704" s="3">
        <v>42605.633333333331</v>
      </c>
      <c r="G704" s="4">
        <f t="shared" si="65"/>
        <v>0.63333333333139308</v>
      </c>
      <c r="H704" t="str">
        <f t="shared" si="61"/>
        <v>5 min</v>
      </c>
      <c r="I704" t="s">
        <v>2</v>
      </c>
      <c r="J704" t="s">
        <v>102</v>
      </c>
      <c r="K704" t="s">
        <v>102</v>
      </c>
      <c r="L704">
        <v>1.9</v>
      </c>
      <c r="M704" t="s">
        <v>52</v>
      </c>
      <c r="N704" t="str" cm="1">
        <f t="array" ref="N704">_xlfn.IFS(
    AND(HOUR(A704)&gt;=0, HOUR(A704)&lt;10), "Morning",
    AND(HOUR(A704)&gt;=10, HOUR(A704)&lt;15), "Afternoon",
    AND(HOUR(E704)&gt;=15, HOUR(E704)&lt;19), "Evening",
    AND(HOUR(E704)&gt;=19, HOUR(E704)&lt;=23), "Night"
)</f>
        <v>Evening</v>
      </c>
    </row>
    <row r="705" spans="1:14" x14ac:dyDescent="0.25">
      <c r="A705" s="3">
        <v>42605.635416666664</v>
      </c>
      <c r="B705" s="2">
        <f t="shared" si="62"/>
        <v>42605</v>
      </c>
      <c r="C705" t="str">
        <f t="shared" si="63"/>
        <v>August</v>
      </c>
      <c r="D705" t="str">
        <f t="shared" si="64"/>
        <v>Tuesday</v>
      </c>
      <c r="E705" t="str">
        <f t="shared" si="60"/>
        <v>03:15:00 PM</v>
      </c>
      <c r="F705" s="3">
        <v>42605.719444444447</v>
      </c>
      <c r="G705" s="4">
        <f t="shared" si="65"/>
        <v>0.71944444444670808</v>
      </c>
      <c r="H705" t="str">
        <f t="shared" si="61"/>
        <v>121 min</v>
      </c>
      <c r="I705" t="s">
        <v>2</v>
      </c>
      <c r="J705" t="s">
        <v>102</v>
      </c>
      <c r="K705" t="s">
        <v>102</v>
      </c>
      <c r="L705">
        <v>7.9</v>
      </c>
      <c r="M705" t="s">
        <v>52</v>
      </c>
      <c r="N705" t="str" cm="1">
        <f t="array" ref="N705">_xlfn.IFS(
    AND(HOUR(A705)&gt;=0, HOUR(A705)&lt;10), "Morning",
    AND(HOUR(A705)&gt;=10, HOUR(A705)&lt;15), "Afternoon",
    AND(HOUR(E705)&gt;=15, HOUR(E705)&lt;19), "Evening",
    AND(HOUR(E705)&gt;=19, HOUR(E705)&lt;=23), "Night"
)</f>
        <v>Evening</v>
      </c>
    </row>
    <row r="706" spans="1:14" x14ac:dyDescent="0.25">
      <c r="A706" s="3">
        <v>42605.737500000003</v>
      </c>
      <c r="B706" s="2">
        <f t="shared" si="62"/>
        <v>42605</v>
      </c>
      <c r="C706" t="str">
        <f t="shared" si="63"/>
        <v>August</v>
      </c>
      <c r="D706" t="str">
        <f t="shared" si="64"/>
        <v>Tuesday</v>
      </c>
      <c r="E706" t="str">
        <f t="shared" ref="E706:E769" si="66">TEXT(A706, "hh:mm:ss AM/PM")</f>
        <v>05:42:00 PM</v>
      </c>
      <c r="F706" s="3">
        <v>42605.771527777775</v>
      </c>
      <c r="G706" s="4">
        <f t="shared" si="65"/>
        <v>0.77152777777519077</v>
      </c>
      <c r="H706" t="str">
        <f t="shared" ref="H706:H769" si="67">HOUR(IF(G706&lt;E706, G706+1-E706, G706-E706))*60 + MINUTE(IF(G706&lt;E706, G706+1-E706, G706-E706)) &amp; " min"</f>
        <v>49 min</v>
      </c>
      <c r="I706" t="s">
        <v>2</v>
      </c>
      <c r="J706" t="s">
        <v>102</v>
      </c>
      <c r="K706" t="s">
        <v>102</v>
      </c>
      <c r="L706">
        <v>17.7</v>
      </c>
      <c r="M706" t="s">
        <v>52</v>
      </c>
      <c r="N706" t="str" cm="1">
        <f t="array" ref="N706">_xlfn.IFS(
    AND(HOUR(A706)&gt;=0, HOUR(A706)&lt;10), "Morning",
    AND(HOUR(A706)&gt;=10, HOUR(A706)&lt;15), "Afternoon",
    AND(HOUR(E706)&gt;=15, HOUR(E706)&lt;19), "Evening",
    AND(HOUR(E706)&gt;=19, HOUR(E706)&lt;=23), "Night"
)</f>
        <v>Evening</v>
      </c>
    </row>
    <row r="707" spans="1:14" x14ac:dyDescent="0.25">
      <c r="A707" s="3">
        <v>42606.503472222219</v>
      </c>
      <c r="B707" s="2">
        <f t="shared" ref="B707:B770" si="68">INT(A707)</f>
        <v>42606</v>
      </c>
      <c r="C707" t="str">
        <f t="shared" ref="C707:C770" si="69">TEXT(B707, "mmmm")</f>
        <v>August</v>
      </c>
      <c r="D707" t="str">
        <f t="shared" ref="D707:D770" si="70">TEXT(B707, "dddd")</f>
        <v>Wednesday</v>
      </c>
      <c r="E707" t="str">
        <f t="shared" si="66"/>
        <v>12:05:00 PM</v>
      </c>
      <c r="F707" s="3">
        <v>42606.538888888892</v>
      </c>
      <c r="G707" s="4">
        <f t="shared" ref="G707:G770" si="71">F707-INT(F707)</f>
        <v>0.53888888889196096</v>
      </c>
      <c r="H707" t="str">
        <f t="shared" si="67"/>
        <v>51 min</v>
      </c>
      <c r="I707" t="s">
        <v>2</v>
      </c>
      <c r="J707" t="s">
        <v>102</v>
      </c>
      <c r="K707" t="s">
        <v>102</v>
      </c>
      <c r="L707">
        <v>25.2</v>
      </c>
      <c r="M707" t="s">
        <v>52</v>
      </c>
      <c r="N707" t="str" cm="1">
        <f t="array" ref="N707">_xlfn.IFS(
    AND(HOUR(A707)&gt;=0, HOUR(A707)&lt;10), "Morning",
    AND(HOUR(A707)&gt;=10, HOUR(A707)&lt;15), "Afternoon",
    AND(HOUR(E707)&gt;=15, HOUR(E707)&lt;19), "Evening",
    AND(HOUR(E707)&gt;=19, HOUR(E707)&lt;=23), "Night"
)</f>
        <v>Afternoon</v>
      </c>
    </row>
    <row r="708" spans="1:14" x14ac:dyDescent="0.25">
      <c r="A708" s="3">
        <v>42606.542361111111</v>
      </c>
      <c r="B708" s="2">
        <f t="shared" si="68"/>
        <v>42606</v>
      </c>
      <c r="C708" t="str">
        <f t="shared" si="69"/>
        <v>August</v>
      </c>
      <c r="D708" t="str">
        <f t="shared" si="70"/>
        <v>Wednesday</v>
      </c>
      <c r="E708" t="str">
        <f t="shared" si="66"/>
        <v>01:01:00 PM</v>
      </c>
      <c r="F708" s="3">
        <v>42606.642361111109</v>
      </c>
      <c r="G708" s="4">
        <f t="shared" si="71"/>
        <v>0.64236111110949423</v>
      </c>
      <c r="H708" t="str">
        <f t="shared" si="67"/>
        <v>144 min</v>
      </c>
      <c r="I708" t="s">
        <v>2</v>
      </c>
      <c r="J708" t="s">
        <v>102</v>
      </c>
      <c r="K708" t="s">
        <v>102</v>
      </c>
      <c r="L708">
        <v>96.2</v>
      </c>
      <c r="M708" t="s">
        <v>52</v>
      </c>
      <c r="N708" t="str" cm="1">
        <f t="array" ref="N708">_xlfn.IFS(
    AND(HOUR(A708)&gt;=0, HOUR(A708)&lt;10), "Morning",
    AND(HOUR(A708)&gt;=10, HOUR(A708)&lt;15), "Afternoon",
    AND(HOUR(E708)&gt;=15, HOUR(E708)&lt;19), "Evening",
    AND(HOUR(E708)&gt;=19, HOUR(E708)&lt;=23), "Night"
)</f>
        <v>Afternoon</v>
      </c>
    </row>
    <row r="709" spans="1:14" x14ac:dyDescent="0.25">
      <c r="A709" s="3">
        <v>42607.636805555558</v>
      </c>
      <c r="B709" s="2">
        <f t="shared" si="68"/>
        <v>42607</v>
      </c>
      <c r="C709" t="str">
        <f t="shared" si="69"/>
        <v>August</v>
      </c>
      <c r="D709" t="str">
        <f t="shared" si="70"/>
        <v>Thursday</v>
      </c>
      <c r="E709" t="str">
        <f t="shared" si="66"/>
        <v>03:17:00 PM</v>
      </c>
      <c r="F709" s="3">
        <v>42607.681944444441</v>
      </c>
      <c r="G709" s="4">
        <f t="shared" si="71"/>
        <v>0.68194444444088731</v>
      </c>
      <c r="H709" t="str">
        <f t="shared" si="67"/>
        <v>65 min</v>
      </c>
      <c r="I709" t="s">
        <v>2</v>
      </c>
      <c r="J709" t="s">
        <v>102</v>
      </c>
      <c r="K709" t="s">
        <v>102</v>
      </c>
      <c r="L709">
        <v>35</v>
      </c>
      <c r="M709" t="s">
        <v>52</v>
      </c>
      <c r="N709" t="str" cm="1">
        <f t="array" ref="N709">_xlfn.IFS(
    AND(HOUR(A709)&gt;=0, HOUR(A709)&lt;10), "Morning",
    AND(HOUR(A709)&gt;=10, HOUR(A709)&lt;15), "Afternoon",
    AND(HOUR(E709)&gt;=15, HOUR(E709)&lt;19), "Evening",
    AND(HOUR(E709)&gt;=19, HOUR(E709)&lt;=23), "Night"
)</f>
        <v>Evening</v>
      </c>
    </row>
    <row r="710" spans="1:14" x14ac:dyDescent="0.25">
      <c r="A710" s="3">
        <v>42607.691666666666</v>
      </c>
      <c r="B710" s="2">
        <f t="shared" si="68"/>
        <v>42607</v>
      </c>
      <c r="C710" t="str">
        <f t="shared" si="69"/>
        <v>August</v>
      </c>
      <c r="D710" t="str">
        <f t="shared" si="70"/>
        <v>Thursday</v>
      </c>
      <c r="E710" t="str">
        <f t="shared" si="66"/>
        <v>04:36:00 PM</v>
      </c>
      <c r="F710" s="3">
        <v>42607.705555555556</v>
      </c>
      <c r="G710" s="4">
        <f t="shared" si="71"/>
        <v>0.70555555555620231</v>
      </c>
      <c r="H710" t="str">
        <f t="shared" si="67"/>
        <v>20 min</v>
      </c>
      <c r="I710" t="s">
        <v>2</v>
      </c>
      <c r="J710" t="s">
        <v>102</v>
      </c>
      <c r="K710" t="s">
        <v>102</v>
      </c>
      <c r="L710">
        <v>5.5</v>
      </c>
      <c r="M710" t="s">
        <v>52</v>
      </c>
      <c r="N710" t="str" cm="1">
        <f t="array" ref="N710">_xlfn.IFS(
    AND(HOUR(A710)&gt;=0, HOUR(A710)&lt;10), "Morning",
    AND(HOUR(A710)&gt;=10, HOUR(A710)&lt;15), "Afternoon",
    AND(HOUR(E710)&gt;=15, HOUR(E710)&lt;19), "Evening",
    AND(HOUR(E710)&gt;=19, HOUR(E710)&lt;=23), "Night"
)</f>
        <v>Evening</v>
      </c>
    </row>
    <row r="711" spans="1:14" x14ac:dyDescent="0.25">
      <c r="A711" s="3">
        <v>42607.72152777778</v>
      </c>
      <c r="B711" s="2">
        <f t="shared" si="68"/>
        <v>42607</v>
      </c>
      <c r="C711" t="str">
        <f t="shared" si="69"/>
        <v>August</v>
      </c>
      <c r="D711" t="str">
        <f t="shared" si="70"/>
        <v>Thursday</v>
      </c>
      <c r="E711" t="str">
        <f t="shared" si="66"/>
        <v>05:19:00 PM</v>
      </c>
      <c r="F711" s="3">
        <v>42607.805555555555</v>
      </c>
      <c r="G711" s="4">
        <f t="shared" si="71"/>
        <v>0.80555555555474712</v>
      </c>
      <c r="H711" t="str">
        <f t="shared" si="67"/>
        <v>121 min</v>
      </c>
      <c r="I711" t="s">
        <v>2</v>
      </c>
      <c r="J711" t="s">
        <v>102</v>
      </c>
      <c r="K711" t="s">
        <v>102</v>
      </c>
      <c r="L711">
        <v>50.4</v>
      </c>
      <c r="M711" t="s">
        <v>52</v>
      </c>
      <c r="N711" t="str" cm="1">
        <f t="array" ref="N711">_xlfn.IFS(
    AND(HOUR(A711)&gt;=0, HOUR(A711)&lt;10), "Morning",
    AND(HOUR(A711)&gt;=10, HOUR(A711)&lt;15), "Afternoon",
    AND(HOUR(E711)&gt;=15, HOUR(E711)&lt;19), "Evening",
    AND(HOUR(E711)&gt;=19, HOUR(E711)&lt;=23), "Night"
)</f>
        <v>Evening</v>
      </c>
    </row>
    <row r="712" spans="1:14" x14ac:dyDescent="0.25">
      <c r="A712" s="3">
        <v>42607.809027777781</v>
      </c>
      <c r="B712" s="2">
        <f t="shared" si="68"/>
        <v>42607</v>
      </c>
      <c r="C712" t="str">
        <f t="shared" si="69"/>
        <v>August</v>
      </c>
      <c r="D712" t="str">
        <f t="shared" si="70"/>
        <v>Thursday</v>
      </c>
      <c r="E712" t="str">
        <f t="shared" si="66"/>
        <v>07:25:00 PM</v>
      </c>
      <c r="F712" s="3">
        <v>42607.831250000003</v>
      </c>
      <c r="G712" s="4">
        <f t="shared" si="71"/>
        <v>0.83125000000291038</v>
      </c>
      <c r="H712" t="str">
        <f t="shared" si="67"/>
        <v>32 min</v>
      </c>
      <c r="I712" t="s">
        <v>2</v>
      </c>
      <c r="J712" t="s">
        <v>102</v>
      </c>
      <c r="K712" t="s">
        <v>225</v>
      </c>
      <c r="L712">
        <v>9.1999999999999993</v>
      </c>
      <c r="M712" t="s">
        <v>52</v>
      </c>
      <c r="N712" t="str" cm="1">
        <f t="array" ref="N712">_xlfn.IFS(
    AND(HOUR(A712)&gt;=0, HOUR(A712)&lt;10), "Morning",
    AND(HOUR(A712)&gt;=10, HOUR(A712)&lt;15), "Afternoon",
    AND(HOUR(E712)&gt;=15, HOUR(E712)&lt;19), "Evening",
    AND(HOUR(E712)&gt;=19, HOUR(E712)&lt;=23), "Night"
)</f>
        <v>Night</v>
      </c>
    </row>
    <row r="713" spans="1:14" x14ac:dyDescent="0.25">
      <c r="A713" s="3">
        <v>42607.956944444442</v>
      </c>
      <c r="B713" s="2">
        <f t="shared" si="68"/>
        <v>42607</v>
      </c>
      <c r="C713" t="str">
        <f t="shared" si="69"/>
        <v>August</v>
      </c>
      <c r="D713" t="str">
        <f t="shared" si="70"/>
        <v>Thursday</v>
      </c>
      <c r="E713" t="str">
        <f t="shared" si="66"/>
        <v>10:58:00 PM</v>
      </c>
      <c r="F713" s="3">
        <v>42607.969444444447</v>
      </c>
      <c r="G713" s="4">
        <f t="shared" si="71"/>
        <v>0.96944444444670808</v>
      </c>
      <c r="H713" t="str">
        <f t="shared" si="67"/>
        <v>18 min</v>
      </c>
      <c r="I713" t="s">
        <v>2</v>
      </c>
      <c r="J713" t="s">
        <v>225</v>
      </c>
      <c r="K713" t="s">
        <v>102</v>
      </c>
      <c r="L713">
        <v>7.3</v>
      </c>
      <c r="M713" t="s">
        <v>52</v>
      </c>
      <c r="N713" t="str" cm="1">
        <f t="array" ref="N713">_xlfn.IFS(
    AND(HOUR(A713)&gt;=0, HOUR(A713)&lt;10), "Morning",
    AND(HOUR(A713)&gt;=10, HOUR(A713)&lt;15), "Afternoon",
    AND(HOUR(E713)&gt;=15, HOUR(E713)&lt;19), "Evening",
    AND(HOUR(E713)&gt;=19, HOUR(E713)&lt;=23), "Night"
)</f>
        <v>Night</v>
      </c>
    </row>
    <row r="714" spans="1:14" x14ac:dyDescent="0.25">
      <c r="A714" s="3">
        <v>42608.379166666666</v>
      </c>
      <c r="B714" s="2">
        <f t="shared" si="68"/>
        <v>42608</v>
      </c>
      <c r="C714" t="str">
        <f t="shared" si="69"/>
        <v>August</v>
      </c>
      <c r="D714" t="str">
        <f t="shared" si="70"/>
        <v>Friday</v>
      </c>
      <c r="E714" t="str">
        <f t="shared" si="66"/>
        <v>09:06:00 AM</v>
      </c>
      <c r="F714" s="3">
        <v>42608.388888888891</v>
      </c>
      <c r="G714" s="4">
        <f t="shared" si="71"/>
        <v>0.38888888889050577</v>
      </c>
      <c r="H714" t="str">
        <f t="shared" si="67"/>
        <v>14 min</v>
      </c>
      <c r="I714" t="s">
        <v>2</v>
      </c>
      <c r="J714" t="s">
        <v>102</v>
      </c>
      <c r="K714" t="s">
        <v>102</v>
      </c>
      <c r="L714">
        <v>5</v>
      </c>
      <c r="M714" t="s">
        <v>52</v>
      </c>
      <c r="N714" t="str" cm="1">
        <f t="array" ref="N714">_xlfn.IFS(
    AND(HOUR(A714)&gt;=0, HOUR(A714)&lt;10), "Morning",
    AND(HOUR(A714)&gt;=10, HOUR(A714)&lt;15), "Afternoon",
    AND(HOUR(E714)&gt;=15, HOUR(E714)&lt;19), "Evening",
    AND(HOUR(E714)&gt;=19, HOUR(E714)&lt;=23), "Night"
)</f>
        <v>Morning</v>
      </c>
    </row>
    <row r="715" spans="1:14" x14ac:dyDescent="0.25">
      <c r="A715" s="3">
        <v>42608.468055555553</v>
      </c>
      <c r="B715" s="2">
        <f t="shared" si="68"/>
        <v>42608</v>
      </c>
      <c r="C715" t="str">
        <f t="shared" si="69"/>
        <v>August</v>
      </c>
      <c r="D715" t="str">
        <f t="shared" si="70"/>
        <v>Friday</v>
      </c>
      <c r="E715" t="str">
        <f t="shared" si="66"/>
        <v>11:14:00 AM</v>
      </c>
      <c r="F715" s="3">
        <v>42608.476388888892</v>
      </c>
      <c r="G715" s="4">
        <f t="shared" si="71"/>
        <v>0.47638888889196096</v>
      </c>
      <c r="H715" t="str">
        <f t="shared" si="67"/>
        <v>12 min</v>
      </c>
      <c r="I715" t="s">
        <v>2</v>
      </c>
      <c r="J715" t="s">
        <v>102</v>
      </c>
      <c r="K715" t="s">
        <v>102</v>
      </c>
      <c r="L715">
        <v>3.8</v>
      </c>
      <c r="M715" t="s">
        <v>52</v>
      </c>
      <c r="N715" t="str" cm="1">
        <f t="array" ref="N715">_xlfn.IFS(
    AND(HOUR(A715)&gt;=0, HOUR(A715)&lt;10), "Morning",
    AND(HOUR(A715)&gt;=10, HOUR(A715)&lt;15), "Afternoon",
    AND(HOUR(E715)&gt;=15, HOUR(E715)&lt;19), "Evening",
    AND(HOUR(E715)&gt;=19, HOUR(E715)&lt;=23), "Night"
)</f>
        <v>Afternoon</v>
      </c>
    </row>
    <row r="716" spans="1:14" x14ac:dyDescent="0.25">
      <c r="A716" s="3">
        <v>42608.506944444445</v>
      </c>
      <c r="B716" s="2">
        <f t="shared" si="68"/>
        <v>42608</v>
      </c>
      <c r="C716" t="str">
        <f t="shared" si="69"/>
        <v>August</v>
      </c>
      <c r="D716" t="str">
        <f t="shared" si="70"/>
        <v>Friday</v>
      </c>
      <c r="E716" t="str">
        <f t="shared" si="66"/>
        <v>12:10:00 PM</v>
      </c>
      <c r="F716" s="3">
        <v>42608.513888888891</v>
      </c>
      <c r="G716" s="4">
        <f t="shared" si="71"/>
        <v>0.51388888889050577</v>
      </c>
      <c r="H716" t="str">
        <f t="shared" si="67"/>
        <v>10 min</v>
      </c>
      <c r="I716" t="s">
        <v>2</v>
      </c>
      <c r="J716" t="s">
        <v>102</v>
      </c>
      <c r="K716" t="s">
        <v>225</v>
      </c>
      <c r="L716">
        <v>3.9</v>
      </c>
      <c r="M716" t="s">
        <v>52</v>
      </c>
      <c r="N716" t="str" cm="1">
        <f t="array" ref="N716">_xlfn.IFS(
    AND(HOUR(A716)&gt;=0, HOUR(A716)&lt;10), "Morning",
    AND(HOUR(A716)&gt;=10, HOUR(A716)&lt;15), "Afternoon",
    AND(HOUR(E716)&gt;=15, HOUR(E716)&lt;19), "Evening",
    AND(HOUR(E716)&gt;=19, HOUR(E716)&lt;=23), "Night"
)</f>
        <v>Afternoon</v>
      </c>
    </row>
    <row r="717" spans="1:14" x14ac:dyDescent="0.25">
      <c r="A717" s="3">
        <v>42608.590277777781</v>
      </c>
      <c r="B717" s="2">
        <f t="shared" si="68"/>
        <v>42608</v>
      </c>
      <c r="C717" t="str">
        <f t="shared" si="69"/>
        <v>August</v>
      </c>
      <c r="D717" t="str">
        <f t="shared" si="70"/>
        <v>Friday</v>
      </c>
      <c r="E717" t="str">
        <f t="shared" si="66"/>
        <v>02:10:00 PM</v>
      </c>
      <c r="F717" s="3">
        <v>42608.606249999997</v>
      </c>
      <c r="G717" s="4">
        <f t="shared" si="71"/>
        <v>0.60624999999708962</v>
      </c>
      <c r="H717" t="str">
        <f t="shared" si="67"/>
        <v>23 min</v>
      </c>
      <c r="I717" t="s">
        <v>2</v>
      </c>
      <c r="J717" t="s">
        <v>225</v>
      </c>
      <c r="K717" t="s">
        <v>225</v>
      </c>
      <c r="L717">
        <v>7.4</v>
      </c>
      <c r="M717" t="s">
        <v>52</v>
      </c>
      <c r="N717" t="str" cm="1">
        <f t="array" ref="N717">_xlfn.IFS(
    AND(HOUR(A717)&gt;=0, HOUR(A717)&lt;10), "Morning",
    AND(HOUR(A717)&gt;=10, HOUR(A717)&lt;15), "Afternoon",
    AND(HOUR(E717)&gt;=15, HOUR(E717)&lt;19), "Evening",
    AND(HOUR(E717)&gt;=19, HOUR(E717)&lt;=23), "Night"
)</f>
        <v>Afternoon</v>
      </c>
    </row>
    <row r="718" spans="1:14" x14ac:dyDescent="0.25">
      <c r="A718" s="3">
        <v>42608.640972222223</v>
      </c>
      <c r="B718" s="2">
        <f t="shared" si="68"/>
        <v>42608</v>
      </c>
      <c r="C718" t="str">
        <f t="shared" si="69"/>
        <v>August</v>
      </c>
      <c r="D718" t="str">
        <f t="shared" si="70"/>
        <v>Friday</v>
      </c>
      <c r="E718" t="str">
        <f t="shared" si="66"/>
        <v>03:23:00 PM</v>
      </c>
      <c r="F718" s="3">
        <v>42608.649305555555</v>
      </c>
      <c r="G718" s="4">
        <f t="shared" si="71"/>
        <v>0.64930555555474712</v>
      </c>
      <c r="H718" t="str">
        <f t="shared" si="67"/>
        <v>12 min</v>
      </c>
      <c r="I718" t="s">
        <v>2</v>
      </c>
      <c r="J718" t="s">
        <v>225</v>
      </c>
      <c r="K718" t="s">
        <v>225</v>
      </c>
      <c r="L718">
        <v>1.5</v>
      </c>
      <c r="M718" t="s">
        <v>52</v>
      </c>
      <c r="N718" t="str" cm="1">
        <f t="array" ref="N718">_xlfn.IFS(
    AND(HOUR(A718)&gt;=0, HOUR(A718)&lt;10), "Morning",
    AND(HOUR(A718)&gt;=10, HOUR(A718)&lt;15), "Afternoon",
    AND(HOUR(E718)&gt;=15, HOUR(E718)&lt;19), "Evening",
    AND(HOUR(E718)&gt;=19, HOUR(E718)&lt;=23), "Night"
)</f>
        <v>Evening</v>
      </c>
    </row>
    <row r="719" spans="1:14" x14ac:dyDescent="0.25">
      <c r="A719" s="3">
        <v>42608.665972222225</v>
      </c>
      <c r="B719" s="2">
        <f t="shared" si="68"/>
        <v>42608</v>
      </c>
      <c r="C719" t="str">
        <f t="shared" si="69"/>
        <v>August</v>
      </c>
      <c r="D719" t="str">
        <f t="shared" si="70"/>
        <v>Friday</v>
      </c>
      <c r="E719" t="str">
        <f t="shared" si="66"/>
        <v>03:59:00 PM</v>
      </c>
      <c r="F719" s="3">
        <v>42608.683333333334</v>
      </c>
      <c r="G719" s="4">
        <f t="shared" si="71"/>
        <v>0.68333333333430346</v>
      </c>
      <c r="H719" t="str">
        <f t="shared" si="67"/>
        <v>25 min</v>
      </c>
      <c r="I719" t="s">
        <v>2</v>
      </c>
      <c r="J719" t="s">
        <v>225</v>
      </c>
      <c r="K719" t="s">
        <v>102</v>
      </c>
      <c r="L719">
        <v>7.9</v>
      </c>
      <c r="M719" t="s">
        <v>52</v>
      </c>
      <c r="N719" t="str" cm="1">
        <f t="array" ref="N719">_xlfn.IFS(
    AND(HOUR(A719)&gt;=0, HOUR(A719)&lt;10), "Morning",
    AND(HOUR(A719)&gt;=10, HOUR(A719)&lt;15), "Afternoon",
    AND(HOUR(E719)&gt;=15, HOUR(E719)&lt;19), "Evening",
    AND(HOUR(E719)&gt;=19, HOUR(E719)&lt;=23), "Night"
)</f>
        <v>Evening</v>
      </c>
    </row>
    <row r="720" spans="1:14" x14ac:dyDescent="0.25">
      <c r="A720" s="3">
        <v>42608.704861111109</v>
      </c>
      <c r="B720" s="2">
        <f t="shared" si="68"/>
        <v>42608</v>
      </c>
      <c r="C720" t="str">
        <f t="shared" si="69"/>
        <v>August</v>
      </c>
      <c r="D720" t="str">
        <f t="shared" si="70"/>
        <v>Friday</v>
      </c>
      <c r="E720" t="str">
        <f t="shared" si="66"/>
        <v>04:55:00 PM</v>
      </c>
      <c r="F720" s="3">
        <v>42608.716666666667</v>
      </c>
      <c r="G720" s="4">
        <f t="shared" si="71"/>
        <v>0.71666666666715173</v>
      </c>
      <c r="H720" t="str">
        <f t="shared" si="67"/>
        <v>17 min</v>
      </c>
      <c r="I720" t="s">
        <v>2</v>
      </c>
      <c r="J720" t="s">
        <v>102</v>
      </c>
      <c r="K720" t="s">
        <v>225</v>
      </c>
      <c r="L720">
        <v>2.9</v>
      </c>
      <c r="M720" t="s">
        <v>52</v>
      </c>
      <c r="N720" t="str" cm="1">
        <f t="array" ref="N720">_xlfn.IFS(
    AND(HOUR(A720)&gt;=0, HOUR(A720)&lt;10), "Morning",
    AND(HOUR(A720)&gt;=10, HOUR(A720)&lt;15), "Afternoon",
    AND(HOUR(E720)&gt;=15, HOUR(E720)&lt;19), "Evening",
    AND(HOUR(E720)&gt;=19, HOUR(E720)&lt;=23), "Night"
)</f>
        <v>Evening</v>
      </c>
    </row>
    <row r="721" spans="1:14" x14ac:dyDescent="0.25">
      <c r="A721" s="3">
        <v>42608.779166666667</v>
      </c>
      <c r="B721" s="2">
        <f t="shared" si="68"/>
        <v>42608</v>
      </c>
      <c r="C721" t="str">
        <f t="shared" si="69"/>
        <v>August</v>
      </c>
      <c r="D721" t="str">
        <f t="shared" si="70"/>
        <v>Friday</v>
      </c>
      <c r="E721" t="str">
        <f t="shared" si="66"/>
        <v>06:42:00 PM</v>
      </c>
      <c r="F721" s="3">
        <v>42608.788888888892</v>
      </c>
      <c r="G721" s="4">
        <f t="shared" si="71"/>
        <v>0.78888888889196096</v>
      </c>
      <c r="H721" t="str">
        <f t="shared" si="67"/>
        <v>14 min</v>
      </c>
      <c r="I721" t="s">
        <v>2</v>
      </c>
      <c r="J721" t="s">
        <v>225</v>
      </c>
      <c r="K721" t="s">
        <v>225</v>
      </c>
      <c r="L721">
        <v>3.4</v>
      </c>
      <c r="M721" t="s">
        <v>52</v>
      </c>
      <c r="N721" t="str" cm="1">
        <f t="array" ref="N721">_xlfn.IFS(
    AND(HOUR(A721)&gt;=0, HOUR(A721)&lt;10), "Morning",
    AND(HOUR(A721)&gt;=10, HOUR(A721)&lt;15), "Afternoon",
    AND(HOUR(E721)&gt;=15, HOUR(E721)&lt;19), "Evening",
    AND(HOUR(E721)&gt;=19, HOUR(E721)&lt;=23), "Night"
)</f>
        <v>Evening</v>
      </c>
    </row>
    <row r="722" spans="1:14" x14ac:dyDescent="0.25">
      <c r="A722" s="3">
        <v>42608.813194444447</v>
      </c>
      <c r="B722" s="2">
        <f t="shared" si="68"/>
        <v>42608</v>
      </c>
      <c r="C722" t="str">
        <f t="shared" si="69"/>
        <v>August</v>
      </c>
      <c r="D722" t="str">
        <f t="shared" si="70"/>
        <v>Friday</v>
      </c>
      <c r="E722" t="str">
        <f t="shared" si="66"/>
        <v>07:31:00 PM</v>
      </c>
      <c r="F722" s="3">
        <v>42608.82916666667</v>
      </c>
      <c r="G722" s="4">
        <f t="shared" si="71"/>
        <v>0.82916666667006211</v>
      </c>
      <c r="H722" t="str">
        <f t="shared" si="67"/>
        <v>23 min</v>
      </c>
      <c r="I722" t="s">
        <v>2</v>
      </c>
      <c r="J722" t="s">
        <v>225</v>
      </c>
      <c r="K722" t="s">
        <v>225</v>
      </c>
      <c r="L722">
        <v>3.8</v>
      </c>
      <c r="M722" t="s">
        <v>52</v>
      </c>
      <c r="N722" t="str" cm="1">
        <f t="array" ref="N722">_xlfn.IFS(
    AND(HOUR(A722)&gt;=0, HOUR(A722)&lt;10), "Morning",
    AND(HOUR(A722)&gt;=10, HOUR(A722)&lt;15), "Afternoon",
    AND(HOUR(E722)&gt;=15, HOUR(E722)&lt;19), "Evening",
    AND(HOUR(E722)&gt;=19, HOUR(E722)&lt;=23), "Night"
)</f>
        <v>Night</v>
      </c>
    </row>
    <row r="723" spans="1:14" x14ac:dyDescent="0.25">
      <c r="A723" s="3">
        <v>42608.837500000001</v>
      </c>
      <c r="B723" s="2">
        <f t="shared" si="68"/>
        <v>42608</v>
      </c>
      <c r="C723" t="str">
        <f t="shared" si="69"/>
        <v>August</v>
      </c>
      <c r="D723" t="str">
        <f t="shared" si="70"/>
        <v>Friday</v>
      </c>
      <c r="E723" t="str">
        <f t="shared" si="66"/>
        <v>08:06:00 PM</v>
      </c>
      <c r="F723" s="3">
        <v>42608.844444444447</v>
      </c>
      <c r="G723" s="4">
        <f t="shared" si="71"/>
        <v>0.84444444444670808</v>
      </c>
      <c r="H723" t="str">
        <f t="shared" si="67"/>
        <v>10 min</v>
      </c>
      <c r="I723" t="s">
        <v>2</v>
      </c>
      <c r="J723" t="s">
        <v>225</v>
      </c>
      <c r="K723" t="s">
        <v>102</v>
      </c>
      <c r="L723">
        <v>5.9</v>
      </c>
      <c r="M723" t="s">
        <v>52</v>
      </c>
      <c r="N723" t="str" cm="1">
        <f t="array" ref="N723">_xlfn.IFS(
    AND(HOUR(A723)&gt;=0, HOUR(A723)&lt;10), "Morning",
    AND(HOUR(A723)&gt;=10, HOUR(A723)&lt;15), "Afternoon",
    AND(HOUR(E723)&gt;=15, HOUR(E723)&lt;19), "Evening",
    AND(HOUR(E723)&gt;=19, HOUR(E723)&lt;=23), "Night"
)</f>
        <v>Night</v>
      </c>
    </row>
    <row r="724" spans="1:14" x14ac:dyDescent="0.25">
      <c r="A724" s="3">
        <v>42609.398611111108</v>
      </c>
      <c r="B724" s="2">
        <f t="shared" si="68"/>
        <v>42609</v>
      </c>
      <c r="C724" t="str">
        <f t="shared" si="69"/>
        <v>August</v>
      </c>
      <c r="D724" t="str">
        <f t="shared" si="70"/>
        <v>Saturday</v>
      </c>
      <c r="E724" t="str">
        <f t="shared" si="66"/>
        <v>09:34:00 AM</v>
      </c>
      <c r="F724" s="3">
        <v>42609.424305555556</v>
      </c>
      <c r="G724" s="4">
        <f t="shared" si="71"/>
        <v>0.42430555555620231</v>
      </c>
      <c r="H724" t="str">
        <f t="shared" si="67"/>
        <v>37 min</v>
      </c>
      <c r="I724" t="s">
        <v>2</v>
      </c>
      <c r="J724" t="s">
        <v>102</v>
      </c>
      <c r="K724" t="s">
        <v>225</v>
      </c>
      <c r="L724">
        <v>9.6</v>
      </c>
      <c r="M724" t="s">
        <v>52</v>
      </c>
      <c r="N724" t="str" cm="1">
        <f t="array" ref="N724">_xlfn.IFS(
    AND(HOUR(A724)&gt;=0, HOUR(A724)&lt;10), "Morning",
    AND(HOUR(A724)&gt;=10, HOUR(A724)&lt;15), "Afternoon",
    AND(HOUR(E724)&gt;=15, HOUR(E724)&lt;19), "Evening",
    AND(HOUR(E724)&gt;=19, HOUR(E724)&lt;=23), "Night"
)</f>
        <v>Morning</v>
      </c>
    </row>
    <row r="725" spans="1:14" x14ac:dyDescent="0.25">
      <c r="A725" s="3">
        <v>42609.490972222222</v>
      </c>
      <c r="B725" s="2">
        <f t="shared" si="68"/>
        <v>42609</v>
      </c>
      <c r="C725" t="str">
        <f t="shared" si="69"/>
        <v>August</v>
      </c>
      <c r="D725" t="str">
        <f t="shared" si="70"/>
        <v>Saturday</v>
      </c>
      <c r="E725" t="str">
        <f t="shared" si="66"/>
        <v>11:47:00 AM</v>
      </c>
      <c r="F725" s="3">
        <v>42609.504166666666</v>
      </c>
      <c r="G725" s="4">
        <f t="shared" si="71"/>
        <v>0.50416666666569654</v>
      </c>
      <c r="H725" t="str">
        <f t="shared" si="67"/>
        <v>19 min</v>
      </c>
      <c r="I725" t="s">
        <v>2</v>
      </c>
      <c r="J725" t="s">
        <v>225</v>
      </c>
      <c r="K725" t="s">
        <v>225</v>
      </c>
      <c r="L725">
        <v>7</v>
      </c>
      <c r="M725" t="s">
        <v>52</v>
      </c>
      <c r="N725" t="str" cm="1">
        <f t="array" ref="N725">_xlfn.IFS(
    AND(HOUR(A725)&gt;=0, HOUR(A725)&lt;10), "Morning",
    AND(HOUR(A725)&gt;=10, HOUR(A725)&lt;15), "Afternoon",
    AND(HOUR(E725)&gt;=15, HOUR(E725)&lt;19), "Evening",
    AND(HOUR(E725)&gt;=19, HOUR(E725)&lt;=23), "Night"
)</f>
        <v>Afternoon</v>
      </c>
    </row>
    <row r="726" spans="1:14" x14ac:dyDescent="0.25">
      <c r="A726" s="3">
        <v>42609.508333333331</v>
      </c>
      <c r="B726" s="2">
        <f t="shared" si="68"/>
        <v>42609</v>
      </c>
      <c r="C726" t="str">
        <f t="shared" si="69"/>
        <v>August</v>
      </c>
      <c r="D726" t="str">
        <f t="shared" si="70"/>
        <v>Saturday</v>
      </c>
      <c r="E726" t="str">
        <f t="shared" si="66"/>
        <v>12:12:00 PM</v>
      </c>
      <c r="F726" s="3">
        <v>42609.511805555558</v>
      </c>
      <c r="G726" s="4">
        <f t="shared" si="71"/>
        <v>0.5118055555576575</v>
      </c>
      <c r="H726" t="str">
        <f t="shared" si="67"/>
        <v>5 min</v>
      </c>
      <c r="I726" t="s">
        <v>2</v>
      </c>
      <c r="J726" t="s">
        <v>225</v>
      </c>
      <c r="K726" t="s">
        <v>225</v>
      </c>
      <c r="L726">
        <v>0.9</v>
      </c>
      <c r="M726" t="s">
        <v>52</v>
      </c>
      <c r="N726" t="str" cm="1">
        <f t="array" ref="N726">_xlfn.IFS(
    AND(HOUR(A726)&gt;=0, HOUR(A726)&lt;10), "Morning",
    AND(HOUR(A726)&gt;=10, HOUR(A726)&lt;15), "Afternoon",
    AND(HOUR(E726)&gt;=15, HOUR(E726)&lt;19), "Evening",
    AND(HOUR(E726)&gt;=19, HOUR(E726)&lt;=23), "Night"
)</f>
        <v>Afternoon</v>
      </c>
    </row>
    <row r="727" spans="1:14" x14ac:dyDescent="0.25">
      <c r="A727" s="3">
        <v>42609.584027777775</v>
      </c>
      <c r="B727" s="2">
        <f t="shared" si="68"/>
        <v>42609</v>
      </c>
      <c r="C727" t="str">
        <f t="shared" si="69"/>
        <v>August</v>
      </c>
      <c r="D727" t="str">
        <f t="shared" si="70"/>
        <v>Saturday</v>
      </c>
      <c r="E727" t="str">
        <f t="shared" si="66"/>
        <v>02:01:00 PM</v>
      </c>
      <c r="F727" s="3">
        <v>42609.655555555553</v>
      </c>
      <c r="G727" s="4">
        <f t="shared" si="71"/>
        <v>0.65555555555329192</v>
      </c>
      <c r="H727" t="str">
        <f t="shared" si="67"/>
        <v>103 min</v>
      </c>
      <c r="I727" t="s">
        <v>2</v>
      </c>
      <c r="J727" t="s">
        <v>225</v>
      </c>
      <c r="K727" t="s">
        <v>102</v>
      </c>
      <c r="L727">
        <v>86.6</v>
      </c>
      <c r="M727" t="s">
        <v>52</v>
      </c>
      <c r="N727" t="str" cm="1">
        <f t="array" ref="N727">_xlfn.IFS(
    AND(HOUR(A727)&gt;=0, HOUR(A727)&lt;10), "Morning",
    AND(HOUR(A727)&gt;=10, HOUR(A727)&lt;15), "Afternoon",
    AND(HOUR(E727)&gt;=15, HOUR(E727)&lt;19), "Evening",
    AND(HOUR(E727)&gt;=19, HOUR(E727)&lt;=23), "Night"
)</f>
        <v>Afternoon</v>
      </c>
    </row>
    <row r="728" spans="1:14" x14ac:dyDescent="0.25">
      <c r="A728" s="3">
        <v>42609.677083333336</v>
      </c>
      <c r="B728" s="2">
        <f t="shared" si="68"/>
        <v>42609</v>
      </c>
      <c r="C728" t="str">
        <f t="shared" si="69"/>
        <v>August</v>
      </c>
      <c r="D728" t="str">
        <f t="shared" si="70"/>
        <v>Saturday</v>
      </c>
      <c r="E728" t="str">
        <f t="shared" si="66"/>
        <v>04:15:00 PM</v>
      </c>
      <c r="F728" s="3">
        <v>42609.800694444442</v>
      </c>
      <c r="G728" s="4">
        <f t="shared" si="71"/>
        <v>0.8006944444423425</v>
      </c>
      <c r="H728" t="str">
        <f t="shared" si="67"/>
        <v>178 min</v>
      </c>
      <c r="I728" t="s">
        <v>2</v>
      </c>
      <c r="J728" t="s">
        <v>102</v>
      </c>
      <c r="K728" t="s">
        <v>102</v>
      </c>
      <c r="L728">
        <v>156.9</v>
      </c>
      <c r="M728" t="s">
        <v>52</v>
      </c>
      <c r="N728" t="str" cm="1">
        <f t="array" ref="N728">_xlfn.IFS(
    AND(HOUR(A728)&gt;=0, HOUR(A728)&lt;10), "Morning",
    AND(HOUR(A728)&gt;=10, HOUR(A728)&lt;15), "Afternoon",
    AND(HOUR(E728)&gt;=15, HOUR(E728)&lt;19), "Evening",
    AND(HOUR(E728)&gt;=19, HOUR(E728)&lt;=23), "Night"
)</f>
        <v>Evening</v>
      </c>
    </row>
    <row r="729" spans="1:14" x14ac:dyDescent="0.25">
      <c r="A729" s="3">
        <v>42610.414583333331</v>
      </c>
      <c r="B729" s="2">
        <f t="shared" si="68"/>
        <v>42610</v>
      </c>
      <c r="C729" t="str">
        <f t="shared" si="69"/>
        <v>August</v>
      </c>
      <c r="D729" t="str">
        <f t="shared" si="70"/>
        <v>Sunday</v>
      </c>
      <c r="E729" t="str">
        <f t="shared" si="66"/>
        <v>09:57:00 AM</v>
      </c>
      <c r="F729" s="3">
        <v>42610.429166666669</v>
      </c>
      <c r="G729" s="4">
        <f t="shared" si="71"/>
        <v>0.42916666666860692</v>
      </c>
      <c r="H729" t="str">
        <f t="shared" si="67"/>
        <v>21 min</v>
      </c>
      <c r="I729" t="s">
        <v>2</v>
      </c>
      <c r="J729" t="s">
        <v>102</v>
      </c>
      <c r="K729" t="s">
        <v>107</v>
      </c>
      <c r="L729">
        <v>10.1</v>
      </c>
      <c r="M729" t="s">
        <v>52</v>
      </c>
      <c r="N729" t="str" cm="1">
        <f t="array" ref="N729">_xlfn.IFS(
    AND(HOUR(A729)&gt;=0, HOUR(A729)&lt;10), "Morning",
    AND(HOUR(A729)&gt;=10, HOUR(A729)&lt;15), "Afternoon",
    AND(HOUR(E729)&gt;=15, HOUR(E729)&lt;19), "Evening",
    AND(HOUR(E729)&gt;=19, HOUR(E729)&lt;=23), "Night"
)</f>
        <v>Morning</v>
      </c>
    </row>
    <row r="730" spans="1:14" x14ac:dyDescent="0.25">
      <c r="A730" s="3">
        <v>42610.693749999999</v>
      </c>
      <c r="B730" s="2">
        <f t="shared" si="68"/>
        <v>42610</v>
      </c>
      <c r="C730" t="str">
        <f t="shared" si="69"/>
        <v>August</v>
      </c>
      <c r="D730" t="str">
        <f t="shared" si="70"/>
        <v>Sunday</v>
      </c>
      <c r="E730" t="str">
        <f t="shared" si="66"/>
        <v>04:39:00 PM</v>
      </c>
      <c r="F730" s="3">
        <v>42610.704861111109</v>
      </c>
      <c r="G730" s="4">
        <f t="shared" si="71"/>
        <v>0.70486111110949423</v>
      </c>
      <c r="H730" t="str">
        <f t="shared" si="67"/>
        <v>16 min</v>
      </c>
      <c r="I730" t="s">
        <v>2</v>
      </c>
      <c r="J730" t="s">
        <v>107</v>
      </c>
      <c r="K730" t="s">
        <v>105</v>
      </c>
      <c r="L730">
        <v>6.2</v>
      </c>
      <c r="M730" t="s">
        <v>52</v>
      </c>
      <c r="N730" t="str" cm="1">
        <f t="array" ref="N730">_xlfn.IFS(
    AND(HOUR(A730)&gt;=0, HOUR(A730)&lt;10), "Morning",
    AND(HOUR(A730)&gt;=10, HOUR(A730)&lt;15), "Afternoon",
    AND(HOUR(E730)&gt;=15, HOUR(E730)&lt;19), "Evening",
    AND(HOUR(E730)&gt;=19, HOUR(E730)&lt;=23), "Night"
)</f>
        <v>Evening</v>
      </c>
    </row>
    <row r="731" spans="1:14" x14ac:dyDescent="0.25">
      <c r="A731" s="3">
        <v>42610.734027777777</v>
      </c>
      <c r="B731" s="2">
        <f t="shared" si="68"/>
        <v>42610</v>
      </c>
      <c r="C731" t="str">
        <f t="shared" si="69"/>
        <v>August</v>
      </c>
      <c r="D731" t="str">
        <f t="shared" si="70"/>
        <v>Sunday</v>
      </c>
      <c r="E731" t="str">
        <f t="shared" si="66"/>
        <v>05:37:00 PM</v>
      </c>
      <c r="F731" s="3">
        <v>42610.746527777781</v>
      </c>
      <c r="G731" s="4">
        <f t="shared" si="71"/>
        <v>0.74652777778101154</v>
      </c>
      <c r="H731" t="str">
        <f t="shared" si="67"/>
        <v>18 min</v>
      </c>
      <c r="I731" t="s">
        <v>2</v>
      </c>
      <c r="J731" t="s">
        <v>105</v>
      </c>
      <c r="K731" t="s">
        <v>105</v>
      </c>
      <c r="L731">
        <v>5.3</v>
      </c>
      <c r="M731" t="s">
        <v>52</v>
      </c>
      <c r="N731" t="str" cm="1">
        <f t="array" ref="N731">_xlfn.IFS(
    AND(HOUR(A731)&gt;=0, HOUR(A731)&lt;10), "Morning",
    AND(HOUR(A731)&gt;=10, HOUR(A731)&lt;15), "Afternoon",
    AND(HOUR(E731)&gt;=15, HOUR(E731)&lt;19), "Evening",
    AND(HOUR(E731)&gt;=19, HOUR(E731)&lt;=23), "Night"
)</f>
        <v>Evening</v>
      </c>
    </row>
    <row r="732" spans="1:14" x14ac:dyDescent="0.25">
      <c r="A732" s="3">
        <v>42610.885416666664</v>
      </c>
      <c r="B732" s="2">
        <f t="shared" si="68"/>
        <v>42610</v>
      </c>
      <c r="C732" t="str">
        <f t="shared" si="69"/>
        <v>August</v>
      </c>
      <c r="D732" t="str">
        <f t="shared" si="70"/>
        <v>Sunday</v>
      </c>
      <c r="E732" t="str">
        <f t="shared" si="66"/>
        <v>09:15:00 PM</v>
      </c>
      <c r="F732" s="3">
        <v>42610.915972222225</v>
      </c>
      <c r="G732" s="4">
        <f t="shared" si="71"/>
        <v>0.91597222222480923</v>
      </c>
      <c r="H732" t="str">
        <f t="shared" si="67"/>
        <v>44 min</v>
      </c>
      <c r="I732" t="s">
        <v>2</v>
      </c>
      <c r="J732" t="s">
        <v>105</v>
      </c>
      <c r="K732" t="s">
        <v>102</v>
      </c>
      <c r="L732">
        <v>12.1</v>
      </c>
      <c r="M732" t="s">
        <v>52</v>
      </c>
      <c r="N732" t="str" cm="1">
        <f t="array" ref="N732">_xlfn.IFS(
    AND(HOUR(A732)&gt;=0, HOUR(A732)&lt;10), "Morning",
    AND(HOUR(A732)&gt;=10, HOUR(A732)&lt;15), "Afternoon",
    AND(HOUR(E732)&gt;=15, HOUR(E732)&lt;19), "Evening",
    AND(HOUR(E732)&gt;=19, HOUR(E732)&lt;=23), "Night"
)</f>
        <v>Night</v>
      </c>
    </row>
    <row r="733" spans="1:14" x14ac:dyDescent="0.25">
      <c r="A733" s="3">
        <v>42611.501388888886</v>
      </c>
      <c r="B733" s="2">
        <f t="shared" si="68"/>
        <v>42611</v>
      </c>
      <c r="C733" t="str">
        <f t="shared" si="69"/>
        <v>August</v>
      </c>
      <c r="D733" t="str">
        <f t="shared" si="70"/>
        <v>Monday</v>
      </c>
      <c r="E733" t="str">
        <f t="shared" si="66"/>
        <v>12:02:00 PM</v>
      </c>
      <c r="F733" s="3">
        <v>42611.521527777775</v>
      </c>
      <c r="G733" s="4">
        <f t="shared" si="71"/>
        <v>0.52152777777519077</v>
      </c>
      <c r="H733" t="str">
        <f t="shared" si="67"/>
        <v>29 min</v>
      </c>
      <c r="I733" t="s">
        <v>2</v>
      </c>
      <c r="J733" t="s">
        <v>102</v>
      </c>
      <c r="K733" t="s">
        <v>105</v>
      </c>
      <c r="L733">
        <v>10.8</v>
      </c>
      <c r="M733" t="s">
        <v>52</v>
      </c>
      <c r="N733" t="str" cm="1">
        <f t="array" ref="N733">_xlfn.IFS(
    AND(HOUR(A733)&gt;=0, HOUR(A733)&lt;10), "Morning",
    AND(HOUR(A733)&gt;=10, HOUR(A733)&lt;15), "Afternoon",
    AND(HOUR(E733)&gt;=15, HOUR(E733)&lt;19), "Evening",
    AND(HOUR(E733)&gt;=19, HOUR(E733)&lt;=23), "Night"
)</f>
        <v>Afternoon</v>
      </c>
    </row>
    <row r="734" spans="1:14" x14ac:dyDescent="0.25">
      <c r="A734" s="3">
        <v>42611.568055555559</v>
      </c>
      <c r="B734" s="2">
        <f t="shared" si="68"/>
        <v>42611</v>
      </c>
      <c r="C734" t="str">
        <f t="shared" si="69"/>
        <v>August</v>
      </c>
      <c r="D734" t="str">
        <f t="shared" si="70"/>
        <v>Monday</v>
      </c>
      <c r="E734" t="str">
        <f t="shared" si="66"/>
        <v>01:38:00 PM</v>
      </c>
      <c r="F734" s="3">
        <v>42611.574999999997</v>
      </c>
      <c r="G734" s="4">
        <f t="shared" si="71"/>
        <v>0.57499999999708962</v>
      </c>
      <c r="H734" t="str">
        <f t="shared" si="67"/>
        <v>10 min</v>
      </c>
      <c r="I734" t="s">
        <v>2</v>
      </c>
      <c r="J734" t="s">
        <v>105</v>
      </c>
      <c r="K734" t="s">
        <v>105</v>
      </c>
      <c r="L734">
        <v>4.3</v>
      </c>
      <c r="M734" t="s">
        <v>52</v>
      </c>
      <c r="N734" t="str" cm="1">
        <f t="array" ref="N734">_xlfn.IFS(
    AND(HOUR(A734)&gt;=0, HOUR(A734)&lt;10), "Morning",
    AND(HOUR(A734)&gt;=10, HOUR(A734)&lt;15), "Afternoon",
    AND(HOUR(E734)&gt;=15, HOUR(E734)&lt;19), "Evening",
    AND(HOUR(E734)&gt;=19, HOUR(E734)&lt;=23), "Night"
)</f>
        <v>Afternoon</v>
      </c>
    </row>
    <row r="735" spans="1:14" x14ac:dyDescent="0.25">
      <c r="A735" s="3">
        <v>42611.604861111111</v>
      </c>
      <c r="B735" s="2">
        <f t="shared" si="68"/>
        <v>42611</v>
      </c>
      <c r="C735" t="str">
        <f t="shared" si="69"/>
        <v>August</v>
      </c>
      <c r="D735" t="str">
        <f t="shared" si="70"/>
        <v>Monday</v>
      </c>
      <c r="E735" t="str">
        <f t="shared" si="66"/>
        <v>02:31:00 PM</v>
      </c>
      <c r="F735" s="3">
        <v>42611.611805555556</v>
      </c>
      <c r="G735" s="4">
        <f t="shared" si="71"/>
        <v>0.61180555555620231</v>
      </c>
      <c r="H735" t="str">
        <f t="shared" si="67"/>
        <v>10 min</v>
      </c>
      <c r="I735" t="s">
        <v>2</v>
      </c>
      <c r="J735" t="s">
        <v>105</v>
      </c>
      <c r="K735" t="s">
        <v>105</v>
      </c>
      <c r="L735">
        <v>2.5</v>
      </c>
      <c r="M735" t="s">
        <v>52</v>
      </c>
      <c r="N735" t="str" cm="1">
        <f t="array" ref="N735">_xlfn.IFS(
    AND(HOUR(A735)&gt;=0, HOUR(A735)&lt;10), "Morning",
    AND(HOUR(A735)&gt;=10, HOUR(A735)&lt;15), "Afternoon",
    AND(HOUR(E735)&gt;=15, HOUR(E735)&lt;19), "Evening",
    AND(HOUR(E735)&gt;=19, HOUR(E735)&lt;=23), "Night"
)</f>
        <v>Afternoon</v>
      </c>
    </row>
    <row r="736" spans="1:14" x14ac:dyDescent="0.25">
      <c r="A736" s="3">
        <v>42611.617361111108</v>
      </c>
      <c r="B736" s="2">
        <f t="shared" si="68"/>
        <v>42611</v>
      </c>
      <c r="C736" t="str">
        <f t="shared" si="69"/>
        <v>August</v>
      </c>
      <c r="D736" t="str">
        <f t="shared" si="70"/>
        <v>Monday</v>
      </c>
      <c r="E736" t="str">
        <f t="shared" si="66"/>
        <v>02:49:00 PM</v>
      </c>
      <c r="F736" s="3">
        <v>42611.62777777778</v>
      </c>
      <c r="G736" s="4">
        <f t="shared" si="71"/>
        <v>0.62777777777955635</v>
      </c>
      <c r="H736" t="str">
        <f t="shared" si="67"/>
        <v>15 min</v>
      </c>
      <c r="I736" t="s">
        <v>2</v>
      </c>
      <c r="J736" t="s">
        <v>105</v>
      </c>
      <c r="K736" t="s">
        <v>102</v>
      </c>
      <c r="L736">
        <v>5.7</v>
      </c>
      <c r="M736" t="s">
        <v>11</v>
      </c>
      <c r="N736" t="str" cm="1">
        <f t="array" ref="N736">_xlfn.IFS(
    AND(HOUR(A736)&gt;=0, HOUR(A736)&lt;10), "Morning",
    AND(HOUR(A736)&gt;=10, HOUR(A736)&lt;15), "Afternoon",
    AND(HOUR(E736)&gt;=15, HOUR(E736)&lt;19), "Evening",
    AND(HOUR(E736)&gt;=19, HOUR(E736)&lt;=23), "Night"
)</f>
        <v>Afternoon</v>
      </c>
    </row>
    <row r="737" spans="1:14" x14ac:dyDescent="0.25">
      <c r="A737" s="3">
        <v>42611.65902777778</v>
      </c>
      <c r="B737" s="2">
        <f t="shared" si="68"/>
        <v>42611</v>
      </c>
      <c r="C737" t="str">
        <f t="shared" si="69"/>
        <v>August</v>
      </c>
      <c r="D737" t="str">
        <f t="shared" si="70"/>
        <v>Monday</v>
      </c>
      <c r="E737" t="str">
        <f t="shared" si="66"/>
        <v>03:49:00 PM</v>
      </c>
      <c r="F737" s="3">
        <v>42611.665972222225</v>
      </c>
      <c r="G737" s="4">
        <f t="shared" si="71"/>
        <v>0.66597222222480923</v>
      </c>
      <c r="H737" t="str">
        <f t="shared" si="67"/>
        <v>10 min</v>
      </c>
      <c r="I737" t="s">
        <v>2</v>
      </c>
      <c r="J737" t="s">
        <v>102</v>
      </c>
      <c r="K737" t="s">
        <v>105</v>
      </c>
      <c r="L737">
        <v>2.8</v>
      </c>
      <c r="M737" t="s">
        <v>52</v>
      </c>
      <c r="N737" t="str" cm="1">
        <f t="array" ref="N737">_xlfn.IFS(
    AND(HOUR(A737)&gt;=0, HOUR(A737)&lt;10), "Morning",
    AND(HOUR(A737)&gt;=10, HOUR(A737)&lt;15), "Afternoon",
    AND(HOUR(E737)&gt;=15, HOUR(E737)&lt;19), "Evening",
    AND(HOUR(E737)&gt;=19, HOUR(E737)&lt;=23), "Night"
)</f>
        <v>Evening</v>
      </c>
    </row>
    <row r="738" spans="1:14" x14ac:dyDescent="0.25">
      <c r="A738" s="3">
        <v>42611.67083333333</v>
      </c>
      <c r="B738" s="2">
        <f t="shared" si="68"/>
        <v>42611</v>
      </c>
      <c r="C738" t="str">
        <f t="shared" si="69"/>
        <v>August</v>
      </c>
      <c r="D738" t="str">
        <f t="shared" si="70"/>
        <v>Monday</v>
      </c>
      <c r="E738" t="str">
        <f t="shared" si="66"/>
        <v>04:06:00 PM</v>
      </c>
      <c r="F738" s="3">
        <v>42611.681250000001</v>
      </c>
      <c r="G738" s="4">
        <f t="shared" si="71"/>
        <v>0.68125000000145519</v>
      </c>
      <c r="H738" t="str">
        <f t="shared" si="67"/>
        <v>15 min</v>
      </c>
      <c r="I738" t="s">
        <v>2</v>
      </c>
      <c r="J738" t="s">
        <v>105</v>
      </c>
      <c r="K738" t="s">
        <v>102</v>
      </c>
      <c r="L738">
        <v>4</v>
      </c>
      <c r="M738" t="s">
        <v>52</v>
      </c>
      <c r="N738" t="str" cm="1">
        <f t="array" ref="N738">_xlfn.IFS(
    AND(HOUR(A738)&gt;=0, HOUR(A738)&lt;10), "Morning",
    AND(HOUR(A738)&gt;=10, HOUR(A738)&lt;15), "Afternoon",
    AND(HOUR(E738)&gt;=15, HOUR(E738)&lt;19), "Evening",
    AND(HOUR(E738)&gt;=19, HOUR(E738)&lt;=23), "Night"
)</f>
        <v>Evening</v>
      </c>
    </row>
    <row r="739" spans="1:14" x14ac:dyDescent="0.25">
      <c r="A739" s="3">
        <v>42611.724999999999</v>
      </c>
      <c r="B739" s="2">
        <f t="shared" si="68"/>
        <v>42611</v>
      </c>
      <c r="C739" t="str">
        <f t="shared" si="69"/>
        <v>August</v>
      </c>
      <c r="D739" t="str">
        <f t="shared" si="70"/>
        <v>Monday</v>
      </c>
      <c r="E739" t="str">
        <f t="shared" si="66"/>
        <v>05:24:00 PM</v>
      </c>
      <c r="F739" s="3">
        <v>42611.736805555556</v>
      </c>
      <c r="G739" s="4">
        <f t="shared" si="71"/>
        <v>0.73680555555620231</v>
      </c>
      <c r="H739" t="str">
        <f t="shared" si="67"/>
        <v>17 min</v>
      </c>
      <c r="I739" t="s">
        <v>2</v>
      </c>
      <c r="J739" t="s">
        <v>102</v>
      </c>
      <c r="K739" t="s">
        <v>105</v>
      </c>
      <c r="L739">
        <v>5.5</v>
      </c>
      <c r="M739" t="s">
        <v>52</v>
      </c>
      <c r="N739" t="str" cm="1">
        <f t="array" ref="N739">_xlfn.IFS(
    AND(HOUR(A739)&gt;=0, HOUR(A739)&lt;10), "Morning",
    AND(HOUR(A739)&gt;=10, HOUR(A739)&lt;15), "Afternoon",
    AND(HOUR(E739)&gt;=15, HOUR(E739)&lt;19), "Evening",
    AND(HOUR(E739)&gt;=19, HOUR(E739)&lt;=23), "Night"
)</f>
        <v>Evening</v>
      </c>
    </row>
    <row r="740" spans="1:14" x14ac:dyDescent="0.25">
      <c r="A740" s="3">
        <v>42611.768750000003</v>
      </c>
      <c r="B740" s="2">
        <f t="shared" si="68"/>
        <v>42611</v>
      </c>
      <c r="C740" t="str">
        <f t="shared" si="69"/>
        <v>August</v>
      </c>
      <c r="D740" t="str">
        <f t="shared" si="70"/>
        <v>Monday</v>
      </c>
      <c r="E740" t="str">
        <f t="shared" si="66"/>
        <v>06:27:00 PM</v>
      </c>
      <c r="F740" s="3">
        <v>42611.775000000001</v>
      </c>
      <c r="G740" s="4">
        <f t="shared" si="71"/>
        <v>0.77500000000145519</v>
      </c>
      <c r="H740" t="str">
        <f t="shared" si="67"/>
        <v>9 min</v>
      </c>
      <c r="I740" t="s">
        <v>2</v>
      </c>
      <c r="J740" t="s">
        <v>105</v>
      </c>
      <c r="K740" t="s">
        <v>105</v>
      </c>
      <c r="L740">
        <v>2.6</v>
      </c>
      <c r="M740" t="s">
        <v>52</v>
      </c>
      <c r="N740" t="str" cm="1">
        <f t="array" ref="N740">_xlfn.IFS(
    AND(HOUR(A740)&gt;=0, HOUR(A740)&lt;10), "Morning",
    AND(HOUR(A740)&gt;=10, HOUR(A740)&lt;15), "Afternoon",
    AND(HOUR(E740)&gt;=15, HOUR(E740)&lt;19), "Evening",
    AND(HOUR(E740)&gt;=19, HOUR(E740)&lt;=23), "Night"
)</f>
        <v>Evening</v>
      </c>
    </row>
    <row r="741" spans="1:14" x14ac:dyDescent="0.25">
      <c r="A741" s="3">
        <v>42612.495138888888</v>
      </c>
      <c r="B741" s="2">
        <f t="shared" si="68"/>
        <v>42612</v>
      </c>
      <c r="C741" t="str">
        <f t="shared" si="69"/>
        <v>August</v>
      </c>
      <c r="D741" t="str">
        <f t="shared" si="70"/>
        <v>Tuesday</v>
      </c>
      <c r="E741" t="str">
        <f t="shared" si="66"/>
        <v>11:53:00 AM</v>
      </c>
      <c r="F741" s="3">
        <v>42612.503472222219</v>
      </c>
      <c r="G741" s="4">
        <f t="shared" si="71"/>
        <v>0.50347222221898846</v>
      </c>
      <c r="H741" t="str">
        <f t="shared" si="67"/>
        <v>12 min</v>
      </c>
      <c r="I741" t="s">
        <v>2</v>
      </c>
      <c r="J741" t="s">
        <v>102</v>
      </c>
      <c r="K741" t="s">
        <v>102</v>
      </c>
      <c r="L741">
        <v>2.1</v>
      </c>
      <c r="M741" t="s">
        <v>52</v>
      </c>
      <c r="N741" t="str" cm="1">
        <f t="array" ref="N741">_xlfn.IFS(
    AND(HOUR(A741)&gt;=0, HOUR(A741)&lt;10), "Morning",
    AND(HOUR(A741)&gt;=10, HOUR(A741)&lt;15), "Afternoon",
    AND(HOUR(E741)&gt;=15, HOUR(E741)&lt;19), "Evening",
    AND(HOUR(E741)&gt;=19, HOUR(E741)&lt;=23), "Night"
)</f>
        <v>Afternoon</v>
      </c>
    </row>
    <row r="742" spans="1:14" x14ac:dyDescent="0.25">
      <c r="A742" s="3">
        <v>42612.531944444447</v>
      </c>
      <c r="B742" s="2">
        <f t="shared" si="68"/>
        <v>42612</v>
      </c>
      <c r="C742" t="str">
        <f t="shared" si="69"/>
        <v>August</v>
      </c>
      <c r="D742" t="str">
        <f t="shared" si="70"/>
        <v>Tuesday</v>
      </c>
      <c r="E742" t="str">
        <f t="shared" si="66"/>
        <v>12:46:00 PM</v>
      </c>
      <c r="F742" s="3">
        <v>42612.54791666667</v>
      </c>
      <c r="G742" s="4">
        <f t="shared" si="71"/>
        <v>0.54791666667006211</v>
      </c>
      <c r="H742" t="str">
        <f t="shared" si="67"/>
        <v>23 min</v>
      </c>
      <c r="I742" t="s">
        <v>2</v>
      </c>
      <c r="J742" t="s">
        <v>102</v>
      </c>
      <c r="K742" t="s">
        <v>105</v>
      </c>
      <c r="L742">
        <v>8.8000000000000007</v>
      </c>
      <c r="M742" t="s">
        <v>52</v>
      </c>
      <c r="N742" t="str" cm="1">
        <f t="array" ref="N742">_xlfn.IFS(
    AND(HOUR(A742)&gt;=0, HOUR(A742)&lt;10), "Morning",
    AND(HOUR(A742)&gt;=10, HOUR(A742)&lt;15), "Afternoon",
    AND(HOUR(E742)&gt;=15, HOUR(E742)&lt;19), "Evening",
    AND(HOUR(E742)&gt;=19, HOUR(E742)&lt;=23), "Night"
)</f>
        <v>Afternoon</v>
      </c>
    </row>
    <row r="743" spans="1:14" x14ac:dyDescent="0.25">
      <c r="A743" s="3">
        <v>42612.559027777781</v>
      </c>
      <c r="B743" s="2">
        <f t="shared" si="68"/>
        <v>42612</v>
      </c>
      <c r="C743" t="str">
        <f t="shared" si="69"/>
        <v>August</v>
      </c>
      <c r="D743" t="str">
        <f t="shared" si="70"/>
        <v>Tuesday</v>
      </c>
      <c r="E743" t="str">
        <f t="shared" si="66"/>
        <v>01:25:00 PM</v>
      </c>
      <c r="F743" s="3">
        <v>42612.573611111111</v>
      </c>
      <c r="G743" s="4">
        <f t="shared" si="71"/>
        <v>0.57361111111094942</v>
      </c>
      <c r="H743" t="str">
        <f t="shared" si="67"/>
        <v>21 min</v>
      </c>
      <c r="I743" t="s">
        <v>2</v>
      </c>
      <c r="J743" t="s">
        <v>105</v>
      </c>
      <c r="K743" t="s">
        <v>105</v>
      </c>
      <c r="L743">
        <v>4.4000000000000004</v>
      </c>
      <c r="M743" t="s">
        <v>52</v>
      </c>
      <c r="N743" t="str" cm="1">
        <f t="array" ref="N743">_xlfn.IFS(
    AND(HOUR(A743)&gt;=0, HOUR(A743)&lt;10), "Morning",
    AND(HOUR(A743)&gt;=10, HOUR(A743)&lt;15), "Afternoon",
    AND(HOUR(E743)&gt;=15, HOUR(E743)&lt;19), "Evening",
    AND(HOUR(E743)&gt;=19, HOUR(E743)&lt;=23), "Night"
)</f>
        <v>Afternoon</v>
      </c>
    </row>
    <row r="744" spans="1:14" x14ac:dyDescent="0.25">
      <c r="A744" s="3">
        <v>42612.583333333336</v>
      </c>
      <c r="B744" s="2">
        <f t="shared" si="68"/>
        <v>42612</v>
      </c>
      <c r="C744" t="str">
        <f t="shared" si="69"/>
        <v>August</v>
      </c>
      <c r="D744" t="str">
        <f t="shared" si="70"/>
        <v>Tuesday</v>
      </c>
      <c r="E744" t="str">
        <f t="shared" si="66"/>
        <v>02:00:00 PM</v>
      </c>
      <c r="F744" s="3">
        <v>42612.597222222219</v>
      </c>
      <c r="G744" s="4">
        <f t="shared" si="71"/>
        <v>0.59722222221898846</v>
      </c>
      <c r="H744" t="str">
        <f t="shared" si="67"/>
        <v>20 min</v>
      </c>
      <c r="I744" t="s">
        <v>2</v>
      </c>
      <c r="J744" t="s">
        <v>105</v>
      </c>
      <c r="K744" t="s">
        <v>102</v>
      </c>
      <c r="L744">
        <v>5.3</v>
      </c>
      <c r="M744" t="s">
        <v>52</v>
      </c>
      <c r="N744" t="str" cm="1">
        <f t="array" ref="N744">_xlfn.IFS(
    AND(HOUR(A744)&gt;=0, HOUR(A744)&lt;10), "Morning",
    AND(HOUR(A744)&gt;=10, HOUR(A744)&lt;15), "Afternoon",
    AND(HOUR(E744)&gt;=15, HOUR(E744)&lt;19), "Evening",
    AND(HOUR(E744)&gt;=19, HOUR(E744)&lt;=23), "Night"
)</f>
        <v>Afternoon</v>
      </c>
    </row>
    <row r="745" spans="1:14" x14ac:dyDescent="0.25">
      <c r="A745" s="3">
        <v>42612.727083333331</v>
      </c>
      <c r="B745" s="2">
        <f t="shared" si="68"/>
        <v>42612</v>
      </c>
      <c r="C745" t="str">
        <f t="shared" si="69"/>
        <v>August</v>
      </c>
      <c r="D745" t="str">
        <f t="shared" si="70"/>
        <v>Tuesday</v>
      </c>
      <c r="E745" t="str">
        <f t="shared" si="66"/>
        <v>05:27:00 PM</v>
      </c>
      <c r="F745" s="3">
        <v>42612.756249999999</v>
      </c>
      <c r="G745" s="4">
        <f t="shared" si="71"/>
        <v>0.75624999999854481</v>
      </c>
      <c r="H745" t="str">
        <f t="shared" si="67"/>
        <v>42 min</v>
      </c>
      <c r="I745" t="s">
        <v>2</v>
      </c>
      <c r="J745" t="s">
        <v>102</v>
      </c>
      <c r="K745" t="s">
        <v>102</v>
      </c>
      <c r="L745">
        <v>13</v>
      </c>
      <c r="M745" t="s">
        <v>52</v>
      </c>
      <c r="N745" t="str" cm="1">
        <f t="array" ref="N745">_xlfn.IFS(
    AND(HOUR(A745)&gt;=0, HOUR(A745)&lt;10), "Morning",
    AND(HOUR(A745)&gt;=10, HOUR(A745)&lt;15), "Afternoon",
    AND(HOUR(E745)&gt;=15, HOUR(E745)&lt;19), "Evening",
    AND(HOUR(E745)&gt;=19, HOUR(E745)&lt;=23), "Night"
)</f>
        <v>Evening</v>
      </c>
    </row>
    <row r="746" spans="1:14" x14ac:dyDescent="0.25">
      <c r="A746" s="3">
        <v>42614.493750000001</v>
      </c>
      <c r="B746" s="2">
        <f t="shared" si="68"/>
        <v>42614</v>
      </c>
      <c r="C746" t="str">
        <f t="shared" si="69"/>
        <v>September</v>
      </c>
      <c r="D746" t="str">
        <f t="shared" si="70"/>
        <v>Thursday</v>
      </c>
      <c r="E746" t="str">
        <f t="shared" si="66"/>
        <v>11:51:00 AM</v>
      </c>
      <c r="F746" s="3">
        <v>42614.51666666667</v>
      </c>
      <c r="G746" s="4">
        <f t="shared" si="71"/>
        <v>0.51666666667006211</v>
      </c>
      <c r="H746" t="str">
        <f t="shared" si="67"/>
        <v>33 min</v>
      </c>
      <c r="I746" t="s">
        <v>2</v>
      </c>
      <c r="J746" t="s">
        <v>102</v>
      </c>
      <c r="K746" t="s">
        <v>105</v>
      </c>
      <c r="L746">
        <v>13</v>
      </c>
      <c r="M746" t="s">
        <v>52</v>
      </c>
      <c r="N746" t="str" cm="1">
        <f t="array" ref="N746">_xlfn.IFS(
    AND(HOUR(A746)&gt;=0, HOUR(A746)&lt;10), "Morning",
    AND(HOUR(A746)&gt;=10, HOUR(A746)&lt;15), "Afternoon",
    AND(HOUR(E746)&gt;=15, HOUR(E746)&lt;19), "Evening",
    AND(HOUR(E746)&gt;=19, HOUR(E746)&lt;=23), "Night"
)</f>
        <v>Afternoon</v>
      </c>
    </row>
    <row r="747" spans="1:14" x14ac:dyDescent="0.25">
      <c r="A747" s="3">
        <v>42614.722916666666</v>
      </c>
      <c r="B747" s="2">
        <f t="shared" si="68"/>
        <v>42614</v>
      </c>
      <c r="C747" t="str">
        <f t="shared" si="69"/>
        <v>September</v>
      </c>
      <c r="D747" t="str">
        <f t="shared" si="70"/>
        <v>Thursday</v>
      </c>
      <c r="E747" t="str">
        <f t="shared" si="66"/>
        <v>05:21:00 PM</v>
      </c>
      <c r="F747" s="3">
        <v>42614.73333333333</v>
      </c>
      <c r="G747" s="4">
        <f t="shared" si="71"/>
        <v>0.73333333332993789</v>
      </c>
      <c r="H747" t="str">
        <f t="shared" si="67"/>
        <v>15 min</v>
      </c>
      <c r="I747" t="s">
        <v>2</v>
      </c>
      <c r="J747" t="s">
        <v>105</v>
      </c>
      <c r="K747" t="s">
        <v>102</v>
      </c>
      <c r="L747">
        <v>10.6</v>
      </c>
      <c r="M747" t="s">
        <v>52</v>
      </c>
      <c r="N747" t="str" cm="1">
        <f t="array" ref="N747">_xlfn.IFS(
    AND(HOUR(A747)&gt;=0, HOUR(A747)&lt;10), "Morning",
    AND(HOUR(A747)&gt;=10, HOUR(A747)&lt;15), "Afternoon",
    AND(HOUR(E747)&gt;=15, HOUR(E747)&lt;19), "Evening",
    AND(HOUR(E747)&gt;=19, HOUR(E747)&lt;=23), "Night"
)</f>
        <v>Evening</v>
      </c>
    </row>
    <row r="748" spans="1:14" x14ac:dyDescent="0.25">
      <c r="A748" s="3">
        <v>42614.78402777778</v>
      </c>
      <c r="B748" s="2">
        <f t="shared" si="68"/>
        <v>42614</v>
      </c>
      <c r="C748" t="str">
        <f t="shared" si="69"/>
        <v>September</v>
      </c>
      <c r="D748" t="str">
        <f t="shared" si="70"/>
        <v>Thursday</v>
      </c>
      <c r="E748" t="str">
        <f t="shared" si="66"/>
        <v>06:49:00 PM</v>
      </c>
      <c r="F748" s="3">
        <v>42614.797222222223</v>
      </c>
      <c r="G748" s="4">
        <f t="shared" si="71"/>
        <v>0.79722222222335404</v>
      </c>
      <c r="H748" t="str">
        <f t="shared" si="67"/>
        <v>19 min</v>
      </c>
      <c r="I748" t="s">
        <v>2</v>
      </c>
      <c r="J748" t="s">
        <v>102</v>
      </c>
      <c r="K748" t="s">
        <v>102</v>
      </c>
      <c r="L748">
        <v>2.2000000000000002</v>
      </c>
      <c r="M748" t="s">
        <v>52</v>
      </c>
      <c r="N748" t="str" cm="1">
        <f t="array" ref="N748">_xlfn.IFS(
    AND(HOUR(A748)&gt;=0, HOUR(A748)&lt;10), "Morning",
    AND(HOUR(A748)&gt;=10, HOUR(A748)&lt;15), "Afternoon",
    AND(HOUR(E748)&gt;=15, HOUR(E748)&lt;19), "Evening",
    AND(HOUR(E748)&gt;=19, HOUR(E748)&lt;=23), "Night"
)</f>
        <v>Evening</v>
      </c>
    </row>
    <row r="749" spans="1:14" x14ac:dyDescent="0.25">
      <c r="A749" s="3">
        <v>42615.484027777777</v>
      </c>
      <c r="B749" s="2">
        <f t="shared" si="68"/>
        <v>42615</v>
      </c>
      <c r="C749" t="str">
        <f t="shared" si="69"/>
        <v>September</v>
      </c>
      <c r="D749" t="str">
        <f t="shared" si="70"/>
        <v>Friday</v>
      </c>
      <c r="E749" t="str">
        <f t="shared" si="66"/>
        <v>11:37:00 AM</v>
      </c>
      <c r="F749" s="3">
        <v>42615.51666666667</v>
      </c>
      <c r="G749" s="4">
        <f t="shared" si="71"/>
        <v>0.51666666667006211</v>
      </c>
      <c r="H749" t="str">
        <f t="shared" si="67"/>
        <v>47 min</v>
      </c>
      <c r="I749" t="s">
        <v>2</v>
      </c>
      <c r="J749" t="s">
        <v>102</v>
      </c>
      <c r="K749" t="s">
        <v>105</v>
      </c>
      <c r="L749">
        <v>9.1999999999999993</v>
      </c>
      <c r="M749" t="s">
        <v>52</v>
      </c>
      <c r="N749" t="str" cm="1">
        <f t="array" ref="N749">_xlfn.IFS(
    AND(HOUR(A749)&gt;=0, HOUR(A749)&lt;10), "Morning",
    AND(HOUR(A749)&gt;=10, HOUR(A749)&lt;15), "Afternoon",
    AND(HOUR(E749)&gt;=15, HOUR(E749)&lt;19), "Evening",
    AND(HOUR(E749)&gt;=19, HOUR(E749)&lt;=23), "Night"
)</f>
        <v>Afternoon</v>
      </c>
    </row>
    <row r="750" spans="1:14" x14ac:dyDescent="0.25">
      <c r="A750" s="3">
        <v>42615.788888888892</v>
      </c>
      <c r="B750" s="2">
        <f t="shared" si="68"/>
        <v>42615</v>
      </c>
      <c r="C750" t="str">
        <f t="shared" si="69"/>
        <v>September</v>
      </c>
      <c r="D750" t="str">
        <f t="shared" si="70"/>
        <v>Friday</v>
      </c>
      <c r="E750" t="str">
        <f t="shared" si="66"/>
        <v>06:56:00 PM</v>
      </c>
      <c r="F750" s="3">
        <v>42615.817361111112</v>
      </c>
      <c r="G750" s="4">
        <f t="shared" si="71"/>
        <v>0.81736111111240461</v>
      </c>
      <c r="H750" t="str">
        <f t="shared" si="67"/>
        <v>41 min</v>
      </c>
      <c r="I750" t="s">
        <v>2</v>
      </c>
      <c r="J750" t="s">
        <v>102</v>
      </c>
      <c r="K750" t="s">
        <v>102</v>
      </c>
      <c r="L750">
        <v>12.9</v>
      </c>
      <c r="M750" t="s">
        <v>52</v>
      </c>
      <c r="N750" t="str" cm="1">
        <f t="array" ref="N750">_xlfn.IFS(
    AND(HOUR(A750)&gt;=0, HOUR(A750)&lt;10), "Morning",
    AND(HOUR(A750)&gt;=10, HOUR(A750)&lt;15), "Afternoon",
    AND(HOUR(E750)&gt;=15, HOUR(E750)&lt;19), "Evening",
    AND(HOUR(E750)&gt;=19, HOUR(E750)&lt;=23), "Night"
)</f>
        <v>Evening</v>
      </c>
    </row>
    <row r="751" spans="1:14" x14ac:dyDescent="0.25">
      <c r="A751" s="3">
        <v>42618.434027777781</v>
      </c>
      <c r="B751" s="2">
        <f t="shared" si="68"/>
        <v>42618</v>
      </c>
      <c r="C751" t="str">
        <f t="shared" si="69"/>
        <v>September</v>
      </c>
      <c r="D751" t="str">
        <f t="shared" si="70"/>
        <v>Monday</v>
      </c>
      <c r="E751" t="str">
        <f t="shared" si="66"/>
        <v>10:25:00 AM</v>
      </c>
      <c r="F751" s="3">
        <v>42618.447222222225</v>
      </c>
      <c r="G751" s="4">
        <f t="shared" si="71"/>
        <v>0.44722222222480923</v>
      </c>
      <c r="H751" t="str">
        <f t="shared" si="67"/>
        <v>19 min</v>
      </c>
      <c r="I751" t="s">
        <v>2</v>
      </c>
      <c r="J751" t="s">
        <v>102</v>
      </c>
      <c r="K751" t="s">
        <v>106</v>
      </c>
      <c r="L751">
        <v>17.2</v>
      </c>
      <c r="M751" t="s">
        <v>52</v>
      </c>
      <c r="N751" t="str" cm="1">
        <f t="array" ref="N751">_xlfn.IFS(
    AND(HOUR(A751)&gt;=0, HOUR(A751)&lt;10), "Morning",
    AND(HOUR(A751)&gt;=10, HOUR(A751)&lt;15), "Afternoon",
    AND(HOUR(E751)&gt;=15, HOUR(E751)&lt;19), "Evening",
    AND(HOUR(E751)&gt;=19, HOUR(E751)&lt;=23), "Night"
)</f>
        <v>Afternoon</v>
      </c>
    </row>
    <row r="752" spans="1:14" x14ac:dyDescent="0.25">
      <c r="A752" s="3">
        <v>42619.742361111108</v>
      </c>
      <c r="B752" s="2">
        <f t="shared" si="68"/>
        <v>42619</v>
      </c>
      <c r="C752" t="str">
        <f t="shared" si="69"/>
        <v>September</v>
      </c>
      <c r="D752" t="str">
        <f t="shared" si="70"/>
        <v>Tuesday</v>
      </c>
      <c r="E752" t="str">
        <f t="shared" si="66"/>
        <v>05:49:00 PM</v>
      </c>
      <c r="F752" s="3">
        <v>42619.742361111108</v>
      </c>
      <c r="G752" s="4">
        <f t="shared" si="71"/>
        <v>0.74236111110803904</v>
      </c>
      <c r="H752" t="str">
        <f t="shared" si="67"/>
        <v>0 min</v>
      </c>
      <c r="I752" t="s">
        <v>2</v>
      </c>
      <c r="J752" t="s">
        <v>102</v>
      </c>
      <c r="K752" t="s">
        <v>102</v>
      </c>
      <c r="L752">
        <v>69.099999999999994</v>
      </c>
      <c r="M752" t="s">
        <v>52</v>
      </c>
      <c r="N752" t="str" cm="1">
        <f t="array" ref="N752">_xlfn.IFS(
    AND(HOUR(A752)&gt;=0, HOUR(A752)&lt;10), "Morning",
    AND(HOUR(A752)&gt;=10, HOUR(A752)&lt;15), "Afternoon",
    AND(HOUR(E752)&gt;=15, HOUR(E752)&lt;19), "Evening",
    AND(HOUR(E752)&gt;=19, HOUR(E752)&lt;=23), "Night"
)</f>
        <v>Evening</v>
      </c>
    </row>
    <row r="753" spans="1:14" x14ac:dyDescent="0.25">
      <c r="A753" s="3">
        <v>42623.436111111114</v>
      </c>
      <c r="B753" s="2">
        <f t="shared" si="68"/>
        <v>42623</v>
      </c>
      <c r="C753" t="str">
        <f t="shared" si="69"/>
        <v>September</v>
      </c>
      <c r="D753" t="str">
        <f t="shared" si="70"/>
        <v>Saturday</v>
      </c>
      <c r="E753" t="str">
        <f t="shared" si="66"/>
        <v>10:28:00 AM</v>
      </c>
      <c r="F753" s="3">
        <v>42623.447916666664</v>
      </c>
      <c r="G753" s="4">
        <f t="shared" si="71"/>
        <v>0.44791666666424135</v>
      </c>
      <c r="H753" t="str">
        <f t="shared" si="67"/>
        <v>17 min</v>
      </c>
      <c r="I753" t="s">
        <v>2</v>
      </c>
      <c r="J753" t="s">
        <v>102</v>
      </c>
      <c r="K753" t="s">
        <v>102</v>
      </c>
      <c r="L753">
        <v>2.8</v>
      </c>
      <c r="M753" t="s">
        <v>52</v>
      </c>
      <c r="N753" t="str" cm="1">
        <f t="array" ref="N753">_xlfn.IFS(
    AND(HOUR(A753)&gt;=0, HOUR(A753)&lt;10), "Morning",
    AND(HOUR(A753)&gt;=10, HOUR(A753)&lt;15), "Afternoon",
    AND(HOUR(E753)&gt;=15, HOUR(E753)&lt;19), "Evening",
    AND(HOUR(E753)&gt;=19, HOUR(E753)&lt;=23), "Night"
)</f>
        <v>Afternoon</v>
      </c>
    </row>
    <row r="754" spans="1:14" x14ac:dyDescent="0.25">
      <c r="A754" s="3">
        <v>42624.410416666666</v>
      </c>
      <c r="B754" s="2">
        <f t="shared" si="68"/>
        <v>42624</v>
      </c>
      <c r="C754" t="str">
        <f t="shared" si="69"/>
        <v>September</v>
      </c>
      <c r="D754" t="str">
        <f t="shared" si="70"/>
        <v>Sunday</v>
      </c>
      <c r="E754" t="str">
        <f t="shared" si="66"/>
        <v>09:51:00 AM</v>
      </c>
      <c r="F754" s="3">
        <v>42624.413194444445</v>
      </c>
      <c r="G754" s="4">
        <f t="shared" si="71"/>
        <v>0.41319444444525288</v>
      </c>
      <c r="H754" t="str">
        <f t="shared" si="67"/>
        <v>4 min</v>
      </c>
      <c r="I754" t="s">
        <v>2</v>
      </c>
      <c r="J754" t="s">
        <v>102</v>
      </c>
      <c r="K754" t="s">
        <v>102</v>
      </c>
      <c r="L754">
        <v>8.6</v>
      </c>
      <c r="M754" t="s">
        <v>52</v>
      </c>
      <c r="N754" t="str" cm="1">
        <f t="array" ref="N754">_xlfn.IFS(
    AND(HOUR(A754)&gt;=0, HOUR(A754)&lt;10), "Morning",
    AND(HOUR(A754)&gt;=10, HOUR(A754)&lt;15), "Afternoon",
    AND(HOUR(E754)&gt;=15, HOUR(E754)&lt;19), "Evening",
    AND(HOUR(E754)&gt;=19, HOUR(E754)&lt;=23), "Night"
)</f>
        <v>Morning</v>
      </c>
    </row>
    <row r="755" spans="1:14" x14ac:dyDescent="0.25">
      <c r="A755" s="3">
        <v>42624.902777777781</v>
      </c>
      <c r="B755" s="2">
        <f t="shared" si="68"/>
        <v>42624</v>
      </c>
      <c r="C755" t="str">
        <f t="shared" si="69"/>
        <v>September</v>
      </c>
      <c r="D755" t="str">
        <f t="shared" si="70"/>
        <v>Sunday</v>
      </c>
      <c r="E755" t="str">
        <f t="shared" si="66"/>
        <v>09:40:00 PM</v>
      </c>
      <c r="F755" s="3">
        <v>42624.904166666667</v>
      </c>
      <c r="G755" s="4">
        <f t="shared" si="71"/>
        <v>0.90416666666715173</v>
      </c>
      <c r="H755" t="str">
        <f t="shared" si="67"/>
        <v>2 min</v>
      </c>
      <c r="I755" t="s">
        <v>2</v>
      </c>
      <c r="J755" t="s">
        <v>102</v>
      </c>
      <c r="K755" t="s">
        <v>102</v>
      </c>
      <c r="L755">
        <v>9.8000000000000007</v>
      </c>
      <c r="M755" t="s">
        <v>52</v>
      </c>
      <c r="N755" t="str" cm="1">
        <f t="array" ref="N755">_xlfn.IFS(
    AND(HOUR(A755)&gt;=0, HOUR(A755)&lt;10), "Morning",
    AND(HOUR(A755)&gt;=10, HOUR(A755)&lt;15), "Afternoon",
    AND(HOUR(E755)&gt;=15, HOUR(E755)&lt;19), "Evening",
    AND(HOUR(E755)&gt;=19, HOUR(E755)&lt;=23), "Night"
)</f>
        <v>Night</v>
      </c>
    </row>
    <row r="756" spans="1:14" x14ac:dyDescent="0.25">
      <c r="A756" s="3">
        <v>42625.338194444441</v>
      </c>
      <c r="B756" s="2">
        <f t="shared" si="68"/>
        <v>42625</v>
      </c>
      <c r="C756" t="str">
        <f t="shared" si="69"/>
        <v>September</v>
      </c>
      <c r="D756" t="str">
        <f t="shared" si="70"/>
        <v>Monday</v>
      </c>
      <c r="E756" t="str">
        <f t="shared" si="66"/>
        <v>08:07:00 AM</v>
      </c>
      <c r="F756" s="3">
        <v>42625.341666666667</v>
      </c>
      <c r="G756" s="4">
        <f t="shared" si="71"/>
        <v>0.34166666666715173</v>
      </c>
      <c r="H756" t="str">
        <f t="shared" si="67"/>
        <v>5 min</v>
      </c>
      <c r="I756" t="s">
        <v>2</v>
      </c>
      <c r="J756" t="s">
        <v>102</v>
      </c>
      <c r="K756" t="s">
        <v>102</v>
      </c>
      <c r="L756">
        <v>3.6</v>
      </c>
      <c r="M756" t="s">
        <v>52</v>
      </c>
      <c r="N756" t="str" cm="1">
        <f t="array" ref="N756">_xlfn.IFS(
    AND(HOUR(A756)&gt;=0, HOUR(A756)&lt;10), "Morning",
    AND(HOUR(A756)&gt;=10, HOUR(A756)&lt;15), "Afternoon",
    AND(HOUR(E756)&gt;=15, HOUR(E756)&lt;19), "Evening",
    AND(HOUR(E756)&gt;=19, HOUR(E756)&lt;=23), "Night"
)</f>
        <v>Morning</v>
      </c>
    </row>
    <row r="757" spans="1:14" x14ac:dyDescent="0.25">
      <c r="A757" s="3">
        <v>42625.46875</v>
      </c>
      <c r="B757" s="2">
        <f t="shared" si="68"/>
        <v>42625</v>
      </c>
      <c r="C757" t="str">
        <f t="shared" si="69"/>
        <v>September</v>
      </c>
      <c r="D757" t="str">
        <f t="shared" si="70"/>
        <v>Monday</v>
      </c>
      <c r="E757" t="str">
        <f t="shared" si="66"/>
        <v>11:15:00 AM</v>
      </c>
      <c r="F757" s="3">
        <v>42625.474999999999</v>
      </c>
      <c r="G757" s="4">
        <f t="shared" si="71"/>
        <v>0.47499999999854481</v>
      </c>
      <c r="H757" t="str">
        <f t="shared" si="67"/>
        <v>9 min</v>
      </c>
      <c r="I757" t="s">
        <v>2</v>
      </c>
      <c r="J757" t="s">
        <v>102</v>
      </c>
      <c r="K757" t="s">
        <v>102</v>
      </c>
      <c r="L757">
        <v>1.7</v>
      </c>
      <c r="M757" t="s">
        <v>52</v>
      </c>
      <c r="N757" t="str" cm="1">
        <f t="array" ref="N757">_xlfn.IFS(
    AND(HOUR(A757)&gt;=0, HOUR(A757)&lt;10), "Morning",
    AND(HOUR(A757)&gt;=10, HOUR(A757)&lt;15), "Afternoon",
    AND(HOUR(E757)&gt;=15, HOUR(E757)&lt;19), "Evening",
    AND(HOUR(E757)&gt;=19, HOUR(E757)&lt;=23), "Night"
)</f>
        <v>Afternoon</v>
      </c>
    </row>
    <row r="758" spans="1:14" x14ac:dyDescent="0.25">
      <c r="A758" s="3">
        <v>42625.544444444444</v>
      </c>
      <c r="B758" s="2">
        <f t="shared" si="68"/>
        <v>42625</v>
      </c>
      <c r="C758" t="str">
        <f t="shared" si="69"/>
        <v>September</v>
      </c>
      <c r="D758" t="str">
        <f t="shared" si="70"/>
        <v>Monday</v>
      </c>
      <c r="E758" t="str">
        <f t="shared" si="66"/>
        <v>01:04:00 PM</v>
      </c>
      <c r="F758" s="3">
        <v>42625.572222222225</v>
      </c>
      <c r="G758" s="4">
        <f t="shared" si="71"/>
        <v>0.57222222222480923</v>
      </c>
      <c r="H758" t="str">
        <f t="shared" si="67"/>
        <v>40 min</v>
      </c>
      <c r="I758" t="s">
        <v>2</v>
      </c>
      <c r="J758" t="s">
        <v>102</v>
      </c>
      <c r="K758" t="s">
        <v>102</v>
      </c>
      <c r="L758">
        <v>11.5</v>
      </c>
      <c r="M758" t="s">
        <v>52</v>
      </c>
      <c r="N758" t="str" cm="1">
        <f t="array" ref="N758">_xlfn.IFS(
    AND(HOUR(A758)&gt;=0, HOUR(A758)&lt;10), "Morning",
    AND(HOUR(A758)&gt;=10, HOUR(A758)&lt;15), "Afternoon",
    AND(HOUR(E758)&gt;=15, HOUR(E758)&lt;19), "Evening",
    AND(HOUR(E758)&gt;=19, HOUR(E758)&lt;=23), "Night"
)</f>
        <v>Afternoon</v>
      </c>
    </row>
    <row r="759" spans="1:14" x14ac:dyDescent="0.25">
      <c r="A759" s="3">
        <v>42626.705555555556</v>
      </c>
      <c r="B759" s="2">
        <f t="shared" si="68"/>
        <v>42626</v>
      </c>
      <c r="C759" t="str">
        <f t="shared" si="69"/>
        <v>September</v>
      </c>
      <c r="D759" t="str">
        <f t="shared" si="70"/>
        <v>Tuesday</v>
      </c>
      <c r="E759" t="str">
        <f t="shared" si="66"/>
        <v>04:56:00 PM</v>
      </c>
      <c r="F759" s="3">
        <v>42626.709722222222</v>
      </c>
      <c r="G759" s="4">
        <f t="shared" si="71"/>
        <v>0.70972222222189885</v>
      </c>
      <c r="H759" t="str">
        <f t="shared" si="67"/>
        <v>6 min</v>
      </c>
      <c r="I759" t="s">
        <v>2</v>
      </c>
      <c r="J759" t="s">
        <v>102</v>
      </c>
      <c r="K759" t="s">
        <v>102</v>
      </c>
      <c r="L759">
        <v>0.7</v>
      </c>
      <c r="M759" t="s">
        <v>52</v>
      </c>
      <c r="N759" t="str" cm="1">
        <f t="array" ref="N759">_xlfn.IFS(
    AND(HOUR(A759)&gt;=0, HOUR(A759)&lt;10), "Morning",
    AND(HOUR(A759)&gt;=10, HOUR(A759)&lt;15), "Afternoon",
    AND(HOUR(E759)&gt;=15, HOUR(E759)&lt;19), "Evening",
    AND(HOUR(E759)&gt;=19, HOUR(E759)&lt;=23), "Night"
)</f>
        <v>Evening</v>
      </c>
    </row>
    <row r="760" spans="1:14" x14ac:dyDescent="0.25">
      <c r="A760" s="3">
        <v>42627.496527777781</v>
      </c>
      <c r="B760" s="2">
        <f t="shared" si="68"/>
        <v>42627</v>
      </c>
      <c r="C760" t="str">
        <f t="shared" si="69"/>
        <v>September</v>
      </c>
      <c r="D760" t="str">
        <f t="shared" si="70"/>
        <v>Wednesday</v>
      </c>
      <c r="E760" t="str">
        <f t="shared" si="66"/>
        <v>11:55:00 AM</v>
      </c>
      <c r="F760" s="3">
        <v>42627.499305555553</v>
      </c>
      <c r="G760" s="4">
        <f t="shared" si="71"/>
        <v>0.49930555555329192</v>
      </c>
      <c r="H760" t="str">
        <f t="shared" si="67"/>
        <v>4 min</v>
      </c>
      <c r="I760" t="s">
        <v>2</v>
      </c>
      <c r="J760" t="s">
        <v>102</v>
      </c>
      <c r="K760" t="s">
        <v>102</v>
      </c>
      <c r="L760">
        <v>0.7</v>
      </c>
      <c r="M760" t="s">
        <v>52</v>
      </c>
      <c r="N760" t="str" cm="1">
        <f t="array" ref="N760">_xlfn.IFS(
    AND(HOUR(A760)&gt;=0, HOUR(A760)&lt;10), "Morning",
    AND(HOUR(A760)&gt;=10, HOUR(A760)&lt;15), "Afternoon",
    AND(HOUR(E760)&gt;=15, HOUR(E760)&lt;19), "Evening",
    AND(HOUR(E760)&gt;=19, HOUR(E760)&lt;=23), "Night"
)</f>
        <v>Afternoon</v>
      </c>
    </row>
    <row r="761" spans="1:14" x14ac:dyDescent="0.25">
      <c r="A761" s="3">
        <v>42628.856249999997</v>
      </c>
      <c r="B761" s="2">
        <f t="shared" si="68"/>
        <v>42628</v>
      </c>
      <c r="C761" t="str">
        <f t="shared" si="69"/>
        <v>September</v>
      </c>
      <c r="D761" t="str">
        <f t="shared" si="70"/>
        <v>Thursday</v>
      </c>
      <c r="E761" t="str">
        <f t="shared" si="66"/>
        <v>08:33:00 PM</v>
      </c>
      <c r="F761" s="3">
        <v>42628.859722222223</v>
      </c>
      <c r="G761" s="4">
        <f t="shared" si="71"/>
        <v>0.85972222222335404</v>
      </c>
      <c r="H761" t="str">
        <f t="shared" si="67"/>
        <v>5 min</v>
      </c>
      <c r="I761" t="s">
        <v>2</v>
      </c>
      <c r="J761" t="s">
        <v>102</v>
      </c>
      <c r="K761" t="s">
        <v>102</v>
      </c>
      <c r="L761">
        <v>0.9</v>
      </c>
      <c r="M761" t="s">
        <v>52</v>
      </c>
      <c r="N761" t="str" cm="1">
        <f t="array" ref="N761">_xlfn.IFS(
    AND(HOUR(A761)&gt;=0, HOUR(A761)&lt;10), "Morning",
    AND(HOUR(A761)&gt;=10, HOUR(A761)&lt;15), "Afternoon",
    AND(HOUR(E761)&gt;=15, HOUR(E761)&lt;19), "Evening",
    AND(HOUR(E761)&gt;=19, HOUR(E761)&lt;=23), "Night"
)</f>
        <v>Night</v>
      </c>
    </row>
    <row r="762" spans="1:14" x14ac:dyDescent="0.25">
      <c r="A762" s="3">
        <v>42629.297222222223</v>
      </c>
      <c r="B762" s="2">
        <f t="shared" si="68"/>
        <v>42629</v>
      </c>
      <c r="C762" t="str">
        <f t="shared" si="69"/>
        <v>September</v>
      </c>
      <c r="D762" t="str">
        <f t="shared" si="70"/>
        <v>Friday</v>
      </c>
      <c r="E762" t="str">
        <f t="shared" si="66"/>
        <v>07:08:00 AM</v>
      </c>
      <c r="F762" s="3">
        <v>42629.297222222223</v>
      </c>
      <c r="G762" s="4">
        <f t="shared" si="71"/>
        <v>0.29722222222335404</v>
      </c>
      <c r="H762" t="str">
        <f t="shared" si="67"/>
        <v>0 min</v>
      </c>
      <c r="I762" t="s">
        <v>2</v>
      </c>
      <c r="J762" t="s">
        <v>102</v>
      </c>
      <c r="K762" t="s">
        <v>102</v>
      </c>
      <c r="L762">
        <v>1.6</v>
      </c>
      <c r="M762" t="s">
        <v>52</v>
      </c>
      <c r="N762" t="str" cm="1">
        <f t="array" ref="N762">_xlfn.IFS(
    AND(HOUR(A762)&gt;=0, HOUR(A762)&lt;10), "Morning",
    AND(HOUR(A762)&gt;=10, HOUR(A762)&lt;15), "Afternoon",
    AND(HOUR(E762)&gt;=15, HOUR(E762)&lt;19), "Evening",
    AND(HOUR(E762)&gt;=19, HOUR(E762)&lt;=23), "Night"
)</f>
        <v>Morning</v>
      </c>
    </row>
    <row r="763" spans="1:14" x14ac:dyDescent="0.25">
      <c r="A763" s="3">
        <v>42631.754861111112</v>
      </c>
      <c r="B763" s="2">
        <f t="shared" si="68"/>
        <v>42631</v>
      </c>
      <c r="C763" t="str">
        <f t="shared" si="69"/>
        <v>September</v>
      </c>
      <c r="D763" t="str">
        <f t="shared" si="70"/>
        <v>Sunday</v>
      </c>
      <c r="E763" t="str">
        <f t="shared" si="66"/>
        <v>06:07:00 PM</v>
      </c>
      <c r="F763" s="3">
        <v>42631.757638888892</v>
      </c>
      <c r="G763" s="4">
        <f t="shared" si="71"/>
        <v>0.75763888889196096</v>
      </c>
      <c r="H763" t="str">
        <f t="shared" si="67"/>
        <v>4 min</v>
      </c>
      <c r="I763" t="s">
        <v>2</v>
      </c>
      <c r="J763" t="s">
        <v>102</v>
      </c>
      <c r="K763" t="s">
        <v>102</v>
      </c>
      <c r="L763">
        <v>9.4</v>
      </c>
      <c r="M763" t="s">
        <v>52</v>
      </c>
      <c r="N763" t="str" cm="1">
        <f t="array" ref="N763">_xlfn.IFS(
    AND(HOUR(A763)&gt;=0, HOUR(A763)&lt;10), "Morning",
    AND(HOUR(A763)&gt;=10, HOUR(A763)&lt;15), "Afternoon",
    AND(HOUR(E763)&gt;=15, HOUR(E763)&lt;19), "Evening",
    AND(HOUR(E763)&gt;=19, HOUR(E763)&lt;=23), "Night"
)</f>
        <v>Evening</v>
      </c>
    </row>
    <row r="764" spans="1:14" x14ac:dyDescent="0.25">
      <c r="A764" s="3">
        <v>42632.262499999997</v>
      </c>
      <c r="B764" s="2">
        <f t="shared" si="68"/>
        <v>42632</v>
      </c>
      <c r="C764" t="str">
        <f t="shared" si="69"/>
        <v>September</v>
      </c>
      <c r="D764" t="str">
        <f t="shared" si="70"/>
        <v>Monday</v>
      </c>
      <c r="E764" t="str">
        <f t="shared" si="66"/>
        <v>06:18:00 AM</v>
      </c>
      <c r="F764" s="3">
        <v>42632.28402777778</v>
      </c>
      <c r="G764" s="4">
        <f t="shared" si="71"/>
        <v>0.28402777777955635</v>
      </c>
      <c r="H764" t="str">
        <f t="shared" si="67"/>
        <v>31 min</v>
      </c>
      <c r="I764" t="s">
        <v>2</v>
      </c>
      <c r="J764" t="s">
        <v>106</v>
      </c>
      <c r="K764" t="s">
        <v>102</v>
      </c>
      <c r="L764">
        <v>18.2</v>
      </c>
      <c r="M764" t="s">
        <v>52</v>
      </c>
      <c r="N764" t="str" cm="1">
        <f t="array" ref="N764">_xlfn.IFS(
    AND(HOUR(A764)&gt;=0, HOUR(A764)&lt;10), "Morning",
    AND(HOUR(A764)&gt;=10, HOUR(A764)&lt;15), "Afternoon",
    AND(HOUR(E764)&gt;=15, HOUR(E764)&lt;19), "Evening",
    AND(HOUR(E764)&gt;=19, HOUR(E764)&lt;=23), "Night"
)</f>
        <v>Morning</v>
      </c>
    </row>
    <row r="765" spans="1:14" x14ac:dyDescent="0.25">
      <c r="A765" s="3">
        <v>42632.611111111109</v>
      </c>
      <c r="B765" s="2">
        <f t="shared" si="68"/>
        <v>42632</v>
      </c>
      <c r="C765" t="str">
        <f t="shared" si="69"/>
        <v>September</v>
      </c>
      <c r="D765" t="str">
        <f t="shared" si="70"/>
        <v>Monday</v>
      </c>
      <c r="E765" t="str">
        <f t="shared" si="66"/>
        <v>02:40:00 PM</v>
      </c>
      <c r="F765" s="3">
        <v>42632.62222222222</v>
      </c>
      <c r="G765" s="4">
        <f t="shared" si="71"/>
        <v>0.62222222222044365</v>
      </c>
      <c r="H765" t="str">
        <f t="shared" si="67"/>
        <v>16 min</v>
      </c>
      <c r="I765" t="s">
        <v>2</v>
      </c>
      <c r="J765" t="s">
        <v>102</v>
      </c>
      <c r="K765" t="s">
        <v>105</v>
      </c>
      <c r="L765">
        <v>10.5</v>
      </c>
      <c r="M765" t="s">
        <v>52</v>
      </c>
      <c r="N765" t="str" cm="1">
        <f t="array" ref="N765">_xlfn.IFS(
    AND(HOUR(A765)&gt;=0, HOUR(A765)&lt;10), "Morning",
    AND(HOUR(A765)&gt;=10, HOUR(A765)&lt;15), "Afternoon",
    AND(HOUR(E765)&gt;=15, HOUR(E765)&lt;19), "Evening",
    AND(HOUR(E765)&gt;=19, HOUR(E765)&lt;=23), "Night"
)</f>
        <v>Afternoon</v>
      </c>
    </row>
    <row r="766" spans="1:14" x14ac:dyDescent="0.25">
      <c r="A766" s="3">
        <v>42632.682638888888</v>
      </c>
      <c r="B766" s="2">
        <f t="shared" si="68"/>
        <v>42632</v>
      </c>
      <c r="C766" t="str">
        <f t="shared" si="69"/>
        <v>September</v>
      </c>
      <c r="D766" t="str">
        <f t="shared" si="70"/>
        <v>Monday</v>
      </c>
      <c r="E766" t="str">
        <f t="shared" si="66"/>
        <v>04:23:00 PM</v>
      </c>
      <c r="F766" s="3">
        <v>42632.688194444447</v>
      </c>
      <c r="G766" s="4">
        <f t="shared" si="71"/>
        <v>0.68819444444670808</v>
      </c>
      <c r="H766" t="str">
        <f t="shared" si="67"/>
        <v>8 min</v>
      </c>
      <c r="I766" t="s">
        <v>2</v>
      </c>
      <c r="J766" t="s">
        <v>105</v>
      </c>
      <c r="K766" t="s">
        <v>102</v>
      </c>
      <c r="L766">
        <v>5.7</v>
      </c>
      <c r="M766" t="s">
        <v>52</v>
      </c>
      <c r="N766" t="str" cm="1">
        <f t="array" ref="N766">_xlfn.IFS(
    AND(HOUR(A766)&gt;=0, HOUR(A766)&lt;10), "Morning",
    AND(HOUR(A766)&gt;=10, HOUR(A766)&lt;15), "Afternoon",
    AND(HOUR(E766)&gt;=15, HOUR(E766)&lt;19), "Evening",
    AND(HOUR(E766)&gt;=19, HOUR(E766)&lt;=23), "Night"
)</f>
        <v>Evening</v>
      </c>
    </row>
    <row r="767" spans="1:14" x14ac:dyDescent="0.25">
      <c r="A767" s="3">
        <v>42632.73333333333</v>
      </c>
      <c r="B767" s="2">
        <f t="shared" si="68"/>
        <v>42632</v>
      </c>
      <c r="C767" t="str">
        <f t="shared" si="69"/>
        <v>September</v>
      </c>
      <c r="D767" t="str">
        <f t="shared" si="70"/>
        <v>Monday</v>
      </c>
      <c r="E767" t="str">
        <f t="shared" si="66"/>
        <v>05:36:00 PM</v>
      </c>
      <c r="F767" s="3">
        <v>42632.763888888891</v>
      </c>
      <c r="G767" s="4">
        <f t="shared" si="71"/>
        <v>0.76388888889050577</v>
      </c>
      <c r="H767" t="str">
        <f t="shared" si="67"/>
        <v>44 min</v>
      </c>
      <c r="I767" t="s">
        <v>2</v>
      </c>
      <c r="J767" t="s">
        <v>102</v>
      </c>
      <c r="K767" t="s">
        <v>102</v>
      </c>
      <c r="L767">
        <v>18</v>
      </c>
      <c r="M767" t="s">
        <v>52</v>
      </c>
      <c r="N767" t="str" cm="1">
        <f t="array" ref="N767">_xlfn.IFS(
    AND(HOUR(A767)&gt;=0, HOUR(A767)&lt;10), "Morning",
    AND(HOUR(A767)&gt;=10, HOUR(A767)&lt;15), "Afternoon",
    AND(HOUR(E767)&gt;=15, HOUR(E767)&lt;19), "Evening",
    AND(HOUR(E767)&gt;=19, HOUR(E767)&lt;=23), "Night"
)</f>
        <v>Evening</v>
      </c>
    </row>
    <row r="768" spans="1:14" x14ac:dyDescent="0.25">
      <c r="A768" s="3">
        <v>42632.798611111109</v>
      </c>
      <c r="B768" s="2">
        <f t="shared" si="68"/>
        <v>42632</v>
      </c>
      <c r="C768" t="str">
        <f t="shared" si="69"/>
        <v>September</v>
      </c>
      <c r="D768" t="str">
        <f t="shared" si="70"/>
        <v>Monday</v>
      </c>
      <c r="E768" t="str">
        <f t="shared" si="66"/>
        <v>07:10:00 PM</v>
      </c>
      <c r="F768" s="3">
        <v>42632.825694444444</v>
      </c>
      <c r="G768" s="4">
        <f t="shared" si="71"/>
        <v>0.82569444444379769</v>
      </c>
      <c r="H768" t="str">
        <f t="shared" si="67"/>
        <v>39 min</v>
      </c>
      <c r="I768" t="s">
        <v>2</v>
      </c>
      <c r="J768" t="s">
        <v>102</v>
      </c>
      <c r="K768" t="s">
        <v>105</v>
      </c>
      <c r="L768">
        <v>18.3</v>
      </c>
      <c r="M768" t="s">
        <v>52</v>
      </c>
      <c r="N768" t="str" cm="1">
        <f t="array" ref="N768">_xlfn.IFS(
    AND(HOUR(A768)&gt;=0, HOUR(A768)&lt;10), "Morning",
    AND(HOUR(A768)&gt;=10, HOUR(A768)&lt;15), "Afternoon",
    AND(HOUR(E768)&gt;=15, HOUR(E768)&lt;19), "Evening",
    AND(HOUR(E768)&gt;=19, HOUR(E768)&lt;=23), "Night"
)</f>
        <v>Night</v>
      </c>
    </row>
    <row r="769" spans="1:14" x14ac:dyDescent="0.25">
      <c r="A769" s="3">
        <v>42633.478472222225</v>
      </c>
      <c r="B769" s="2">
        <f t="shared" si="68"/>
        <v>42633</v>
      </c>
      <c r="C769" t="str">
        <f t="shared" si="69"/>
        <v>September</v>
      </c>
      <c r="D769" t="str">
        <f t="shared" si="70"/>
        <v>Tuesday</v>
      </c>
      <c r="E769" t="str">
        <f t="shared" si="66"/>
        <v>11:29:00 AM</v>
      </c>
      <c r="F769" s="3">
        <v>42633.491666666669</v>
      </c>
      <c r="G769" s="4">
        <f t="shared" si="71"/>
        <v>0.49166666666860692</v>
      </c>
      <c r="H769" t="str">
        <f t="shared" si="67"/>
        <v>19 min</v>
      </c>
      <c r="I769" t="s">
        <v>2</v>
      </c>
      <c r="J769" t="s">
        <v>105</v>
      </c>
      <c r="K769" t="s">
        <v>102</v>
      </c>
      <c r="L769">
        <v>16.5</v>
      </c>
      <c r="M769" t="s">
        <v>52</v>
      </c>
      <c r="N769" t="str" cm="1">
        <f t="array" ref="N769">_xlfn.IFS(
    AND(HOUR(A769)&gt;=0, HOUR(A769)&lt;10), "Morning",
    AND(HOUR(A769)&gt;=10, HOUR(A769)&lt;15), "Afternoon",
    AND(HOUR(E769)&gt;=15, HOUR(E769)&lt;19), "Evening",
    AND(HOUR(E769)&gt;=19, HOUR(E769)&lt;=23), "Night"
)</f>
        <v>Afternoon</v>
      </c>
    </row>
    <row r="770" spans="1:14" x14ac:dyDescent="0.25">
      <c r="A770" s="3">
        <v>42633.865972222222</v>
      </c>
      <c r="B770" s="2">
        <f t="shared" si="68"/>
        <v>42633</v>
      </c>
      <c r="C770" t="str">
        <f t="shared" si="69"/>
        <v>September</v>
      </c>
      <c r="D770" t="str">
        <f t="shared" si="70"/>
        <v>Tuesday</v>
      </c>
      <c r="E770" t="str">
        <f t="shared" ref="E770:E833" si="72">TEXT(A770, "hh:mm:ss AM/PM")</f>
        <v>08:47:00 PM</v>
      </c>
      <c r="F770" s="3">
        <v>42633.949305555558</v>
      </c>
      <c r="G770" s="4">
        <f t="shared" si="71"/>
        <v>0.9493055555576575</v>
      </c>
      <c r="H770" t="str">
        <f t="shared" ref="H770:H833" si="73">HOUR(IF(G770&lt;E770, G770+1-E770, G770-E770))*60 + MINUTE(IF(G770&lt;E770, G770+1-E770, G770-E770)) &amp; " min"</f>
        <v>120 min</v>
      </c>
      <c r="I770" t="s">
        <v>2</v>
      </c>
      <c r="J770" t="s">
        <v>102</v>
      </c>
      <c r="K770" t="s">
        <v>106</v>
      </c>
      <c r="L770">
        <v>9.6</v>
      </c>
      <c r="M770" t="s">
        <v>52</v>
      </c>
      <c r="N770" t="str" cm="1">
        <f t="array" ref="N770">_xlfn.IFS(
    AND(HOUR(A770)&gt;=0, HOUR(A770)&lt;10), "Morning",
    AND(HOUR(A770)&gt;=10, HOUR(A770)&lt;15), "Afternoon",
    AND(HOUR(E770)&gt;=15, HOUR(E770)&lt;19), "Evening",
    AND(HOUR(E770)&gt;=19, HOUR(E770)&lt;=23), "Night"
)</f>
        <v>Night</v>
      </c>
    </row>
    <row r="771" spans="1:14" x14ac:dyDescent="0.25">
      <c r="A771" s="3">
        <v>42636.552083333336</v>
      </c>
      <c r="B771" s="2">
        <f t="shared" ref="B771:B834" si="74">INT(A771)</f>
        <v>42636</v>
      </c>
      <c r="C771" t="str">
        <f t="shared" ref="C771:C834" si="75">TEXT(B771, "mmmm")</f>
        <v>September</v>
      </c>
      <c r="D771" t="str">
        <f t="shared" ref="D771:D834" si="76">TEXT(B771, "dddd")</f>
        <v>Friday</v>
      </c>
      <c r="E771" t="str">
        <f t="shared" si="72"/>
        <v>01:15:00 PM</v>
      </c>
      <c r="F771" s="3">
        <v>42636.569444444445</v>
      </c>
      <c r="G771" s="4">
        <f t="shared" ref="G771:G834" si="77">F771-INT(F771)</f>
        <v>0.56944444444525288</v>
      </c>
      <c r="H771" t="str">
        <f t="shared" si="73"/>
        <v>25 min</v>
      </c>
      <c r="I771" t="s">
        <v>2</v>
      </c>
      <c r="J771" t="s">
        <v>226</v>
      </c>
      <c r="K771" t="s">
        <v>226</v>
      </c>
      <c r="L771">
        <v>2.9</v>
      </c>
      <c r="M771" t="s">
        <v>52</v>
      </c>
      <c r="N771" t="str" cm="1">
        <f t="array" ref="N771">_xlfn.IFS(
    AND(HOUR(A771)&gt;=0, HOUR(A771)&lt;10), "Morning",
    AND(HOUR(A771)&gt;=10, HOUR(A771)&lt;15), "Afternoon",
    AND(HOUR(E771)&gt;=15, HOUR(E771)&lt;19), "Evening",
    AND(HOUR(E771)&gt;=19, HOUR(E771)&lt;=23), "Night"
)</f>
        <v>Afternoon</v>
      </c>
    </row>
    <row r="772" spans="1:14" x14ac:dyDescent="0.25">
      <c r="A772" s="3">
        <v>42637.606944444444</v>
      </c>
      <c r="B772" s="2">
        <f t="shared" si="74"/>
        <v>42637</v>
      </c>
      <c r="C772" t="str">
        <f t="shared" si="75"/>
        <v>September</v>
      </c>
      <c r="D772" t="str">
        <f t="shared" si="76"/>
        <v>Saturday</v>
      </c>
      <c r="E772" t="str">
        <f t="shared" si="72"/>
        <v>02:34:00 PM</v>
      </c>
      <c r="F772" s="3">
        <v>42637.635416666664</v>
      </c>
      <c r="G772" s="4">
        <f t="shared" si="77"/>
        <v>0.63541666666424135</v>
      </c>
      <c r="H772" t="str">
        <f t="shared" si="73"/>
        <v>41 min</v>
      </c>
      <c r="I772" t="s">
        <v>2</v>
      </c>
      <c r="J772" t="s">
        <v>226</v>
      </c>
      <c r="K772" t="s">
        <v>102</v>
      </c>
      <c r="L772">
        <v>8.1999999999999993</v>
      </c>
      <c r="M772" t="s">
        <v>52</v>
      </c>
      <c r="N772" t="str" cm="1">
        <f t="array" ref="N772">_xlfn.IFS(
    AND(HOUR(A772)&gt;=0, HOUR(A772)&lt;10), "Morning",
    AND(HOUR(A772)&gt;=10, HOUR(A772)&lt;15), "Afternoon",
    AND(HOUR(E772)&gt;=15, HOUR(E772)&lt;19), "Evening",
    AND(HOUR(E772)&gt;=19, HOUR(E772)&lt;=23), "Night"
)</f>
        <v>Afternoon</v>
      </c>
    </row>
    <row r="773" spans="1:14" x14ac:dyDescent="0.25">
      <c r="A773" s="3">
        <v>42637.853472222225</v>
      </c>
      <c r="B773" s="2">
        <f t="shared" si="74"/>
        <v>42637</v>
      </c>
      <c r="C773" t="str">
        <f t="shared" si="75"/>
        <v>September</v>
      </c>
      <c r="D773" t="str">
        <f t="shared" si="76"/>
        <v>Saturday</v>
      </c>
      <c r="E773" t="str">
        <f t="shared" si="72"/>
        <v>08:29:00 PM</v>
      </c>
      <c r="F773" s="3">
        <v>42637.856249999997</v>
      </c>
      <c r="G773" s="4">
        <f t="shared" si="77"/>
        <v>0.85624999999708962</v>
      </c>
      <c r="H773" t="str">
        <f t="shared" si="73"/>
        <v>4 min</v>
      </c>
      <c r="I773" t="s">
        <v>2</v>
      </c>
      <c r="J773" t="s">
        <v>102</v>
      </c>
      <c r="K773" t="s">
        <v>102</v>
      </c>
      <c r="L773">
        <v>2.4</v>
      </c>
      <c r="M773" t="s">
        <v>52</v>
      </c>
      <c r="N773" t="str" cm="1">
        <f t="array" ref="N773">_xlfn.IFS(
    AND(HOUR(A773)&gt;=0, HOUR(A773)&lt;10), "Morning",
    AND(HOUR(A773)&gt;=10, HOUR(A773)&lt;15), "Afternoon",
    AND(HOUR(E773)&gt;=15, HOUR(E773)&lt;19), "Evening",
    AND(HOUR(E773)&gt;=19, HOUR(E773)&lt;=23), "Night"
)</f>
        <v>Night</v>
      </c>
    </row>
    <row r="774" spans="1:14" x14ac:dyDescent="0.25">
      <c r="A774" s="3">
        <v>42640.356249999997</v>
      </c>
      <c r="B774" s="2">
        <f t="shared" si="74"/>
        <v>42640</v>
      </c>
      <c r="C774" t="str">
        <f t="shared" si="75"/>
        <v>September</v>
      </c>
      <c r="D774" t="str">
        <f t="shared" si="76"/>
        <v>Tuesday</v>
      </c>
      <c r="E774" t="str">
        <f t="shared" si="72"/>
        <v>08:33:00 AM</v>
      </c>
      <c r="F774" s="3">
        <v>42640.357638888891</v>
      </c>
      <c r="G774" s="4">
        <f t="shared" si="77"/>
        <v>0.35763888889050577</v>
      </c>
      <c r="H774" t="str">
        <f t="shared" si="73"/>
        <v>2 min</v>
      </c>
      <c r="I774" t="s">
        <v>2</v>
      </c>
      <c r="J774" t="s">
        <v>102</v>
      </c>
      <c r="K774" t="s">
        <v>102</v>
      </c>
      <c r="L774">
        <v>5.8</v>
      </c>
      <c r="M774" t="s">
        <v>52</v>
      </c>
      <c r="N774" t="str" cm="1">
        <f t="array" ref="N774">_xlfn.IFS(
    AND(HOUR(A774)&gt;=0, HOUR(A774)&lt;10), "Morning",
    AND(HOUR(A774)&gt;=10, HOUR(A774)&lt;15), "Afternoon",
    AND(HOUR(E774)&gt;=15, HOUR(E774)&lt;19), "Evening",
    AND(HOUR(E774)&gt;=19, HOUR(E774)&lt;=23), "Night"
)</f>
        <v>Morning</v>
      </c>
    </row>
    <row r="775" spans="1:14" x14ac:dyDescent="0.25">
      <c r="A775" s="3">
        <v>42640.556250000001</v>
      </c>
      <c r="B775" s="2">
        <f t="shared" si="74"/>
        <v>42640</v>
      </c>
      <c r="C775" t="str">
        <f t="shared" si="75"/>
        <v>September</v>
      </c>
      <c r="D775" t="str">
        <f t="shared" si="76"/>
        <v>Tuesday</v>
      </c>
      <c r="E775" t="str">
        <f t="shared" si="72"/>
        <v>01:21:00 PM</v>
      </c>
      <c r="F775" s="3">
        <v>42640.613194444442</v>
      </c>
      <c r="G775" s="4">
        <f t="shared" si="77"/>
        <v>0.6131944444423425</v>
      </c>
      <c r="H775" t="str">
        <f t="shared" si="73"/>
        <v>82 min</v>
      </c>
      <c r="I775" t="s">
        <v>2</v>
      </c>
      <c r="J775" t="s">
        <v>225</v>
      </c>
      <c r="K775" t="s">
        <v>225</v>
      </c>
      <c r="L775">
        <v>9.8000000000000007</v>
      </c>
      <c r="M775" t="s">
        <v>52</v>
      </c>
      <c r="N775" t="str" cm="1">
        <f t="array" ref="N775">_xlfn.IFS(
    AND(HOUR(A775)&gt;=0, HOUR(A775)&lt;10), "Morning",
    AND(HOUR(A775)&gt;=10, HOUR(A775)&lt;15), "Afternoon",
    AND(HOUR(E775)&gt;=15, HOUR(E775)&lt;19), "Evening",
    AND(HOUR(E775)&gt;=19, HOUR(E775)&lt;=23), "Night"
)</f>
        <v>Afternoon</v>
      </c>
    </row>
    <row r="776" spans="1:14" x14ac:dyDescent="0.25">
      <c r="A776" s="3">
        <v>42640.801388888889</v>
      </c>
      <c r="B776" s="2">
        <f t="shared" si="74"/>
        <v>42640</v>
      </c>
      <c r="C776" t="str">
        <f t="shared" si="75"/>
        <v>September</v>
      </c>
      <c r="D776" t="str">
        <f t="shared" si="76"/>
        <v>Tuesday</v>
      </c>
      <c r="E776" t="str">
        <f t="shared" si="72"/>
        <v>07:14:00 PM</v>
      </c>
      <c r="F776" s="3">
        <v>42640.856944444444</v>
      </c>
      <c r="G776" s="4">
        <f t="shared" si="77"/>
        <v>0.85694444444379769</v>
      </c>
      <c r="H776" t="str">
        <f t="shared" si="73"/>
        <v>80 min</v>
      </c>
      <c r="I776" t="s">
        <v>2</v>
      </c>
      <c r="J776" t="s">
        <v>225</v>
      </c>
      <c r="K776" t="s">
        <v>102</v>
      </c>
      <c r="L776">
        <v>7.3</v>
      </c>
      <c r="M776" t="s">
        <v>52</v>
      </c>
      <c r="N776" t="str" cm="1">
        <f t="array" ref="N776">_xlfn.IFS(
    AND(HOUR(A776)&gt;=0, HOUR(A776)&lt;10), "Morning",
    AND(HOUR(A776)&gt;=10, HOUR(A776)&lt;15), "Afternoon",
    AND(HOUR(E776)&gt;=15, HOUR(E776)&lt;19), "Evening",
    AND(HOUR(E776)&gt;=19, HOUR(E776)&lt;=23), "Night"
)</f>
        <v>Night</v>
      </c>
    </row>
    <row r="777" spans="1:14" x14ac:dyDescent="0.25">
      <c r="A777" s="3">
        <v>42640.875694444447</v>
      </c>
      <c r="B777" s="2">
        <f t="shared" si="74"/>
        <v>42640</v>
      </c>
      <c r="C777" t="str">
        <f t="shared" si="75"/>
        <v>September</v>
      </c>
      <c r="D777" t="str">
        <f t="shared" si="76"/>
        <v>Tuesday</v>
      </c>
      <c r="E777" t="str">
        <f t="shared" si="72"/>
        <v>09:01:00 PM</v>
      </c>
      <c r="F777" s="3">
        <v>42641.109027777777</v>
      </c>
      <c r="G777" s="4">
        <f t="shared" si="77"/>
        <v>0.10902777777664596</v>
      </c>
      <c r="H777" t="str">
        <f t="shared" si="73"/>
        <v>336 min</v>
      </c>
      <c r="I777" t="s">
        <v>2</v>
      </c>
      <c r="J777" t="s">
        <v>102</v>
      </c>
      <c r="K777" t="s">
        <v>102</v>
      </c>
      <c r="L777">
        <v>195.6</v>
      </c>
      <c r="M777" t="s">
        <v>52</v>
      </c>
      <c r="N777" t="str" cm="1">
        <f t="array" ref="N777">_xlfn.IFS(
    AND(HOUR(A777)&gt;=0, HOUR(A777)&lt;10), "Morning",
    AND(HOUR(A777)&gt;=10, HOUR(A777)&lt;15), "Afternoon",
    AND(HOUR(E777)&gt;=15, HOUR(E777)&lt;19), "Evening",
    AND(HOUR(E777)&gt;=19, HOUR(E777)&lt;=23), "Night"
)</f>
        <v>Night</v>
      </c>
    </row>
    <row r="778" spans="1:14" x14ac:dyDescent="0.25">
      <c r="A778" s="3">
        <v>42641.722916666666</v>
      </c>
      <c r="B778" s="2">
        <f t="shared" si="74"/>
        <v>42641</v>
      </c>
      <c r="C778" t="str">
        <f t="shared" si="75"/>
        <v>September</v>
      </c>
      <c r="D778" t="str">
        <f t="shared" si="76"/>
        <v>Wednesday</v>
      </c>
      <c r="E778" t="str">
        <f t="shared" si="72"/>
        <v>05:21:00 PM</v>
      </c>
      <c r="F778" s="3">
        <v>42641.816666666666</v>
      </c>
      <c r="G778" s="4">
        <f t="shared" si="77"/>
        <v>0.81666666666569654</v>
      </c>
      <c r="H778" t="str">
        <f t="shared" si="73"/>
        <v>135 min</v>
      </c>
      <c r="I778" t="s">
        <v>2</v>
      </c>
      <c r="J778" t="s">
        <v>105</v>
      </c>
      <c r="K778" t="s">
        <v>102</v>
      </c>
      <c r="L778">
        <v>20.5</v>
      </c>
      <c r="M778" t="s">
        <v>52</v>
      </c>
      <c r="N778" t="str" cm="1">
        <f t="array" ref="N778">_xlfn.IFS(
    AND(HOUR(A778)&gt;=0, HOUR(A778)&lt;10), "Morning",
    AND(HOUR(A778)&gt;=10, HOUR(A778)&lt;15), "Afternoon",
    AND(HOUR(E778)&gt;=15, HOUR(E778)&lt;19), "Evening",
    AND(HOUR(E778)&gt;=19, HOUR(E778)&lt;=23), "Night"
)</f>
        <v>Evening</v>
      </c>
    </row>
    <row r="779" spans="1:14" x14ac:dyDescent="0.25">
      <c r="A779" s="3">
        <v>42642.675694444442</v>
      </c>
      <c r="B779" s="2">
        <f t="shared" si="74"/>
        <v>42642</v>
      </c>
      <c r="C779" t="str">
        <f t="shared" si="75"/>
        <v>September</v>
      </c>
      <c r="D779" t="str">
        <f t="shared" si="76"/>
        <v>Thursday</v>
      </c>
      <c r="E779" t="str">
        <f t="shared" si="72"/>
        <v>04:13:00 PM</v>
      </c>
      <c r="F779" s="3">
        <v>42642.782638888886</v>
      </c>
      <c r="G779" s="4">
        <f t="shared" si="77"/>
        <v>0.78263888888614019</v>
      </c>
      <c r="H779" t="str">
        <f t="shared" si="73"/>
        <v>154 min</v>
      </c>
      <c r="I779" t="s">
        <v>2</v>
      </c>
      <c r="J779" t="s">
        <v>102</v>
      </c>
      <c r="K779" t="s">
        <v>105</v>
      </c>
      <c r="L779">
        <v>12.6</v>
      </c>
      <c r="M779" t="s">
        <v>52</v>
      </c>
      <c r="N779" t="str" cm="1">
        <f t="array" ref="N779">_xlfn.IFS(
    AND(HOUR(A779)&gt;=0, HOUR(A779)&lt;10), "Morning",
    AND(HOUR(A779)&gt;=10, HOUR(A779)&lt;15), "Afternoon",
    AND(HOUR(E779)&gt;=15, HOUR(E779)&lt;19), "Evening",
    AND(HOUR(E779)&gt;=19, HOUR(E779)&lt;=23), "Night"
)</f>
        <v>Evening</v>
      </c>
    </row>
    <row r="780" spans="1:14" x14ac:dyDescent="0.25">
      <c r="A780" s="3">
        <v>42643.73541666667</v>
      </c>
      <c r="B780" s="2">
        <f t="shared" si="74"/>
        <v>42643</v>
      </c>
      <c r="C780" t="str">
        <f t="shared" si="75"/>
        <v>September</v>
      </c>
      <c r="D780" t="str">
        <f t="shared" si="76"/>
        <v>Friday</v>
      </c>
      <c r="E780" t="str">
        <f t="shared" si="72"/>
        <v>05:39:00 PM</v>
      </c>
      <c r="F780" s="3">
        <v>42643.847222222219</v>
      </c>
      <c r="G780" s="4">
        <f t="shared" si="77"/>
        <v>0.84722222221898846</v>
      </c>
      <c r="H780" t="str">
        <f t="shared" si="73"/>
        <v>161 min</v>
      </c>
      <c r="I780" t="s">
        <v>2</v>
      </c>
      <c r="J780" t="s">
        <v>105</v>
      </c>
      <c r="K780" t="s">
        <v>105</v>
      </c>
      <c r="L780">
        <v>37.700000000000003</v>
      </c>
      <c r="M780" t="s">
        <v>52</v>
      </c>
      <c r="N780" t="str" cm="1">
        <f t="array" ref="N780">_xlfn.IFS(
    AND(HOUR(A780)&gt;=0, HOUR(A780)&lt;10), "Morning",
    AND(HOUR(A780)&gt;=10, HOUR(A780)&lt;15), "Afternoon",
    AND(HOUR(E780)&gt;=15, HOUR(E780)&lt;19), "Evening",
    AND(HOUR(E780)&gt;=19, HOUR(E780)&lt;=23), "Night"
)</f>
        <v>Evening</v>
      </c>
    </row>
    <row r="781" spans="1:14" x14ac:dyDescent="0.25">
      <c r="A781" s="3">
        <v>42643.874305555553</v>
      </c>
      <c r="B781" s="2">
        <f t="shared" si="74"/>
        <v>42643</v>
      </c>
      <c r="C781" t="str">
        <f t="shared" si="75"/>
        <v>September</v>
      </c>
      <c r="D781" t="str">
        <f t="shared" si="76"/>
        <v>Friday</v>
      </c>
      <c r="E781" t="str">
        <f t="shared" si="72"/>
        <v>08:59:00 PM</v>
      </c>
      <c r="F781" s="3">
        <v>42643.94027777778</v>
      </c>
      <c r="G781" s="4">
        <f t="shared" si="77"/>
        <v>0.94027777777955635</v>
      </c>
      <c r="H781" t="str">
        <f t="shared" si="73"/>
        <v>95 min</v>
      </c>
      <c r="I781" t="s">
        <v>2</v>
      </c>
      <c r="J781" t="s">
        <v>105</v>
      </c>
      <c r="K781" t="s">
        <v>102</v>
      </c>
      <c r="L781">
        <v>16.7</v>
      </c>
      <c r="M781" t="s">
        <v>52</v>
      </c>
      <c r="N781" t="str" cm="1">
        <f t="array" ref="N781">_xlfn.IFS(
    AND(HOUR(A781)&gt;=0, HOUR(A781)&lt;10), "Morning",
    AND(HOUR(A781)&gt;=10, HOUR(A781)&lt;15), "Afternoon",
    AND(HOUR(E781)&gt;=15, HOUR(E781)&lt;19), "Evening",
    AND(HOUR(E781)&gt;=19, HOUR(E781)&lt;=23), "Night"
)</f>
        <v>Night</v>
      </c>
    </row>
    <row r="782" spans="1:14" x14ac:dyDescent="0.25">
      <c r="A782" s="3">
        <v>42646.714583333334</v>
      </c>
      <c r="B782" s="2">
        <f t="shared" si="74"/>
        <v>42646</v>
      </c>
      <c r="C782" t="str">
        <f t="shared" si="75"/>
        <v>October</v>
      </c>
      <c r="D782" t="str">
        <f t="shared" si="76"/>
        <v>Monday</v>
      </c>
      <c r="E782" t="str">
        <f t="shared" si="72"/>
        <v>05:09:00 PM</v>
      </c>
      <c r="F782" s="3">
        <v>42646.716666666667</v>
      </c>
      <c r="G782" s="4">
        <f t="shared" si="77"/>
        <v>0.71666666666715173</v>
      </c>
      <c r="H782" t="str">
        <f t="shared" si="73"/>
        <v>3 min</v>
      </c>
      <c r="I782" t="s">
        <v>2</v>
      </c>
      <c r="J782" t="s">
        <v>102</v>
      </c>
      <c r="K782" t="s">
        <v>105</v>
      </c>
      <c r="L782">
        <v>10.5</v>
      </c>
      <c r="M782" t="s">
        <v>52</v>
      </c>
      <c r="N782" t="str" cm="1">
        <f t="array" ref="N782">_xlfn.IFS(
    AND(HOUR(A782)&gt;=0, HOUR(A782)&lt;10), "Morning",
    AND(HOUR(A782)&gt;=10, HOUR(A782)&lt;15), "Afternoon",
    AND(HOUR(E782)&gt;=15, HOUR(E782)&lt;19), "Evening",
    AND(HOUR(E782)&gt;=19, HOUR(E782)&lt;=23), "Night"
)</f>
        <v>Evening</v>
      </c>
    </row>
    <row r="783" spans="1:14" x14ac:dyDescent="0.25">
      <c r="A783" s="3">
        <v>42646.761805555558</v>
      </c>
      <c r="B783" s="2">
        <f t="shared" si="74"/>
        <v>42646</v>
      </c>
      <c r="C783" t="str">
        <f t="shared" si="75"/>
        <v>October</v>
      </c>
      <c r="D783" t="str">
        <f t="shared" si="76"/>
        <v>Monday</v>
      </c>
      <c r="E783" t="str">
        <f t="shared" si="72"/>
        <v>06:17:00 PM</v>
      </c>
      <c r="F783" s="3">
        <v>42646.773611111108</v>
      </c>
      <c r="G783" s="4">
        <f t="shared" si="77"/>
        <v>0.77361111110803904</v>
      </c>
      <c r="H783" t="str">
        <f t="shared" si="73"/>
        <v>17 min</v>
      </c>
      <c r="I783" t="s">
        <v>2</v>
      </c>
      <c r="J783" t="s">
        <v>105</v>
      </c>
      <c r="K783" t="s">
        <v>105</v>
      </c>
      <c r="L783">
        <v>2.8</v>
      </c>
      <c r="M783" t="s">
        <v>52</v>
      </c>
      <c r="N783" t="str" cm="1">
        <f t="array" ref="N783">_xlfn.IFS(
    AND(HOUR(A783)&gt;=0, HOUR(A783)&lt;10), "Morning",
    AND(HOUR(A783)&gt;=10, HOUR(A783)&lt;15), "Afternoon",
    AND(HOUR(E783)&gt;=15, HOUR(E783)&lt;19), "Evening",
    AND(HOUR(E783)&gt;=19, HOUR(E783)&lt;=23), "Night"
)</f>
        <v>Evening</v>
      </c>
    </row>
    <row r="784" spans="1:14" x14ac:dyDescent="0.25">
      <c r="A784" s="3">
        <v>42646.785416666666</v>
      </c>
      <c r="B784" s="2">
        <f t="shared" si="74"/>
        <v>42646</v>
      </c>
      <c r="C784" t="str">
        <f t="shared" si="75"/>
        <v>October</v>
      </c>
      <c r="D784" t="str">
        <f t="shared" si="76"/>
        <v>Monday</v>
      </c>
      <c r="E784" t="str">
        <f t="shared" si="72"/>
        <v>06:51:00 PM</v>
      </c>
      <c r="F784" s="3">
        <v>42646.792361111111</v>
      </c>
      <c r="G784" s="4">
        <f t="shared" si="77"/>
        <v>0.79236111111094942</v>
      </c>
      <c r="H784" t="str">
        <f t="shared" si="73"/>
        <v>10 min</v>
      </c>
      <c r="I784" t="s">
        <v>2</v>
      </c>
      <c r="J784" t="s">
        <v>105</v>
      </c>
      <c r="K784" t="s">
        <v>105</v>
      </c>
      <c r="L784">
        <v>1.6</v>
      </c>
      <c r="M784" t="s">
        <v>52</v>
      </c>
      <c r="N784" t="str" cm="1">
        <f t="array" ref="N784">_xlfn.IFS(
    AND(HOUR(A784)&gt;=0, HOUR(A784)&lt;10), "Morning",
    AND(HOUR(A784)&gt;=10, HOUR(A784)&lt;15), "Afternoon",
    AND(HOUR(E784)&gt;=15, HOUR(E784)&lt;19), "Evening",
    AND(HOUR(E784)&gt;=19, HOUR(E784)&lt;=23), "Night"
)</f>
        <v>Evening</v>
      </c>
    </row>
    <row r="785" spans="1:14" x14ac:dyDescent="0.25">
      <c r="A785" s="3">
        <v>42646.919444444444</v>
      </c>
      <c r="B785" s="2">
        <f t="shared" si="74"/>
        <v>42646</v>
      </c>
      <c r="C785" t="str">
        <f t="shared" si="75"/>
        <v>October</v>
      </c>
      <c r="D785" t="str">
        <f t="shared" si="76"/>
        <v>Monday</v>
      </c>
      <c r="E785" t="str">
        <f t="shared" si="72"/>
        <v>10:04:00 PM</v>
      </c>
      <c r="F785" s="3">
        <v>42646.939583333333</v>
      </c>
      <c r="G785" s="4">
        <f t="shared" si="77"/>
        <v>0.93958333333284827</v>
      </c>
      <c r="H785" t="str">
        <f t="shared" si="73"/>
        <v>29 min</v>
      </c>
      <c r="I785" t="s">
        <v>2</v>
      </c>
      <c r="J785" t="s">
        <v>105</v>
      </c>
      <c r="K785" t="s">
        <v>102</v>
      </c>
      <c r="L785">
        <v>12.7</v>
      </c>
      <c r="M785" t="s">
        <v>52</v>
      </c>
      <c r="N785" t="str" cm="1">
        <f t="array" ref="N785">_xlfn.IFS(
    AND(HOUR(A785)&gt;=0, HOUR(A785)&lt;10), "Morning",
    AND(HOUR(A785)&gt;=10, HOUR(A785)&lt;15), "Afternoon",
    AND(HOUR(E785)&gt;=15, HOUR(E785)&lt;19), "Evening",
    AND(HOUR(E785)&gt;=19, HOUR(E785)&lt;=23), "Night"
)</f>
        <v>Night</v>
      </c>
    </row>
    <row r="786" spans="1:14" x14ac:dyDescent="0.25">
      <c r="A786" s="3">
        <v>42647.409722222219</v>
      </c>
      <c r="B786" s="2">
        <f t="shared" si="74"/>
        <v>42647</v>
      </c>
      <c r="C786" t="str">
        <f t="shared" si="75"/>
        <v>October</v>
      </c>
      <c r="D786" t="str">
        <f t="shared" si="76"/>
        <v>Tuesday</v>
      </c>
      <c r="E786" t="str">
        <f t="shared" si="72"/>
        <v>09:50:00 AM</v>
      </c>
      <c r="F786" s="3">
        <v>42647.452777777777</v>
      </c>
      <c r="G786" s="4">
        <f t="shared" si="77"/>
        <v>0.45277777777664596</v>
      </c>
      <c r="H786" t="str">
        <f t="shared" si="73"/>
        <v>62 min</v>
      </c>
      <c r="I786" t="s">
        <v>2</v>
      </c>
      <c r="J786" t="s">
        <v>102</v>
      </c>
      <c r="K786" t="s">
        <v>102</v>
      </c>
      <c r="L786">
        <v>28.6</v>
      </c>
      <c r="M786" t="s">
        <v>52</v>
      </c>
      <c r="N786" t="str" cm="1">
        <f t="array" ref="N786">_xlfn.IFS(
    AND(HOUR(A786)&gt;=0, HOUR(A786)&lt;10), "Morning",
    AND(HOUR(A786)&gt;=10, HOUR(A786)&lt;15), "Afternoon",
    AND(HOUR(E786)&gt;=15, HOUR(E786)&lt;19), "Evening",
    AND(HOUR(E786)&gt;=19, HOUR(E786)&lt;=23), "Night"
)</f>
        <v>Morning</v>
      </c>
    </row>
    <row r="787" spans="1:14" x14ac:dyDescent="0.25">
      <c r="A787" s="3">
        <v>42647.511805555558</v>
      </c>
      <c r="B787" s="2">
        <f t="shared" si="74"/>
        <v>42647</v>
      </c>
      <c r="C787" t="str">
        <f t="shared" si="75"/>
        <v>October</v>
      </c>
      <c r="D787" t="str">
        <f t="shared" si="76"/>
        <v>Tuesday</v>
      </c>
      <c r="E787" t="str">
        <f t="shared" si="72"/>
        <v>12:17:00 PM</v>
      </c>
      <c r="F787" s="3">
        <v>42647.512499999997</v>
      </c>
      <c r="G787" s="4">
        <f t="shared" si="77"/>
        <v>0.51249999999708962</v>
      </c>
      <c r="H787" t="str">
        <f t="shared" si="73"/>
        <v>1 min</v>
      </c>
      <c r="I787" t="s">
        <v>2</v>
      </c>
      <c r="J787" t="s">
        <v>102</v>
      </c>
      <c r="K787" t="s">
        <v>102</v>
      </c>
      <c r="L787">
        <v>15.1</v>
      </c>
      <c r="M787" t="s">
        <v>52</v>
      </c>
      <c r="N787" t="str" cm="1">
        <f t="array" ref="N787">_xlfn.IFS(
    AND(HOUR(A787)&gt;=0, HOUR(A787)&lt;10), "Morning",
    AND(HOUR(A787)&gt;=10, HOUR(A787)&lt;15), "Afternoon",
    AND(HOUR(E787)&gt;=15, HOUR(E787)&lt;19), "Evening",
    AND(HOUR(E787)&gt;=19, HOUR(E787)&lt;=23), "Night"
)</f>
        <v>Afternoon</v>
      </c>
    </row>
    <row r="788" spans="1:14" x14ac:dyDescent="0.25">
      <c r="A788" s="3">
        <v>42649.367361111108</v>
      </c>
      <c r="B788" s="2">
        <f t="shared" si="74"/>
        <v>42649</v>
      </c>
      <c r="C788" t="str">
        <f t="shared" si="75"/>
        <v>October</v>
      </c>
      <c r="D788" t="str">
        <f t="shared" si="76"/>
        <v>Thursday</v>
      </c>
      <c r="E788" t="str">
        <f t="shared" si="72"/>
        <v>08:49:00 AM</v>
      </c>
      <c r="F788" s="3">
        <v>42649.48333333333</v>
      </c>
      <c r="G788" s="4">
        <f t="shared" si="77"/>
        <v>0.48333333332993789</v>
      </c>
      <c r="H788" t="str">
        <f t="shared" si="73"/>
        <v>167 min</v>
      </c>
      <c r="I788" t="s">
        <v>2</v>
      </c>
      <c r="J788" t="s">
        <v>102</v>
      </c>
      <c r="K788" t="s">
        <v>106</v>
      </c>
      <c r="L788">
        <v>17.899999999999999</v>
      </c>
      <c r="M788" t="s">
        <v>52</v>
      </c>
      <c r="N788" t="str" cm="1">
        <f t="array" ref="N788">_xlfn.IFS(
    AND(HOUR(A788)&gt;=0, HOUR(A788)&lt;10), "Morning",
    AND(HOUR(A788)&gt;=10, HOUR(A788)&lt;15), "Afternoon",
    AND(HOUR(E788)&gt;=15, HOUR(E788)&lt;19), "Evening",
    AND(HOUR(E788)&gt;=19, HOUR(E788)&lt;=23), "Night"
)</f>
        <v>Morning</v>
      </c>
    </row>
    <row r="789" spans="1:14" x14ac:dyDescent="0.25">
      <c r="A789" s="3">
        <v>42649.724305555559</v>
      </c>
      <c r="B789" s="2">
        <f t="shared" si="74"/>
        <v>42649</v>
      </c>
      <c r="C789" t="str">
        <f t="shared" si="75"/>
        <v>October</v>
      </c>
      <c r="D789" t="str">
        <f t="shared" si="76"/>
        <v>Thursday</v>
      </c>
      <c r="E789" t="str">
        <f t="shared" si="72"/>
        <v>05:23:00 PM</v>
      </c>
      <c r="F789" s="3">
        <v>42649.736111111109</v>
      </c>
      <c r="G789" s="4">
        <f t="shared" si="77"/>
        <v>0.73611111110949423</v>
      </c>
      <c r="H789" t="str">
        <f t="shared" si="73"/>
        <v>17 min</v>
      </c>
      <c r="I789" t="s">
        <v>2</v>
      </c>
      <c r="J789" t="s">
        <v>106</v>
      </c>
      <c r="K789" t="s">
        <v>102</v>
      </c>
      <c r="L789">
        <v>112.6</v>
      </c>
      <c r="M789" t="s">
        <v>52</v>
      </c>
      <c r="N789" t="str" cm="1">
        <f t="array" ref="N789">_xlfn.IFS(
    AND(HOUR(A789)&gt;=0, HOUR(A789)&lt;10), "Morning",
    AND(HOUR(A789)&gt;=10, HOUR(A789)&lt;15), "Afternoon",
    AND(HOUR(E789)&gt;=15, HOUR(E789)&lt;19), "Evening",
    AND(HOUR(E789)&gt;=19, HOUR(E789)&lt;=23), "Night"
)</f>
        <v>Evening</v>
      </c>
    </row>
    <row r="790" spans="1:14" x14ac:dyDescent="0.25">
      <c r="A790" s="3">
        <v>42649.775694444441</v>
      </c>
      <c r="B790" s="2">
        <f t="shared" si="74"/>
        <v>42649</v>
      </c>
      <c r="C790" t="str">
        <f t="shared" si="75"/>
        <v>October</v>
      </c>
      <c r="D790" t="str">
        <f t="shared" si="76"/>
        <v>Thursday</v>
      </c>
      <c r="E790" t="str">
        <f t="shared" si="72"/>
        <v>06:37:00 PM</v>
      </c>
      <c r="F790" s="3">
        <v>42649.777083333334</v>
      </c>
      <c r="G790" s="4">
        <f t="shared" si="77"/>
        <v>0.77708333333430346</v>
      </c>
      <c r="H790" t="str">
        <f t="shared" si="73"/>
        <v>2 min</v>
      </c>
      <c r="I790" t="s">
        <v>2</v>
      </c>
      <c r="J790" t="s">
        <v>102</v>
      </c>
      <c r="K790" t="s">
        <v>102</v>
      </c>
      <c r="L790">
        <v>18.399999999999999</v>
      </c>
      <c r="M790" t="s">
        <v>52</v>
      </c>
      <c r="N790" t="str" cm="1">
        <f t="array" ref="N790">_xlfn.IFS(
    AND(HOUR(A790)&gt;=0, HOUR(A790)&lt;10), "Morning",
    AND(HOUR(A790)&gt;=10, HOUR(A790)&lt;15), "Afternoon",
    AND(HOUR(E790)&gt;=15, HOUR(E790)&lt;19), "Evening",
    AND(HOUR(E790)&gt;=19, HOUR(E790)&lt;=23), "Night"
)</f>
        <v>Evening</v>
      </c>
    </row>
    <row r="791" spans="1:14" x14ac:dyDescent="0.25">
      <c r="A791" s="3">
        <v>42649.823611111111</v>
      </c>
      <c r="B791" s="2">
        <f t="shared" si="74"/>
        <v>42649</v>
      </c>
      <c r="C791" t="str">
        <f t="shared" si="75"/>
        <v>October</v>
      </c>
      <c r="D791" t="str">
        <f t="shared" si="76"/>
        <v>Thursday</v>
      </c>
      <c r="E791" t="str">
        <f t="shared" si="72"/>
        <v>07:46:00 PM</v>
      </c>
      <c r="F791" s="3">
        <v>42649.851388888892</v>
      </c>
      <c r="G791" s="4">
        <f t="shared" si="77"/>
        <v>0.85138888889196096</v>
      </c>
      <c r="H791" t="str">
        <f t="shared" si="73"/>
        <v>40 min</v>
      </c>
      <c r="I791" t="s">
        <v>2</v>
      </c>
      <c r="J791" t="s">
        <v>102</v>
      </c>
      <c r="K791" t="s">
        <v>102</v>
      </c>
      <c r="L791">
        <v>13.8</v>
      </c>
      <c r="M791" t="s">
        <v>52</v>
      </c>
      <c r="N791" t="str" cm="1">
        <f t="array" ref="N791">_xlfn.IFS(
    AND(HOUR(A791)&gt;=0, HOUR(A791)&lt;10), "Morning",
    AND(HOUR(A791)&gt;=10, HOUR(A791)&lt;15), "Afternoon",
    AND(HOUR(E791)&gt;=15, HOUR(E791)&lt;19), "Evening",
    AND(HOUR(E791)&gt;=19, HOUR(E791)&lt;=23), "Night"
)</f>
        <v>Night</v>
      </c>
    </row>
    <row r="792" spans="1:14" x14ac:dyDescent="0.25">
      <c r="A792" s="3">
        <v>42650.455555555556</v>
      </c>
      <c r="B792" s="2">
        <f t="shared" si="74"/>
        <v>42650</v>
      </c>
      <c r="C792" t="str">
        <f t="shared" si="75"/>
        <v>October</v>
      </c>
      <c r="D792" t="str">
        <f t="shared" si="76"/>
        <v>Friday</v>
      </c>
      <c r="E792" t="str">
        <f t="shared" si="72"/>
        <v>10:56:00 AM</v>
      </c>
      <c r="F792" s="3">
        <v>42650.457638888889</v>
      </c>
      <c r="G792" s="4">
        <f t="shared" si="77"/>
        <v>0.45763888888905058</v>
      </c>
      <c r="H792" t="str">
        <f t="shared" si="73"/>
        <v>3 min</v>
      </c>
      <c r="I792" t="s">
        <v>2</v>
      </c>
      <c r="J792" t="s">
        <v>102</v>
      </c>
      <c r="K792" t="s">
        <v>225</v>
      </c>
      <c r="L792">
        <v>33.200000000000003</v>
      </c>
      <c r="M792" t="s">
        <v>52</v>
      </c>
      <c r="N792" t="str" cm="1">
        <f t="array" ref="N792">_xlfn.IFS(
    AND(HOUR(A792)&gt;=0, HOUR(A792)&lt;10), "Morning",
    AND(HOUR(A792)&gt;=10, HOUR(A792)&lt;15), "Afternoon",
    AND(HOUR(E792)&gt;=15, HOUR(E792)&lt;19), "Evening",
    AND(HOUR(E792)&gt;=19, HOUR(E792)&lt;=23), "Night"
)</f>
        <v>Afternoon</v>
      </c>
    </row>
    <row r="793" spans="1:14" x14ac:dyDescent="0.25">
      <c r="A793" s="3">
        <v>42650.477083333331</v>
      </c>
      <c r="B793" s="2">
        <f t="shared" si="74"/>
        <v>42650</v>
      </c>
      <c r="C793" t="str">
        <f t="shared" si="75"/>
        <v>October</v>
      </c>
      <c r="D793" t="str">
        <f t="shared" si="76"/>
        <v>Friday</v>
      </c>
      <c r="E793" t="str">
        <f t="shared" si="72"/>
        <v>11:27:00 AM</v>
      </c>
      <c r="F793" s="3">
        <v>42650.493055555555</v>
      </c>
      <c r="G793" s="4">
        <f t="shared" si="77"/>
        <v>0.49305555555474712</v>
      </c>
      <c r="H793" t="str">
        <f t="shared" si="73"/>
        <v>23 min</v>
      </c>
      <c r="I793" t="s">
        <v>2</v>
      </c>
      <c r="J793" t="s">
        <v>225</v>
      </c>
      <c r="K793" t="s">
        <v>225</v>
      </c>
      <c r="L793">
        <v>2.6</v>
      </c>
      <c r="M793" t="s">
        <v>52</v>
      </c>
      <c r="N793" t="str" cm="1">
        <f t="array" ref="N793">_xlfn.IFS(
    AND(HOUR(A793)&gt;=0, HOUR(A793)&lt;10), "Morning",
    AND(HOUR(A793)&gt;=10, HOUR(A793)&lt;15), "Afternoon",
    AND(HOUR(E793)&gt;=15, HOUR(E793)&lt;19), "Evening",
    AND(HOUR(E793)&gt;=19, HOUR(E793)&lt;=23), "Night"
)</f>
        <v>Afternoon</v>
      </c>
    </row>
    <row r="794" spans="1:14" x14ac:dyDescent="0.25">
      <c r="A794" s="3">
        <v>42650.577777777777</v>
      </c>
      <c r="B794" s="2">
        <f t="shared" si="74"/>
        <v>42650</v>
      </c>
      <c r="C794" t="str">
        <f t="shared" si="75"/>
        <v>October</v>
      </c>
      <c r="D794" t="str">
        <f t="shared" si="76"/>
        <v>Friday</v>
      </c>
      <c r="E794" t="str">
        <f t="shared" si="72"/>
        <v>01:52:00 PM</v>
      </c>
      <c r="F794" s="3">
        <v>42650.588888888888</v>
      </c>
      <c r="G794" s="4">
        <f t="shared" si="77"/>
        <v>0.58888888888759539</v>
      </c>
      <c r="H794" t="str">
        <f t="shared" si="73"/>
        <v>16 min</v>
      </c>
      <c r="I794" t="s">
        <v>2</v>
      </c>
      <c r="J794" t="s">
        <v>225</v>
      </c>
      <c r="K794" t="s">
        <v>102</v>
      </c>
      <c r="L794">
        <v>5.8</v>
      </c>
      <c r="M794" t="s">
        <v>52</v>
      </c>
      <c r="N794" t="str" cm="1">
        <f t="array" ref="N794">_xlfn.IFS(
    AND(HOUR(A794)&gt;=0, HOUR(A794)&lt;10), "Morning",
    AND(HOUR(A794)&gt;=10, HOUR(A794)&lt;15), "Afternoon",
    AND(HOUR(E794)&gt;=15, HOUR(E794)&lt;19), "Evening",
    AND(HOUR(E794)&gt;=19, HOUR(E794)&lt;=23), "Night"
)</f>
        <v>Afternoon</v>
      </c>
    </row>
    <row r="795" spans="1:14" x14ac:dyDescent="0.25">
      <c r="A795" s="3">
        <v>42650.603472222225</v>
      </c>
      <c r="B795" s="2">
        <f t="shared" si="74"/>
        <v>42650</v>
      </c>
      <c r="C795" t="str">
        <f t="shared" si="75"/>
        <v>October</v>
      </c>
      <c r="D795" t="str">
        <f t="shared" si="76"/>
        <v>Friday</v>
      </c>
      <c r="E795" t="str">
        <f t="shared" si="72"/>
        <v>02:29:00 PM</v>
      </c>
      <c r="F795" s="3">
        <v>42650.632638888892</v>
      </c>
      <c r="G795" s="4">
        <f t="shared" si="77"/>
        <v>0.63263888889196096</v>
      </c>
      <c r="H795" t="str">
        <f t="shared" si="73"/>
        <v>42 min</v>
      </c>
      <c r="I795" t="s">
        <v>2</v>
      </c>
      <c r="J795" t="s">
        <v>102</v>
      </c>
      <c r="K795" t="s">
        <v>225</v>
      </c>
      <c r="L795">
        <v>8.3000000000000007</v>
      </c>
      <c r="M795" t="s">
        <v>52</v>
      </c>
      <c r="N795" t="str" cm="1">
        <f t="array" ref="N795">_xlfn.IFS(
    AND(HOUR(A795)&gt;=0, HOUR(A795)&lt;10), "Morning",
    AND(HOUR(A795)&gt;=10, HOUR(A795)&lt;15), "Afternoon",
    AND(HOUR(E795)&gt;=15, HOUR(E795)&lt;19), "Evening",
    AND(HOUR(E795)&gt;=19, HOUR(E795)&lt;=23), "Night"
)</f>
        <v>Afternoon</v>
      </c>
    </row>
    <row r="796" spans="1:14" x14ac:dyDescent="0.25">
      <c r="A796" s="3">
        <v>42650.657638888886</v>
      </c>
      <c r="B796" s="2">
        <f t="shared" si="74"/>
        <v>42650</v>
      </c>
      <c r="C796" t="str">
        <f t="shared" si="75"/>
        <v>October</v>
      </c>
      <c r="D796" t="str">
        <f t="shared" si="76"/>
        <v>Friday</v>
      </c>
      <c r="E796" t="str">
        <f t="shared" si="72"/>
        <v>03:47:00 PM</v>
      </c>
      <c r="F796" s="3">
        <v>42650.668055555558</v>
      </c>
      <c r="G796" s="4">
        <f t="shared" si="77"/>
        <v>0.6680555555576575</v>
      </c>
      <c r="H796" t="str">
        <f t="shared" si="73"/>
        <v>15 min</v>
      </c>
      <c r="I796" t="s">
        <v>2</v>
      </c>
      <c r="J796" t="s">
        <v>225</v>
      </c>
      <c r="K796" t="s">
        <v>225</v>
      </c>
      <c r="L796">
        <v>2.4</v>
      </c>
      <c r="M796" t="s">
        <v>52</v>
      </c>
      <c r="N796" t="str" cm="1">
        <f t="array" ref="N796">_xlfn.IFS(
    AND(HOUR(A796)&gt;=0, HOUR(A796)&lt;10), "Morning",
    AND(HOUR(A796)&gt;=10, HOUR(A796)&lt;15), "Afternoon",
    AND(HOUR(E796)&gt;=15, HOUR(E796)&lt;19), "Evening",
    AND(HOUR(E796)&gt;=19, HOUR(E796)&lt;=23), "Night"
)</f>
        <v>Evening</v>
      </c>
    </row>
    <row r="797" spans="1:14" x14ac:dyDescent="0.25">
      <c r="A797" s="3">
        <v>42650.755555555559</v>
      </c>
      <c r="B797" s="2">
        <f t="shared" si="74"/>
        <v>42650</v>
      </c>
      <c r="C797" t="str">
        <f t="shared" si="75"/>
        <v>October</v>
      </c>
      <c r="D797" t="str">
        <f t="shared" si="76"/>
        <v>Friday</v>
      </c>
      <c r="E797" t="str">
        <f t="shared" si="72"/>
        <v>06:08:00 PM</v>
      </c>
      <c r="F797" s="3">
        <v>42650.768750000003</v>
      </c>
      <c r="G797" s="4">
        <f t="shared" si="77"/>
        <v>0.76875000000291038</v>
      </c>
      <c r="H797" t="str">
        <f t="shared" si="73"/>
        <v>19 min</v>
      </c>
      <c r="I797" t="s">
        <v>2</v>
      </c>
      <c r="J797" t="s">
        <v>225</v>
      </c>
      <c r="K797" t="s">
        <v>225</v>
      </c>
      <c r="L797">
        <v>3.1</v>
      </c>
      <c r="M797" t="s">
        <v>52</v>
      </c>
      <c r="N797" t="str" cm="1">
        <f t="array" ref="N797">_xlfn.IFS(
    AND(HOUR(A797)&gt;=0, HOUR(A797)&lt;10), "Morning",
    AND(HOUR(A797)&gt;=10, HOUR(A797)&lt;15), "Afternoon",
    AND(HOUR(E797)&gt;=15, HOUR(E797)&lt;19), "Evening",
    AND(HOUR(E797)&gt;=19, HOUR(E797)&lt;=23), "Night"
)</f>
        <v>Evening</v>
      </c>
    </row>
    <row r="798" spans="1:14" x14ac:dyDescent="0.25">
      <c r="A798" s="3">
        <v>42650.772916666669</v>
      </c>
      <c r="B798" s="2">
        <f t="shared" si="74"/>
        <v>42650</v>
      </c>
      <c r="C798" t="str">
        <f t="shared" si="75"/>
        <v>October</v>
      </c>
      <c r="D798" t="str">
        <f t="shared" si="76"/>
        <v>Friday</v>
      </c>
      <c r="E798" t="str">
        <f t="shared" si="72"/>
        <v>06:33:00 PM</v>
      </c>
      <c r="F798" s="3">
        <v>42650.792361111111</v>
      </c>
      <c r="G798" s="4">
        <f t="shared" si="77"/>
        <v>0.79236111111094942</v>
      </c>
      <c r="H798" t="str">
        <f t="shared" si="73"/>
        <v>28 min</v>
      </c>
      <c r="I798" t="s">
        <v>2</v>
      </c>
      <c r="J798" t="s">
        <v>225</v>
      </c>
      <c r="K798" t="s">
        <v>225</v>
      </c>
      <c r="L798">
        <v>6.1</v>
      </c>
      <c r="M798" t="s">
        <v>52</v>
      </c>
      <c r="N798" t="str" cm="1">
        <f t="array" ref="N798">_xlfn.IFS(
    AND(HOUR(A798)&gt;=0, HOUR(A798)&lt;10), "Morning",
    AND(HOUR(A798)&gt;=10, HOUR(A798)&lt;15), "Afternoon",
    AND(HOUR(E798)&gt;=15, HOUR(E798)&lt;19), "Evening",
    AND(HOUR(E798)&gt;=19, HOUR(E798)&lt;=23), "Night"
)</f>
        <v>Evening</v>
      </c>
    </row>
    <row r="799" spans="1:14" x14ac:dyDescent="0.25">
      <c r="A799" s="3">
        <v>42651.627083333333</v>
      </c>
      <c r="B799" s="2">
        <f t="shared" si="74"/>
        <v>42651</v>
      </c>
      <c r="C799" t="str">
        <f t="shared" si="75"/>
        <v>October</v>
      </c>
      <c r="D799" t="str">
        <f t="shared" si="76"/>
        <v>Saturday</v>
      </c>
      <c r="E799" t="str">
        <f t="shared" si="72"/>
        <v>03:03:00 PM</v>
      </c>
      <c r="F799" s="3">
        <v>42651.627083333333</v>
      </c>
      <c r="G799" s="4">
        <f t="shared" si="77"/>
        <v>0.62708333333284827</v>
      </c>
      <c r="H799" t="str">
        <f t="shared" si="73"/>
        <v>0 min</v>
      </c>
      <c r="I799" t="s">
        <v>2</v>
      </c>
      <c r="J799" t="s">
        <v>226</v>
      </c>
      <c r="K799" t="s">
        <v>226</v>
      </c>
      <c r="L799">
        <v>3.6</v>
      </c>
      <c r="M799" t="s">
        <v>52</v>
      </c>
      <c r="N799" t="str" cm="1">
        <f t="array" ref="N799">_xlfn.IFS(
    AND(HOUR(A799)&gt;=0, HOUR(A799)&lt;10), "Morning",
    AND(HOUR(A799)&gt;=10, HOUR(A799)&lt;15), "Afternoon",
    AND(HOUR(E799)&gt;=15, HOUR(E799)&lt;19), "Evening",
    AND(HOUR(E799)&gt;=19, HOUR(E799)&lt;=23), "Night"
)</f>
        <v>Evening</v>
      </c>
    </row>
    <row r="800" spans="1:14" x14ac:dyDescent="0.25">
      <c r="A800" s="3">
        <v>42651.760416666664</v>
      </c>
      <c r="B800" s="2">
        <f t="shared" si="74"/>
        <v>42651</v>
      </c>
      <c r="C800" t="str">
        <f t="shared" si="75"/>
        <v>October</v>
      </c>
      <c r="D800" t="str">
        <f t="shared" si="76"/>
        <v>Saturday</v>
      </c>
      <c r="E800" t="str">
        <f t="shared" si="72"/>
        <v>06:15:00 PM</v>
      </c>
      <c r="F800" s="3">
        <v>42651.762499999997</v>
      </c>
      <c r="G800" s="4">
        <f t="shared" si="77"/>
        <v>0.76249999999708962</v>
      </c>
      <c r="H800" t="str">
        <f t="shared" si="73"/>
        <v>3 min</v>
      </c>
      <c r="I800" t="s">
        <v>2</v>
      </c>
      <c r="J800" t="s">
        <v>226</v>
      </c>
      <c r="K800" t="s">
        <v>102</v>
      </c>
      <c r="L800">
        <v>8</v>
      </c>
      <c r="M800" t="s">
        <v>52</v>
      </c>
      <c r="N800" t="str" cm="1">
        <f t="array" ref="N800">_xlfn.IFS(
    AND(HOUR(A800)&gt;=0, HOUR(A800)&lt;10), "Morning",
    AND(HOUR(A800)&gt;=10, HOUR(A800)&lt;15), "Afternoon",
    AND(HOUR(E800)&gt;=15, HOUR(E800)&lt;19), "Evening",
    AND(HOUR(E800)&gt;=19, HOUR(E800)&lt;=23), "Night"
)</f>
        <v>Evening</v>
      </c>
    </row>
    <row r="801" spans="1:14" x14ac:dyDescent="0.25">
      <c r="A801" s="3">
        <v>42652.586111111108</v>
      </c>
      <c r="B801" s="2">
        <f t="shared" si="74"/>
        <v>42652</v>
      </c>
      <c r="C801" t="str">
        <f t="shared" si="75"/>
        <v>October</v>
      </c>
      <c r="D801" t="str">
        <f t="shared" si="76"/>
        <v>Sunday</v>
      </c>
      <c r="E801" t="str">
        <f t="shared" si="72"/>
        <v>02:04:00 PM</v>
      </c>
      <c r="F801" s="3">
        <v>42652.599305555559</v>
      </c>
      <c r="G801" s="4">
        <f t="shared" si="77"/>
        <v>0.59930555555911269</v>
      </c>
      <c r="H801" t="str">
        <f t="shared" si="73"/>
        <v>19 min</v>
      </c>
      <c r="I801" t="s">
        <v>2</v>
      </c>
      <c r="J801" t="s">
        <v>102</v>
      </c>
      <c r="K801" t="s">
        <v>102</v>
      </c>
      <c r="L801">
        <v>7.7</v>
      </c>
      <c r="M801" t="s">
        <v>11</v>
      </c>
      <c r="N801" t="str" cm="1">
        <f t="array" ref="N801">_xlfn.IFS(
    AND(HOUR(A801)&gt;=0, HOUR(A801)&lt;10), "Morning",
    AND(HOUR(A801)&gt;=10, HOUR(A801)&lt;15), "Afternoon",
    AND(HOUR(E801)&gt;=15, HOUR(E801)&lt;19), "Evening",
    AND(HOUR(E801)&gt;=19, HOUR(E801)&lt;=23), "Night"
)</f>
        <v>Afternoon</v>
      </c>
    </row>
    <row r="802" spans="1:14" x14ac:dyDescent="0.25">
      <c r="A802" s="3">
        <v>42653.723611111112</v>
      </c>
      <c r="B802" s="2">
        <f t="shared" si="74"/>
        <v>42653</v>
      </c>
      <c r="C802" t="str">
        <f t="shared" si="75"/>
        <v>October</v>
      </c>
      <c r="D802" t="str">
        <f t="shared" si="76"/>
        <v>Monday</v>
      </c>
      <c r="E802" t="str">
        <f t="shared" si="72"/>
        <v>05:22:00 PM</v>
      </c>
      <c r="F802" s="3">
        <v>42653.727777777778</v>
      </c>
      <c r="G802" s="4">
        <f t="shared" si="77"/>
        <v>0.72777777777810115</v>
      </c>
      <c r="H802" t="str">
        <f t="shared" si="73"/>
        <v>6 min</v>
      </c>
      <c r="I802" t="s">
        <v>2</v>
      </c>
      <c r="J802" t="s">
        <v>105</v>
      </c>
      <c r="K802" t="s">
        <v>105</v>
      </c>
      <c r="L802">
        <v>1.7</v>
      </c>
      <c r="M802" t="s">
        <v>52</v>
      </c>
      <c r="N802" t="str" cm="1">
        <f t="array" ref="N802">_xlfn.IFS(
    AND(HOUR(A802)&gt;=0, HOUR(A802)&lt;10), "Morning",
    AND(HOUR(A802)&gt;=10, HOUR(A802)&lt;15), "Afternoon",
    AND(HOUR(E802)&gt;=15, HOUR(E802)&lt;19), "Evening",
    AND(HOUR(E802)&gt;=19, HOUR(E802)&lt;=23), "Night"
)</f>
        <v>Evening</v>
      </c>
    </row>
    <row r="803" spans="1:14" x14ac:dyDescent="0.25">
      <c r="A803" s="3">
        <v>42653.731249999997</v>
      </c>
      <c r="B803" s="2">
        <f t="shared" si="74"/>
        <v>42653</v>
      </c>
      <c r="C803" t="str">
        <f t="shared" si="75"/>
        <v>October</v>
      </c>
      <c r="D803" t="str">
        <f t="shared" si="76"/>
        <v>Monday</v>
      </c>
      <c r="E803" t="str">
        <f t="shared" si="72"/>
        <v>05:33:00 PM</v>
      </c>
      <c r="F803" s="3">
        <v>42653.759027777778</v>
      </c>
      <c r="G803" s="4">
        <f t="shared" si="77"/>
        <v>0.75902777777810115</v>
      </c>
      <c r="H803" t="str">
        <f t="shared" si="73"/>
        <v>40 min</v>
      </c>
      <c r="I803" t="s">
        <v>2</v>
      </c>
      <c r="J803" t="s">
        <v>105</v>
      </c>
      <c r="K803" t="s">
        <v>102</v>
      </c>
      <c r="L803">
        <v>9.5</v>
      </c>
      <c r="M803" t="s">
        <v>52</v>
      </c>
      <c r="N803" t="str" cm="1">
        <f t="array" ref="N803">_xlfn.IFS(
    AND(HOUR(A803)&gt;=0, HOUR(A803)&lt;10), "Morning",
    AND(HOUR(A803)&gt;=10, HOUR(A803)&lt;15), "Afternoon",
    AND(HOUR(E803)&gt;=15, HOUR(E803)&lt;19), "Evening",
    AND(HOUR(E803)&gt;=19, HOUR(E803)&lt;=23), "Night"
)</f>
        <v>Evening</v>
      </c>
    </row>
    <row r="804" spans="1:14" x14ac:dyDescent="0.25">
      <c r="A804" s="3">
        <v>42654.060416666667</v>
      </c>
      <c r="B804" s="2">
        <f t="shared" si="74"/>
        <v>42654</v>
      </c>
      <c r="C804" t="str">
        <f t="shared" si="75"/>
        <v>October</v>
      </c>
      <c r="D804" t="str">
        <f t="shared" si="76"/>
        <v>Tuesday</v>
      </c>
      <c r="E804" t="str">
        <f t="shared" si="72"/>
        <v>01:27:00 AM</v>
      </c>
      <c r="F804" s="3">
        <v>42654.088888888888</v>
      </c>
      <c r="G804" s="4">
        <f t="shared" si="77"/>
        <v>8.8888888887595385E-2</v>
      </c>
      <c r="H804" t="str">
        <f t="shared" si="73"/>
        <v>41 min</v>
      </c>
      <c r="I804" t="s">
        <v>2</v>
      </c>
      <c r="J804" t="s">
        <v>102</v>
      </c>
      <c r="K804" t="s">
        <v>106</v>
      </c>
      <c r="L804">
        <v>17.100000000000001</v>
      </c>
      <c r="M804" t="s">
        <v>10</v>
      </c>
      <c r="N804" t="str" cm="1">
        <f t="array" ref="N804">_xlfn.IFS(
    AND(HOUR(A804)&gt;=0, HOUR(A804)&lt;10), "Morning",
    AND(HOUR(A804)&gt;=10, HOUR(A804)&lt;15), "Afternoon",
    AND(HOUR(E804)&gt;=15, HOUR(E804)&lt;19), "Evening",
    AND(HOUR(E804)&gt;=19, HOUR(E804)&lt;=23), "Night"
)</f>
        <v>Morning</v>
      </c>
    </row>
    <row r="805" spans="1:14" x14ac:dyDescent="0.25">
      <c r="A805" s="3">
        <v>42655.804166666669</v>
      </c>
      <c r="B805" s="2">
        <f t="shared" si="74"/>
        <v>42655</v>
      </c>
      <c r="C805" t="str">
        <f t="shared" si="75"/>
        <v>October</v>
      </c>
      <c r="D805" t="str">
        <f t="shared" si="76"/>
        <v>Wednesday</v>
      </c>
      <c r="E805" t="str">
        <f t="shared" si="72"/>
        <v>07:18:00 PM</v>
      </c>
      <c r="F805" s="3">
        <v>42655.806250000001</v>
      </c>
      <c r="G805" s="4">
        <f t="shared" si="77"/>
        <v>0.80625000000145519</v>
      </c>
      <c r="H805" t="str">
        <f t="shared" si="73"/>
        <v>3 min</v>
      </c>
      <c r="I805" t="s">
        <v>2</v>
      </c>
      <c r="J805" t="s">
        <v>106</v>
      </c>
      <c r="K805" t="s">
        <v>102</v>
      </c>
      <c r="L805">
        <v>18.399999999999999</v>
      </c>
      <c r="M805" t="s">
        <v>52</v>
      </c>
      <c r="N805" t="str" cm="1">
        <f t="array" ref="N805">_xlfn.IFS(
    AND(HOUR(A805)&gt;=0, HOUR(A805)&lt;10), "Morning",
    AND(HOUR(A805)&gt;=10, HOUR(A805)&lt;15), "Afternoon",
    AND(HOUR(E805)&gt;=15, HOUR(E805)&lt;19), "Evening",
    AND(HOUR(E805)&gt;=19, HOUR(E805)&lt;=23), "Night"
)</f>
        <v>Night</v>
      </c>
    </row>
    <row r="806" spans="1:14" x14ac:dyDescent="0.25">
      <c r="A806" s="3">
        <v>42656.472222222219</v>
      </c>
      <c r="B806" s="2">
        <f t="shared" si="74"/>
        <v>42656</v>
      </c>
      <c r="C806" t="str">
        <f t="shared" si="75"/>
        <v>October</v>
      </c>
      <c r="D806" t="str">
        <f t="shared" si="76"/>
        <v>Thursday</v>
      </c>
      <c r="E806" t="str">
        <f t="shared" si="72"/>
        <v>11:20:00 AM</v>
      </c>
      <c r="F806" s="3">
        <v>42656.498611111114</v>
      </c>
      <c r="G806" s="4">
        <f t="shared" si="77"/>
        <v>0.49861111111385981</v>
      </c>
      <c r="H806" t="str">
        <f t="shared" si="73"/>
        <v>38 min</v>
      </c>
      <c r="I806" t="s">
        <v>2</v>
      </c>
      <c r="J806" t="s">
        <v>102</v>
      </c>
      <c r="K806" t="s">
        <v>105</v>
      </c>
      <c r="L806">
        <v>9.8000000000000007</v>
      </c>
      <c r="M806" t="s">
        <v>52</v>
      </c>
      <c r="N806" t="str" cm="1">
        <f t="array" ref="N806">_xlfn.IFS(
    AND(HOUR(A806)&gt;=0, HOUR(A806)&lt;10), "Morning",
    AND(HOUR(A806)&gt;=10, HOUR(A806)&lt;15), "Afternoon",
    AND(HOUR(E806)&gt;=15, HOUR(E806)&lt;19), "Evening",
    AND(HOUR(E806)&gt;=19, HOUR(E806)&lt;=23), "Night"
)</f>
        <v>Afternoon</v>
      </c>
    </row>
    <row r="807" spans="1:14" x14ac:dyDescent="0.25">
      <c r="A807" s="3">
        <v>42656.505555555559</v>
      </c>
      <c r="B807" s="2">
        <f t="shared" si="74"/>
        <v>42656</v>
      </c>
      <c r="C807" t="str">
        <f t="shared" si="75"/>
        <v>October</v>
      </c>
      <c r="D807" t="str">
        <f t="shared" si="76"/>
        <v>Thursday</v>
      </c>
      <c r="E807" t="str">
        <f t="shared" si="72"/>
        <v>12:08:00 PM</v>
      </c>
      <c r="F807" s="3">
        <v>42656.509722222225</v>
      </c>
      <c r="G807" s="4">
        <f t="shared" si="77"/>
        <v>0.50972222222480923</v>
      </c>
      <c r="H807" t="str">
        <f t="shared" si="73"/>
        <v>6 min</v>
      </c>
      <c r="I807" t="s">
        <v>2</v>
      </c>
      <c r="J807" t="s">
        <v>105</v>
      </c>
      <c r="K807" t="s">
        <v>105</v>
      </c>
      <c r="L807">
        <v>1</v>
      </c>
      <c r="M807" t="s">
        <v>52</v>
      </c>
      <c r="N807" t="str" cm="1">
        <f t="array" ref="N807">_xlfn.IFS(
    AND(HOUR(A807)&gt;=0, HOUR(A807)&lt;10), "Morning",
    AND(HOUR(A807)&gt;=10, HOUR(A807)&lt;15), "Afternoon",
    AND(HOUR(E807)&gt;=15, HOUR(E807)&lt;19), "Evening",
    AND(HOUR(E807)&gt;=19, HOUR(E807)&lt;=23), "Night"
)</f>
        <v>Afternoon</v>
      </c>
    </row>
    <row r="808" spans="1:14" x14ac:dyDescent="0.25">
      <c r="A808" s="3">
        <v>42656.543055555558</v>
      </c>
      <c r="B808" s="2">
        <f t="shared" si="74"/>
        <v>42656</v>
      </c>
      <c r="C808" t="str">
        <f t="shared" si="75"/>
        <v>October</v>
      </c>
      <c r="D808" t="str">
        <f t="shared" si="76"/>
        <v>Thursday</v>
      </c>
      <c r="E808" t="str">
        <f t="shared" si="72"/>
        <v>01:02:00 PM</v>
      </c>
      <c r="F808" s="3">
        <v>42656.543055555558</v>
      </c>
      <c r="G808" s="4">
        <f t="shared" si="77"/>
        <v>0.5430555555576575</v>
      </c>
      <c r="H808" t="str">
        <f t="shared" si="73"/>
        <v>0 min</v>
      </c>
      <c r="I808" t="s">
        <v>2</v>
      </c>
      <c r="J808" t="s">
        <v>105</v>
      </c>
      <c r="K808" t="s">
        <v>105</v>
      </c>
      <c r="L808">
        <v>0.7</v>
      </c>
      <c r="M808" t="s">
        <v>52</v>
      </c>
      <c r="N808" t="str" cm="1">
        <f t="array" ref="N808">_xlfn.IFS(
    AND(HOUR(A808)&gt;=0, HOUR(A808)&lt;10), "Morning",
    AND(HOUR(A808)&gt;=10, HOUR(A808)&lt;15), "Afternoon",
    AND(HOUR(E808)&gt;=15, HOUR(E808)&lt;19), "Evening",
    AND(HOUR(E808)&gt;=19, HOUR(E808)&lt;=23), "Night"
)</f>
        <v>Afternoon</v>
      </c>
    </row>
    <row r="809" spans="1:14" x14ac:dyDescent="0.25">
      <c r="A809" s="3">
        <v>42656.567361111112</v>
      </c>
      <c r="B809" s="2">
        <f t="shared" si="74"/>
        <v>42656</v>
      </c>
      <c r="C809" t="str">
        <f t="shared" si="75"/>
        <v>October</v>
      </c>
      <c r="D809" t="str">
        <f t="shared" si="76"/>
        <v>Thursday</v>
      </c>
      <c r="E809" t="str">
        <f t="shared" si="72"/>
        <v>01:37:00 PM</v>
      </c>
      <c r="F809" s="3">
        <v>42656.573611111111</v>
      </c>
      <c r="G809" s="4">
        <f t="shared" si="77"/>
        <v>0.57361111111094942</v>
      </c>
      <c r="H809" t="str">
        <f t="shared" si="73"/>
        <v>9 min</v>
      </c>
      <c r="I809" t="s">
        <v>2</v>
      </c>
      <c r="J809" t="s">
        <v>105</v>
      </c>
      <c r="K809" t="s">
        <v>105</v>
      </c>
      <c r="L809">
        <v>2.2999999999999998</v>
      </c>
      <c r="M809" t="s">
        <v>52</v>
      </c>
      <c r="N809" t="str" cm="1">
        <f t="array" ref="N809">_xlfn.IFS(
    AND(HOUR(A809)&gt;=0, HOUR(A809)&lt;10), "Morning",
    AND(HOUR(A809)&gt;=10, HOUR(A809)&lt;15), "Afternoon",
    AND(HOUR(E809)&gt;=15, HOUR(E809)&lt;19), "Evening",
    AND(HOUR(E809)&gt;=19, HOUR(E809)&lt;=23), "Night"
)</f>
        <v>Afternoon</v>
      </c>
    </row>
    <row r="810" spans="1:14" x14ac:dyDescent="0.25">
      <c r="A810" s="3">
        <v>42656.672222222223</v>
      </c>
      <c r="B810" s="2">
        <f t="shared" si="74"/>
        <v>42656</v>
      </c>
      <c r="C810" t="str">
        <f t="shared" si="75"/>
        <v>October</v>
      </c>
      <c r="D810" t="str">
        <f t="shared" si="76"/>
        <v>Thursday</v>
      </c>
      <c r="E810" t="str">
        <f t="shared" si="72"/>
        <v>04:08:00 PM</v>
      </c>
      <c r="F810" s="3">
        <v>42656.703472222223</v>
      </c>
      <c r="G810" s="4">
        <f t="shared" si="77"/>
        <v>0.70347222222335404</v>
      </c>
      <c r="H810" t="str">
        <f t="shared" si="73"/>
        <v>45 min</v>
      </c>
      <c r="I810" t="s">
        <v>2</v>
      </c>
      <c r="J810" t="s">
        <v>105</v>
      </c>
      <c r="K810" t="s">
        <v>102</v>
      </c>
      <c r="L810">
        <v>10.9</v>
      </c>
      <c r="M810" t="s">
        <v>52</v>
      </c>
      <c r="N810" t="str" cm="1">
        <f t="array" ref="N810">_xlfn.IFS(
    AND(HOUR(A810)&gt;=0, HOUR(A810)&lt;10), "Morning",
    AND(HOUR(A810)&gt;=10, HOUR(A810)&lt;15), "Afternoon",
    AND(HOUR(E810)&gt;=15, HOUR(E810)&lt;19), "Evening",
    AND(HOUR(E810)&gt;=19, HOUR(E810)&lt;=23), "Night"
)</f>
        <v>Evening</v>
      </c>
    </row>
    <row r="811" spans="1:14" x14ac:dyDescent="0.25">
      <c r="A811" s="3">
        <v>42657.368055555555</v>
      </c>
      <c r="B811" s="2">
        <f t="shared" si="74"/>
        <v>42657</v>
      </c>
      <c r="C811" t="str">
        <f t="shared" si="75"/>
        <v>October</v>
      </c>
      <c r="D811" t="str">
        <f t="shared" si="76"/>
        <v>Friday</v>
      </c>
      <c r="E811" t="str">
        <f t="shared" si="72"/>
        <v>08:50:00 AM</v>
      </c>
      <c r="F811" s="3">
        <v>42657.405555555553</v>
      </c>
      <c r="G811" s="4">
        <f t="shared" si="77"/>
        <v>0.40555555555329192</v>
      </c>
      <c r="H811" t="str">
        <f t="shared" si="73"/>
        <v>54 min</v>
      </c>
      <c r="I811" t="s">
        <v>2</v>
      </c>
      <c r="J811" t="s">
        <v>102</v>
      </c>
      <c r="K811" t="s">
        <v>106</v>
      </c>
      <c r="L811">
        <v>12.7</v>
      </c>
      <c r="M811" t="s">
        <v>52</v>
      </c>
      <c r="N811" t="str" cm="1">
        <f t="array" ref="N811">_xlfn.IFS(
    AND(HOUR(A811)&gt;=0, HOUR(A811)&lt;10), "Morning",
    AND(HOUR(A811)&gt;=10, HOUR(A811)&lt;15), "Afternoon",
    AND(HOUR(E811)&gt;=15, HOUR(E811)&lt;19), "Evening",
    AND(HOUR(E811)&gt;=19, HOUR(E811)&lt;=23), "Night"
)</f>
        <v>Morning</v>
      </c>
    </row>
    <row r="812" spans="1:14" x14ac:dyDescent="0.25">
      <c r="A812" s="3">
        <v>42657.427777777775</v>
      </c>
      <c r="B812" s="2">
        <f t="shared" si="74"/>
        <v>42657</v>
      </c>
      <c r="C812" t="str">
        <f t="shared" si="75"/>
        <v>October</v>
      </c>
      <c r="D812" t="str">
        <f t="shared" si="76"/>
        <v>Friday</v>
      </c>
      <c r="E812" t="str">
        <f t="shared" si="72"/>
        <v>10:16:00 AM</v>
      </c>
      <c r="F812" s="3">
        <v>42657.452777777777</v>
      </c>
      <c r="G812" s="4">
        <f t="shared" si="77"/>
        <v>0.45277777777664596</v>
      </c>
      <c r="H812" t="str">
        <f t="shared" si="73"/>
        <v>36 min</v>
      </c>
      <c r="I812" t="s">
        <v>2</v>
      </c>
      <c r="J812" t="s">
        <v>106</v>
      </c>
      <c r="K812" t="s">
        <v>102</v>
      </c>
      <c r="L812">
        <v>12.4</v>
      </c>
      <c r="M812" t="s">
        <v>52</v>
      </c>
      <c r="N812" t="str" cm="1">
        <f t="array" ref="N812">_xlfn.IFS(
    AND(HOUR(A812)&gt;=0, HOUR(A812)&lt;10), "Morning",
    AND(HOUR(A812)&gt;=10, HOUR(A812)&lt;15), "Afternoon",
    AND(HOUR(E812)&gt;=15, HOUR(E812)&lt;19), "Evening",
    AND(HOUR(E812)&gt;=19, HOUR(E812)&lt;=23), "Night"
)</f>
        <v>Afternoon</v>
      </c>
    </row>
    <row r="813" spans="1:14" x14ac:dyDescent="0.25">
      <c r="A813" s="3">
        <v>42657.663888888892</v>
      </c>
      <c r="B813" s="2">
        <f t="shared" si="74"/>
        <v>42657</v>
      </c>
      <c r="C813" t="str">
        <f t="shared" si="75"/>
        <v>October</v>
      </c>
      <c r="D813" t="str">
        <f t="shared" si="76"/>
        <v>Friday</v>
      </c>
      <c r="E813" t="str">
        <f t="shared" si="72"/>
        <v>03:56:00 PM</v>
      </c>
      <c r="F813" s="3">
        <v>42657.680555555555</v>
      </c>
      <c r="G813" s="4">
        <f t="shared" si="77"/>
        <v>0.68055555555474712</v>
      </c>
      <c r="H813" t="str">
        <f t="shared" si="73"/>
        <v>24 min</v>
      </c>
      <c r="I813" t="s">
        <v>2</v>
      </c>
      <c r="J813" t="s">
        <v>102</v>
      </c>
      <c r="K813" t="s">
        <v>102</v>
      </c>
      <c r="L813">
        <v>3.8</v>
      </c>
      <c r="M813" t="s">
        <v>52</v>
      </c>
      <c r="N813" t="str" cm="1">
        <f t="array" ref="N813">_xlfn.IFS(
    AND(HOUR(A813)&gt;=0, HOUR(A813)&lt;10), "Morning",
    AND(HOUR(A813)&gt;=10, HOUR(A813)&lt;15), "Afternoon",
    AND(HOUR(E813)&gt;=15, HOUR(E813)&lt;19), "Evening",
    AND(HOUR(E813)&gt;=19, HOUR(E813)&lt;=23), "Night"
)</f>
        <v>Evening</v>
      </c>
    </row>
    <row r="814" spans="1:14" x14ac:dyDescent="0.25">
      <c r="A814" s="3">
        <v>42657.995833333334</v>
      </c>
      <c r="B814" s="2">
        <f t="shared" si="74"/>
        <v>42657</v>
      </c>
      <c r="C814" t="str">
        <f t="shared" si="75"/>
        <v>October</v>
      </c>
      <c r="D814" t="str">
        <f t="shared" si="76"/>
        <v>Friday</v>
      </c>
      <c r="E814" t="str">
        <f t="shared" si="72"/>
        <v>11:54:00 PM</v>
      </c>
      <c r="F814" s="3">
        <v>42658.087500000001</v>
      </c>
      <c r="G814" s="4">
        <f t="shared" si="77"/>
        <v>8.7500000001455192E-2</v>
      </c>
      <c r="H814" t="str">
        <f t="shared" si="73"/>
        <v>132 min</v>
      </c>
      <c r="I814" t="s">
        <v>2</v>
      </c>
      <c r="J814" t="s">
        <v>102</v>
      </c>
      <c r="K814" t="s">
        <v>106</v>
      </c>
      <c r="L814">
        <v>17</v>
      </c>
      <c r="M814" t="s">
        <v>10</v>
      </c>
      <c r="N814" t="str" cm="1">
        <f t="array" ref="N814">_xlfn.IFS(
    AND(HOUR(A814)&gt;=0, HOUR(A814)&lt;10), "Morning",
    AND(HOUR(A814)&gt;=10, HOUR(A814)&lt;15), "Afternoon",
    AND(HOUR(E814)&gt;=15, HOUR(E814)&lt;19), "Evening",
    AND(HOUR(E814)&gt;=19, HOUR(E814)&lt;=23), "Night"
)</f>
        <v>Night</v>
      </c>
    </row>
    <row r="815" spans="1:14" x14ac:dyDescent="0.25">
      <c r="A815" s="3">
        <v>42658.936111111114</v>
      </c>
      <c r="B815" s="2">
        <f t="shared" si="74"/>
        <v>42658</v>
      </c>
      <c r="C815" t="str">
        <f t="shared" si="75"/>
        <v>October</v>
      </c>
      <c r="D815" t="str">
        <f t="shared" si="76"/>
        <v>Saturday</v>
      </c>
      <c r="E815" t="str">
        <f t="shared" si="72"/>
        <v>10:28:00 PM</v>
      </c>
      <c r="F815" s="3">
        <v>42658.95</v>
      </c>
      <c r="G815" s="4">
        <f t="shared" si="77"/>
        <v>0.94999999999708962</v>
      </c>
      <c r="H815" t="str">
        <f t="shared" si="73"/>
        <v>20 min</v>
      </c>
      <c r="I815" t="s">
        <v>2</v>
      </c>
      <c r="J815" t="s">
        <v>56</v>
      </c>
      <c r="K815" t="s">
        <v>56</v>
      </c>
      <c r="L815">
        <v>6.2</v>
      </c>
      <c r="M815" t="s">
        <v>52</v>
      </c>
      <c r="N815" t="str" cm="1">
        <f t="array" ref="N815">_xlfn.IFS(
    AND(HOUR(A815)&gt;=0, HOUR(A815)&lt;10), "Morning",
    AND(HOUR(A815)&gt;=10, HOUR(A815)&lt;15), "Afternoon",
    AND(HOUR(E815)&gt;=15, HOUR(E815)&lt;19), "Evening",
    AND(HOUR(E815)&gt;=19, HOUR(E815)&lt;=23), "Night"
)</f>
        <v>Night</v>
      </c>
    </row>
    <row r="816" spans="1:14" x14ac:dyDescent="0.25">
      <c r="A816" s="3">
        <v>42659.000694444447</v>
      </c>
      <c r="B816" s="2">
        <f t="shared" si="74"/>
        <v>42659</v>
      </c>
      <c r="C816" t="str">
        <f t="shared" si="75"/>
        <v>October</v>
      </c>
      <c r="D816" t="str">
        <f t="shared" si="76"/>
        <v>Sunday</v>
      </c>
      <c r="E816" t="str">
        <f t="shared" si="72"/>
        <v>12:01:00 AM</v>
      </c>
      <c r="F816" s="3">
        <v>42659.009722222225</v>
      </c>
      <c r="G816" s="4">
        <f t="shared" si="77"/>
        <v>9.7222222248092294E-3</v>
      </c>
      <c r="H816" t="str">
        <f t="shared" si="73"/>
        <v>13 min</v>
      </c>
      <c r="I816" t="s">
        <v>2</v>
      </c>
      <c r="J816" t="s">
        <v>56</v>
      </c>
      <c r="K816" t="s">
        <v>55</v>
      </c>
      <c r="L816">
        <v>3.1</v>
      </c>
      <c r="M816" t="s">
        <v>52</v>
      </c>
      <c r="N816" t="str" cm="1">
        <f t="array" ref="N816">_xlfn.IFS(
    AND(HOUR(A816)&gt;=0, HOUR(A816)&lt;10), "Morning",
    AND(HOUR(A816)&gt;=10, HOUR(A816)&lt;15), "Afternoon",
    AND(HOUR(E816)&gt;=15, HOUR(E816)&lt;19), "Evening",
    AND(HOUR(E816)&gt;=19, HOUR(E816)&lt;=23), "Night"
)</f>
        <v>Morning</v>
      </c>
    </row>
    <row r="817" spans="1:14" x14ac:dyDescent="0.25">
      <c r="A817" s="3">
        <v>42659.536111111112</v>
      </c>
      <c r="B817" s="2">
        <f t="shared" si="74"/>
        <v>42659</v>
      </c>
      <c r="C817" t="str">
        <f t="shared" si="75"/>
        <v>October</v>
      </c>
      <c r="D817" t="str">
        <f t="shared" si="76"/>
        <v>Sunday</v>
      </c>
      <c r="E817" t="str">
        <f t="shared" si="72"/>
        <v>12:52:00 PM</v>
      </c>
      <c r="F817" s="3">
        <v>42659.549305555556</v>
      </c>
      <c r="G817" s="4">
        <f t="shared" si="77"/>
        <v>0.54930555555620231</v>
      </c>
      <c r="H817" t="str">
        <f t="shared" si="73"/>
        <v>19 min</v>
      </c>
      <c r="I817" t="s">
        <v>2</v>
      </c>
      <c r="J817" t="s">
        <v>55</v>
      </c>
      <c r="K817" t="s">
        <v>75</v>
      </c>
      <c r="L817">
        <v>10.5</v>
      </c>
      <c r="M817" t="s">
        <v>10</v>
      </c>
      <c r="N817" t="str" cm="1">
        <f t="array" ref="N817">_xlfn.IFS(
    AND(HOUR(A817)&gt;=0, HOUR(A817)&lt;10), "Morning",
    AND(HOUR(A817)&gt;=10, HOUR(A817)&lt;15), "Afternoon",
    AND(HOUR(E817)&gt;=15, HOUR(E817)&lt;19), "Evening",
    AND(HOUR(E817)&gt;=19, HOUR(E817)&lt;=23), "Night"
)</f>
        <v>Afternoon</v>
      </c>
    </row>
    <row r="818" spans="1:14" x14ac:dyDescent="0.25">
      <c r="A818" s="3">
        <v>42659.611111111109</v>
      </c>
      <c r="B818" s="2">
        <f t="shared" si="74"/>
        <v>42659</v>
      </c>
      <c r="C818" t="str">
        <f t="shared" si="75"/>
        <v>October</v>
      </c>
      <c r="D818" t="str">
        <f t="shared" si="76"/>
        <v>Sunday</v>
      </c>
      <c r="E818" t="str">
        <f t="shared" si="72"/>
        <v>02:40:00 PM</v>
      </c>
      <c r="F818" s="3">
        <v>42659.625694444447</v>
      </c>
      <c r="G818" s="4">
        <f t="shared" si="77"/>
        <v>0.62569444444670808</v>
      </c>
      <c r="H818" t="str">
        <f t="shared" si="73"/>
        <v>21 min</v>
      </c>
      <c r="I818" t="s">
        <v>2</v>
      </c>
      <c r="J818" t="s">
        <v>75</v>
      </c>
      <c r="K818" t="s">
        <v>56</v>
      </c>
      <c r="L818">
        <v>8.1</v>
      </c>
      <c r="M818" t="s">
        <v>52</v>
      </c>
      <c r="N818" t="str" cm="1">
        <f t="array" ref="N818">_xlfn.IFS(
    AND(HOUR(A818)&gt;=0, HOUR(A818)&lt;10), "Morning",
    AND(HOUR(A818)&gt;=10, HOUR(A818)&lt;15), "Afternoon",
    AND(HOUR(E818)&gt;=15, HOUR(E818)&lt;19), "Evening",
    AND(HOUR(E818)&gt;=19, HOUR(E818)&lt;=23), "Night"
)</f>
        <v>Afternoon</v>
      </c>
    </row>
    <row r="819" spans="1:14" x14ac:dyDescent="0.25">
      <c r="A819" s="3">
        <v>42659.631944444445</v>
      </c>
      <c r="B819" s="2">
        <f t="shared" si="74"/>
        <v>42659</v>
      </c>
      <c r="C819" t="str">
        <f t="shared" si="75"/>
        <v>October</v>
      </c>
      <c r="D819" t="str">
        <f t="shared" si="76"/>
        <v>Sunday</v>
      </c>
      <c r="E819" t="str">
        <f t="shared" si="72"/>
        <v>03:10:00 PM</v>
      </c>
      <c r="F819" s="3">
        <v>42659.638194444444</v>
      </c>
      <c r="G819" s="4">
        <f t="shared" si="77"/>
        <v>0.63819444444379769</v>
      </c>
      <c r="H819" t="str">
        <f t="shared" si="73"/>
        <v>9 min</v>
      </c>
      <c r="I819" t="s">
        <v>2</v>
      </c>
      <c r="J819" t="s">
        <v>56</v>
      </c>
      <c r="K819" t="s">
        <v>55</v>
      </c>
      <c r="L819">
        <v>3.1</v>
      </c>
      <c r="M819" t="s">
        <v>52</v>
      </c>
      <c r="N819" t="str" cm="1">
        <f t="array" ref="N819">_xlfn.IFS(
    AND(HOUR(A819)&gt;=0, HOUR(A819)&lt;10), "Morning",
    AND(HOUR(A819)&gt;=10, HOUR(A819)&lt;15), "Afternoon",
    AND(HOUR(E819)&gt;=15, HOUR(E819)&lt;19), "Evening",
    AND(HOUR(E819)&gt;=19, HOUR(E819)&lt;=23), "Night"
)</f>
        <v>Evening</v>
      </c>
    </row>
    <row r="820" spans="1:14" x14ac:dyDescent="0.25">
      <c r="A820" s="3">
        <v>42659.810416666667</v>
      </c>
      <c r="B820" s="2">
        <f t="shared" si="74"/>
        <v>42659</v>
      </c>
      <c r="C820" t="str">
        <f t="shared" si="75"/>
        <v>October</v>
      </c>
      <c r="D820" t="str">
        <f t="shared" si="76"/>
        <v>Sunday</v>
      </c>
      <c r="E820" t="str">
        <f t="shared" si="72"/>
        <v>07:27:00 PM</v>
      </c>
      <c r="F820" s="3">
        <v>42659.814583333333</v>
      </c>
      <c r="G820" s="4">
        <f t="shared" si="77"/>
        <v>0.81458333333284827</v>
      </c>
      <c r="H820" t="str">
        <f t="shared" si="73"/>
        <v>6 min</v>
      </c>
      <c r="I820" t="s">
        <v>2</v>
      </c>
      <c r="J820" t="s">
        <v>77</v>
      </c>
      <c r="K820" t="s">
        <v>153</v>
      </c>
      <c r="L820">
        <v>2.1</v>
      </c>
      <c r="M820" t="s">
        <v>10</v>
      </c>
      <c r="N820" t="str" cm="1">
        <f t="array" ref="N820">_xlfn.IFS(
    AND(HOUR(A820)&gt;=0, HOUR(A820)&lt;10), "Morning",
    AND(HOUR(A820)&gt;=10, HOUR(A820)&lt;15), "Afternoon",
    AND(HOUR(E820)&gt;=15, HOUR(E820)&lt;19), "Evening",
    AND(HOUR(E820)&gt;=19, HOUR(E820)&lt;=23), "Night"
)</f>
        <v>Night</v>
      </c>
    </row>
    <row r="821" spans="1:14" x14ac:dyDescent="0.25">
      <c r="A821" s="3">
        <v>42659.854166666664</v>
      </c>
      <c r="B821" s="2">
        <f t="shared" si="74"/>
        <v>42659</v>
      </c>
      <c r="C821" t="str">
        <f t="shared" si="75"/>
        <v>October</v>
      </c>
      <c r="D821" t="str">
        <f t="shared" si="76"/>
        <v>Sunday</v>
      </c>
      <c r="E821" t="str">
        <f t="shared" si="72"/>
        <v>08:30:00 PM</v>
      </c>
      <c r="F821" s="3">
        <v>42659.86041666667</v>
      </c>
      <c r="G821" s="4">
        <f t="shared" si="77"/>
        <v>0.86041666667006211</v>
      </c>
      <c r="H821" t="str">
        <f t="shared" si="73"/>
        <v>9 min</v>
      </c>
      <c r="I821" t="s">
        <v>2</v>
      </c>
      <c r="J821" t="s">
        <v>55</v>
      </c>
      <c r="K821" t="s">
        <v>56</v>
      </c>
      <c r="L821">
        <v>4.3</v>
      </c>
      <c r="M821" t="s">
        <v>52</v>
      </c>
      <c r="N821" t="str" cm="1">
        <f t="array" ref="N821">_xlfn.IFS(
    AND(HOUR(A821)&gt;=0, HOUR(A821)&lt;10), "Morning",
    AND(HOUR(A821)&gt;=10, HOUR(A821)&lt;15), "Afternoon",
    AND(HOUR(E821)&gt;=15, HOUR(E821)&lt;19), "Evening",
    AND(HOUR(E821)&gt;=19, HOUR(E821)&lt;=23), "Night"
)</f>
        <v>Night</v>
      </c>
    </row>
    <row r="822" spans="1:14" x14ac:dyDescent="0.25">
      <c r="A822" s="3">
        <v>42659.898611111108</v>
      </c>
      <c r="B822" s="2">
        <f t="shared" si="74"/>
        <v>42659</v>
      </c>
      <c r="C822" t="str">
        <f t="shared" si="75"/>
        <v>October</v>
      </c>
      <c r="D822" t="str">
        <f t="shared" si="76"/>
        <v>Sunday</v>
      </c>
      <c r="E822" t="str">
        <f t="shared" si="72"/>
        <v>09:34:00 PM</v>
      </c>
      <c r="F822" s="3">
        <v>42659.90347222222</v>
      </c>
      <c r="G822" s="4">
        <f t="shared" si="77"/>
        <v>0.90347222222044365</v>
      </c>
      <c r="H822" t="str">
        <f t="shared" si="73"/>
        <v>7 min</v>
      </c>
      <c r="I822" t="s">
        <v>2</v>
      </c>
      <c r="J822" t="s">
        <v>56</v>
      </c>
      <c r="K822" t="s">
        <v>55</v>
      </c>
      <c r="L822">
        <v>2.5</v>
      </c>
      <c r="M822" t="s">
        <v>9</v>
      </c>
      <c r="N822" t="str" cm="1">
        <f t="array" ref="N822">_xlfn.IFS(
    AND(HOUR(A822)&gt;=0, HOUR(A822)&lt;10), "Morning",
    AND(HOUR(A822)&gt;=10, HOUR(A822)&lt;15), "Afternoon",
    AND(HOUR(E822)&gt;=15, HOUR(E822)&lt;19), "Evening",
    AND(HOUR(E822)&gt;=19, HOUR(E822)&lt;=23), "Night"
)</f>
        <v>Night</v>
      </c>
    </row>
    <row r="823" spans="1:14" x14ac:dyDescent="0.25">
      <c r="A823" s="3">
        <v>42660.638194444444</v>
      </c>
      <c r="B823" s="2">
        <f t="shared" si="74"/>
        <v>42660</v>
      </c>
      <c r="C823" t="str">
        <f t="shared" si="75"/>
        <v>October</v>
      </c>
      <c r="D823" t="str">
        <f t="shared" si="76"/>
        <v>Monday</v>
      </c>
      <c r="E823" t="str">
        <f t="shared" si="72"/>
        <v>03:19:00 PM</v>
      </c>
      <c r="F823" s="3">
        <v>42660.664583333331</v>
      </c>
      <c r="G823" s="4">
        <f t="shared" si="77"/>
        <v>0.66458333333139308</v>
      </c>
      <c r="H823" t="str">
        <f t="shared" si="73"/>
        <v>38 min</v>
      </c>
      <c r="I823" t="s">
        <v>2</v>
      </c>
      <c r="J823" t="s">
        <v>55</v>
      </c>
      <c r="K823" t="s">
        <v>79</v>
      </c>
      <c r="L823">
        <v>20.6</v>
      </c>
      <c r="M823" t="s">
        <v>52</v>
      </c>
      <c r="N823" t="str" cm="1">
        <f t="array" ref="N823">_xlfn.IFS(
    AND(HOUR(A823)&gt;=0, HOUR(A823)&lt;10), "Morning",
    AND(HOUR(A823)&gt;=10, HOUR(A823)&lt;15), "Afternoon",
    AND(HOUR(E823)&gt;=15, HOUR(E823)&lt;19), "Evening",
    AND(HOUR(E823)&gt;=19, HOUR(E823)&lt;=23), "Night"
)</f>
        <v>Evening</v>
      </c>
    </row>
    <row r="824" spans="1:14" x14ac:dyDescent="0.25">
      <c r="A824" s="3">
        <v>42660.686805555553</v>
      </c>
      <c r="B824" s="2">
        <f t="shared" si="74"/>
        <v>42660</v>
      </c>
      <c r="C824" t="str">
        <f t="shared" si="75"/>
        <v>October</v>
      </c>
      <c r="D824" t="str">
        <f t="shared" si="76"/>
        <v>Monday</v>
      </c>
      <c r="E824" t="str">
        <f t="shared" si="72"/>
        <v>04:29:00 PM</v>
      </c>
      <c r="F824" s="3">
        <v>42660.71597222222</v>
      </c>
      <c r="G824" s="4">
        <f t="shared" si="77"/>
        <v>0.71597222222044365</v>
      </c>
      <c r="H824" t="str">
        <f t="shared" si="73"/>
        <v>42 min</v>
      </c>
      <c r="I824" t="s">
        <v>2</v>
      </c>
      <c r="J824" t="s">
        <v>79</v>
      </c>
      <c r="K824" t="s">
        <v>55</v>
      </c>
      <c r="L824">
        <v>17.600000000000001</v>
      </c>
      <c r="M824" t="s">
        <v>52</v>
      </c>
      <c r="N824" t="str" cm="1">
        <f t="array" ref="N824">_xlfn.IFS(
    AND(HOUR(A824)&gt;=0, HOUR(A824)&lt;10), "Morning",
    AND(HOUR(A824)&gt;=10, HOUR(A824)&lt;15), "Afternoon",
    AND(HOUR(E824)&gt;=15, HOUR(E824)&lt;19), "Evening",
    AND(HOUR(E824)&gt;=19, HOUR(E824)&lt;=23), "Night"
)</f>
        <v>Evening</v>
      </c>
    </row>
    <row r="825" spans="1:14" x14ac:dyDescent="0.25">
      <c r="A825" s="3">
        <v>42660.751388888886</v>
      </c>
      <c r="B825" s="2">
        <f t="shared" si="74"/>
        <v>42660</v>
      </c>
      <c r="C825" t="str">
        <f t="shared" si="75"/>
        <v>October</v>
      </c>
      <c r="D825" t="str">
        <f t="shared" si="76"/>
        <v>Monday</v>
      </c>
      <c r="E825" t="str">
        <f t="shared" si="72"/>
        <v>06:02:00 PM</v>
      </c>
      <c r="F825" s="3">
        <v>42660.761111111111</v>
      </c>
      <c r="G825" s="4">
        <f t="shared" si="77"/>
        <v>0.76111111111094942</v>
      </c>
      <c r="H825" t="str">
        <f t="shared" si="73"/>
        <v>14 min</v>
      </c>
      <c r="I825" t="s">
        <v>2</v>
      </c>
      <c r="J825" t="s">
        <v>55</v>
      </c>
      <c r="K825" t="s">
        <v>87</v>
      </c>
      <c r="L825">
        <v>5.6</v>
      </c>
      <c r="M825" t="s">
        <v>52</v>
      </c>
      <c r="N825" t="str" cm="1">
        <f t="array" ref="N825">_xlfn.IFS(
    AND(HOUR(A825)&gt;=0, HOUR(A825)&lt;10), "Morning",
    AND(HOUR(A825)&gt;=10, HOUR(A825)&lt;15), "Afternoon",
    AND(HOUR(E825)&gt;=15, HOUR(E825)&lt;19), "Evening",
    AND(HOUR(E825)&gt;=19, HOUR(E825)&lt;=23), "Night"
)</f>
        <v>Evening</v>
      </c>
    </row>
    <row r="826" spans="1:14" x14ac:dyDescent="0.25">
      <c r="A826" s="3">
        <v>42660.771527777775</v>
      </c>
      <c r="B826" s="2">
        <f t="shared" si="74"/>
        <v>42660</v>
      </c>
      <c r="C826" t="str">
        <f t="shared" si="75"/>
        <v>October</v>
      </c>
      <c r="D826" t="str">
        <f t="shared" si="76"/>
        <v>Monday</v>
      </c>
      <c r="E826" t="str">
        <f t="shared" si="72"/>
        <v>06:31:00 PM</v>
      </c>
      <c r="F826" s="3">
        <v>42660.78125</v>
      </c>
      <c r="G826" s="4">
        <f t="shared" si="77"/>
        <v>0.78125</v>
      </c>
      <c r="H826" t="str">
        <f t="shared" si="73"/>
        <v>14 min</v>
      </c>
      <c r="I826" t="s">
        <v>2</v>
      </c>
      <c r="J826" t="s">
        <v>87</v>
      </c>
      <c r="K826" t="s">
        <v>87</v>
      </c>
      <c r="L826">
        <v>3.3</v>
      </c>
      <c r="M826" t="s">
        <v>52</v>
      </c>
      <c r="N826" t="str" cm="1">
        <f t="array" ref="N826">_xlfn.IFS(
    AND(HOUR(A826)&gt;=0, HOUR(A826)&lt;10), "Morning",
    AND(HOUR(A826)&gt;=10, HOUR(A826)&lt;15), "Afternoon",
    AND(HOUR(E826)&gt;=15, HOUR(E826)&lt;19), "Evening",
    AND(HOUR(E826)&gt;=19, HOUR(E826)&lt;=23), "Night"
)</f>
        <v>Evening</v>
      </c>
    </row>
    <row r="827" spans="1:14" x14ac:dyDescent="0.25">
      <c r="A827" s="3">
        <v>42660.797222222223</v>
      </c>
      <c r="B827" s="2">
        <f t="shared" si="74"/>
        <v>42660</v>
      </c>
      <c r="C827" t="str">
        <f t="shared" si="75"/>
        <v>October</v>
      </c>
      <c r="D827" t="str">
        <f t="shared" si="76"/>
        <v>Monday</v>
      </c>
      <c r="E827" t="str">
        <f t="shared" si="72"/>
        <v>07:08:00 PM</v>
      </c>
      <c r="F827" s="3">
        <v>42660.809027777781</v>
      </c>
      <c r="G827" s="4">
        <f t="shared" si="77"/>
        <v>0.80902777778101154</v>
      </c>
      <c r="H827" t="str">
        <f t="shared" si="73"/>
        <v>17 min</v>
      </c>
      <c r="I827" t="s">
        <v>2</v>
      </c>
      <c r="J827" t="s">
        <v>87</v>
      </c>
      <c r="K827" t="s">
        <v>55</v>
      </c>
      <c r="L827">
        <v>5.3</v>
      </c>
      <c r="M827" t="s">
        <v>52</v>
      </c>
      <c r="N827" t="str" cm="1">
        <f t="array" ref="N827">_xlfn.IFS(
    AND(HOUR(A827)&gt;=0, HOUR(A827)&lt;10), "Morning",
    AND(HOUR(A827)&gt;=10, HOUR(A827)&lt;15), "Afternoon",
    AND(HOUR(E827)&gt;=15, HOUR(E827)&lt;19), "Evening",
    AND(HOUR(E827)&gt;=19, HOUR(E827)&lt;=23), "Night"
)</f>
        <v>Night</v>
      </c>
    </row>
    <row r="828" spans="1:14" x14ac:dyDescent="0.25">
      <c r="A828" s="3">
        <v>42661.341666666667</v>
      </c>
      <c r="B828" s="2">
        <f t="shared" si="74"/>
        <v>42661</v>
      </c>
      <c r="C828" t="str">
        <f t="shared" si="75"/>
        <v>October</v>
      </c>
      <c r="D828" t="str">
        <f t="shared" si="76"/>
        <v>Tuesday</v>
      </c>
      <c r="E828" t="str">
        <f t="shared" si="72"/>
        <v>08:12:00 AM</v>
      </c>
      <c r="F828" s="3">
        <v>42661.348611111112</v>
      </c>
      <c r="G828" s="4">
        <f t="shared" si="77"/>
        <v>0.34861111111240461</v>
      </c>
      <c r="H828" t="str">
        <f t="shared" si="73"/>
        <v>10 min</v>
      </c>
      <c r="I828" t="s">
        <v>2</v>
      </c>
      <c r="J828" t="s">
        <v>77</v>
      </c>
      <c r="K828" t="s">
        <v>92</v>
      </c>
      <c r="L828">
        <v>3.3</v>
      </c>
      <c r="M828" t="s">
        <v>52</v>
      </c>
      <c r="N828" t="str" cm="1">
        <f t="array" ref="N828">_xlfn.IFS(
    AND(HOUR(A828)&gt;=0, HOUR(A828)&lt;10), "Morning",
    AND(HOUR(A828)&gt;=10, HOUR(A828)&lt;15), "Afternoon",
    AND(HOUR(E828)&gt;=15, HOUR(E828)&lt;19), "Evening",
    AND(HOUR(E828)&gt;=19, HOUR(E828)&lt;=23), "Night"
)</f>
        <v>Morning</v>
      </c>
    </row>
    <row r="829" spans="1:14" x14ac:dyDescent="0.25">
      <c r="A829" s="3">
        <v>42661.370138888888</v>
      </c>
      <c r="B829" s="2">
        <f t="shared" si="74"/>
        <v>42661</v>
      </c>
      <c r="C829" t="str">
        <f t="shared" si="75"/>
        <v>October</v>
      </c>
      <c r="D829" t="str">
        <f t="shared" si="76"/>
        <v>Tuesday</v>
      </c>
      <c r="E829" t="str">
        <f t="shared" si="72"/>
        <v>08:53:00 AM</v>
      </c>
      <c r="F829" s="3">
        <v>42661.376388888886</v>
      </c>
      <c r="G829" s="4">
        <f t="shared" si="77"/>
        <v>0.37638888888614019</v>
      </c>
      <c r="H829" t="str">
        <f t="shared" si="73"/>
        <v>9 min</v>
      </c>
      <c r="I829" t="s">
        <v>2</v>
      </c>
      <c r="J829" t="s">
        <v>92</v>
      </c>
      <c r="K829" t="s">
        <v>77</v>
      </c>
      <c r="L829">
        <v>3.3</v>
      </c>
      <c r="M829" t="s">
        <v>52</v>
      </c>
      <c r="N829" t="str" cm="1">
        <f t="array" ref="N829">_xlfn.IFS(
    AND(HOUR(A829)&gt;=0, HOUR(A829)&lt;10), "Morning",
    AND(HOUR(A829)&gt;=10, HOUR(A829)&lt;15), "Afternoon",
    AND(HOUR(E829)&gt;=15, HOUR(E829)&lt;19), "Evening",
    AND(HOUR(E829)&gt;=19, HOUR(E829)&lt;=23), "Night"
)</f>
        <v>Morning</v>
      </c>
    </row>
    <row r="830" spans="1:14" x14ac:dyDescent="0.25">
      <c r="A830" s="3">
        <v>42661.445138888892</v>
      </c>
      <c r="B830" s="2">
        <f t="shared" si="74"/>
        <v>42661</v>
      </c>
      <c r="C830" t="str">
        <f t="shared" si="75"/>
        <v>October</v>
      </c>
      <c r="D830" t="str">
        <f t="shared" si="76"/>
        <v>Tuesday</v>
      </c>
      <c r="E830" t="str">
        <f t="shared" si="72"/>
        <v>10:41:00 AM</v>
      </c>
      <c r="F830" s="3">
        <v>42661.464583333334</v>
      </c>
      <c r="G830" s="4">
        <f t="shared" si="77"/>
        <v>0.46458333333430346</v>
      </c>
      <c r="H830" t="str">
        <f t="shared" si="73"/>
        <v>28 min</v>
      </c>
      <c r="I830" t="s">
        <v>2</v>
      </c>
      <c r="J830" t="s">
        <v>55</v>
      </c>
      <c r="K830" t="s">
        <v>56</v>
      </c>
      <c r="L830">
        <v>7.9</v>
      </c>
      <c r="M830" t="s">
        <v>11</v>
      </c>
      <c r="N830" t="str" cm="1">
        <f t="array" ref="N830">_xlfn.IFS(
    AND(HOUR(A830)&gt;=0, HOUR(A830)&lt;10), "Morning",
    AND(HOUR(A830)&gt;=10, HOUR(A830)&lt;15), "Afternoon",
    AND(HOUR(E830)&gt;=15, HOUR(E830)&lt;19), "Evening",
    AND(HOUR(E830)&gt;=19, HOUR(E830)&lt;=23), "Night"
)</f>
        <v>Afternoon</v>
      </c>
    </row>
    <row r="831" spans="1:14" x14ac:dyDescent="0.25">
      <c r="A831" s="3">
        <v>42661.758333333331</v>
      </c>
      <c r="B831" s="2">
        <f t="shared" si="74"/>
        <v>42661</v>
      </c>
      <c r="C831" t="str">
        <f t="shared" si="75"/>
        <v>October</v>
      </c>
      <c r="D831" t="str">
        <f t="shared" si="76"/>
        <v>Tuesday</v>
      </c>
      <c r="E831" t="str">
        <f t="shared" si="72"/>
        <v>06:12:00 PM</v>
      </c>
      <c r="F831" s="3">
        <v>42661.772916666669</v>
      </c>
      <c r="G831" s="4">
        <f t="shared" si="77"/>
        <v>0.77291666666860692</v>
      </c>
      <c r="H831" t="str">
        <f t="shared" si="73"/>
        <v>21 min</v>
      </c>
      <c r="I831" t="s">
        <v>2</v>
      </c>
      <c r="J831" t="s">
        <v>182</v>
      </c>
      <c r="K831" t="s">
        <v>183</v>
      </c>
      <c r="L831">
        <v>13</v>
      </c>
      <c r="M831" t="s">
        <v>52</v>
      </c>
      <c r="N831" t="str" cm="1">
        <f t="array" ref="N831">_xlfn.IFS(
    AND(HOUR(A831)&gt;=0, HOUR(A831)&lt;10), "Morning",
    AND(HOUR(A831)&gt;=10, HOUR(A831)&lt;15), "Afternoon",
    AND(HOUR(E831)&gt;=15, HOUR(E831)&lt;19), "Evening",
    AND(HOUR(E831)&gt;=19, HOUR(E831)&lt;=23), "Night"
)</f>
        <v>Evening</v>
      </c>
    </row>
    <row r="832" spans="1:14" x14ac:dyDescent="0.25">
      <c r="A832" s="3">
        <v>42661.793749999997</v>
      </c>
      <c r="B832" s="2">
        <f t="shared" si="74"/>
        <v>42661</v>
      </c>
      <c r="C832" t="str">
        <f t="shared" si="75"/>
        <v>October</v>
      </c>
      <c r="D832" t="str">
        <f t="shared" si="76"/>
        <v>Tuesday</v>
      </c>
      <c r="E832" t="str">
        <f t="shared" si="72"/>
        <v>07:03:00 PM</v>
      </c>
      <c r="F832" s="3">
        <v>42661.800694444442</v>
      </c>
      <c r="G832" s="4">
        <f t="shared" si="77"/>
        <v>0.8006944444423425</v>
      </c>
      <c r="H832" t="str">
        <f t="shared" si="73"/>
        <v>10 min</v>
      </c>
      <c r="I832" t="s">
        <v>2</v>
      </c>
      <c r="J832" t="s">
        <v>183</v>
      </c>
      <c r="K832" t="s">
        <v>184</v>
      </c>
      <c r="L832">
        <v>3</v>
      </c>
      <c r="M832" t="s">
        <v>52</v>
      </c>
      <c r="N832" t="str" cm="1">
        <f t="array" ref="N832">_xlfn.IFS(
    AND(HOUR(A832)&gt;=0, HOUR(A832)&lt;10), "Morning",
    AND(HOUR(A832)&gt;=10, HOUR(A832)&lt;15), "Afternoon",
    AND(HOUR(E832)&gt;=15, HOUR(E832)&lt;19), "Evening",
    AND(HOUR(E832)&gt;=19, HOUR(E832)&lt;=23), "Night"
)</f>
        <v>Night</v>
      </c>
    </row>
    <row r="833" spans="1:14" x14ac:dyDescent="0.25">
      <c r="A833" s="3">
        <v>42661.854861111111</v>
      </c>
      <c r="B833" s="2">
        <f t="shared" si="74"/>
        <v>42661</v>
      </c>
      <c r="C833" t="str">
        <f t="shared" si="75"/>
        <v>October</v>
      </c>
      <c r="D833" t="str">
        <f t="shared" si="76"/>
        <v>Tuesday</v>
      </c>
      <c r="E833" t="str">
        <f t="shared" si="72"/>
        <v>08:31:00 PM</v>
      </c>
      <c r="F833" s="3">
        <v>42661.859027777777</v>
      </c>
      <c r="G833" s="4">
        <f t="shared" si="77"/>
        <v>0.85902777777664596</v>
      </c>
      <c r="H833" t="str">
        <f t="shared" si="73"/>
        <v>6 min</v>
      </c>
      <c r="I833" t="s">
        <v>2</v>
      </c>
      <c r="J833" t="s">
        <v>184</v>
      </c>
      <c r="K833" t="s">
        <v>183</v>
      </c>
      <c r="L833">
        <v>3</v>
      </c>
      <c r="M833" t="s">
        <v>52</v>
      </c>
      <c r="N833" t="str" cm="1">
        <f t="array" ref="N833">_xlfn.IFS(
    AND(HOUR(A833)&gt;=0, HOUR(A833)&lt;10), "Morning",
    AND(HOUR(A833)&gt;=10, HOUR(A833)&lt;15), "Afternoon",
    AND(HOUR(E833)&gt;=15, HOUR(E833)&lt;19), "Evening",
    AND(HOUR(E833)&gt;=19, HOUR(E833)&lt;=23), "Night"
)</f>
        <v>Night</v>
      </c>
    </row>
    <row r="834" spans="1:14" x14ac:dyDescent="0.25">
      <c r="A834" s="3">
        <v>42662.397916666669</v>
      </c>
      <c r="B834" s="2">
        <f t="shared" si="74"/>
        <v>42662</v>
      </c>
      <c r="C834" t="str">
        <f t="shared" si="75"/>
        <v>October</v>
      </c>
      <c r="D834" t="str">
        <f t="shared" si="76"/>
        <v>Wednesday</v>
      </c>
      <c r="E834" t="str">
        <f t="shared" ref="E834:E897" si="78">TEXT(A834, "hh:mm:ss AM/PM")</f>
        <v>09:33:00 AM</v>
      </c>
      <c r="F834" s="3">
        <v>42662.407638888886</v>
      </c>
      <c r="G834" s="4">
        <f t="shared" si="77"/>
        <v>0.40763888888614019</v>
      </c>
      <c r="H834" t="str">
        <f t="shared" ref="H834:H897" si="79">HOUR(IF(G834&lt;E834, G834+1-E834, G834-E834))*60 + MINUTE(IF(G834&lt;E834, G834+1-E834, G834-E834)) &amp; " min"</f>
        <v>14 min</v>
      </c>
      <c r="I834" t="s">
        <v>2</v>
      </c>
      <c r="J834" t="s">
        <v>183</v>
      </c>
      <c r="K834" t="s">
        <v>182</v>
      </c>
      <c r="L834">
        <v>3.8</v>
      </c>
      <c r="M834" t="s">
        <v>52</v>
      </c>
      <c r="N834" t="str" cm="1">
        <f t="array" ref="N834">_xlfn.IFS(
    AND(HOUR(A834)&gt;=0, HOUR(A834)&lt;10), "Morning",
    AND(HOUR(A834)&gt;=10, HOUR(A834)&lt;15), "Afternoon",
    AND(HOUR(E834)&gt;=15, HOUR(E834)&lt;19), "Evening",
    AND(HOUR(E834)&gt;=19, HOUR(E834)&lt;=23), "Night"
)</f>
        <v>Morning</v>
      </c>
    </row>
    <row r="835" spans="1:14" x14ac:dyDescent="0.25">
      <c r="A835" s="3">
        <v>42662.412499999999</v>
      </c>
      <c r="B835" s="2">
        <f t="shared" ref="B835:B898" si="80">INT(A835)</f>
        <v>42662</v>
      </c>
      <c r="C835" t="str">
        <f t="shared" ref="C835:C898" si="81">TEXT(B835, "mmmm")</f>
        <v>October</v>
      </c>
      <c r="D835" t="str">
        <f t="shared" ref="D835:D898" si="82">TEXT(B835, "dddd")</f>
        <v>Wednesday</v>
      </c>
      <c r="E835" t="str">
        <f t="shared" si="78"/>
        <v>09:54:00 AM</v>
      </c>
      <c r="F835" s="3">
        <v>42662.431250000001</v>
      </c>
      <c r="G835" s="4">
        <f t="shared" ref="G835:G898" si="83">F835-INT(F835)</f>
        <v>0.43125000000145519</v>
      </c>
      <c r="H835" t="str">
        <f t="shared" si="79"/>
        <v>27 min</v>
      </c>
      <c r="I835" t="s">
        <v>2</v>
      </c>
      <c r="J835" t="s">
        <v>182</v>
      </c>
      <c r="K835" t="s">
        <v>160</v>
      </c>
      <c r="L835">
        <v>9.5</v>
      </c>
      <c r="M835" t="s">
        <v>52</v>
      </c>
      <c r="N835" t="str" cm="1">
        <f t="array" ref="N835">_xlfn.IFS(
    AND(HOUR(A835)&gt;=0, HOUR(A835)&lt;10), "Morning",
    AND(HOUR(A835)&gt;=10, HOUR(A835)&lt;15), "Afternoon",
    AND(HOUR(E835)&gt;=15, HOUR(E835)&lt;19), "Evening",
    AND(HOUR(E835)&gt;=19, HOUR(E835)&lt;=23), "Night"
)</f>
        <v>Morning</v>
      </c>
    </row>
    <row r="836" spans="1:14" x14ac:dyDescent="0.25">
      <c r="A836" s="3">
        <v>42662.572916666664</v>
      </c>
      <c r="B836" s="2">
        <f t="shared" si="80"/>
        <v>42662</v>
      </c>
      <c r="C836" t="str">
        <f t="shared" si="81"/>
        <v>October</v>
      </c>
      <c r="D836" t="str">
        <f t="shared" si="82"/>
        <v>Wednesday</v>
      </c>
      <c r="E836" t="str">
        <f t="shared" si="78"/>
        <v>01:45:00 PM</v>
      </c>
      <c r="F836" s="3">
        <v>42662.580555555556</v>
      </c>
      <c r="G836" s="4">
        <f t="shared" si="83"/>
        <v>0.58055555555620231</v>
      </c>
      <c r="H836" t="str">
        <f t="shared" si="79"/>
        <v>11 min</v>
      </c>
      <c r="I836" t="s">
        <v>2</v>
      </c>
      <c r="J836" t="s">
        <v>227</v>
      </c>
      <c r="K836" t="s">
        <v>228</v>
      </c>
      <c r="L836">
        <v>1.7</v>
      </c>
      <c r="M836" t="s">
        <v>52</v>
      </c>
      <c r="N836" t="str" cm="1">
        <f t="array" ref="N836">_xlfn.IFS(
    AND(HOUR(A836)&gt;=0, HOUR(A836)&lt;10), "Morning",
    AND(HOUR(A836)&gt;=10, HOUR(A836)&lt;15), "Afternoon",
    AND(HOUR(E836)&gt;=15, HOUR(E836)&lt;19), "Evening",
    AND(HOUR(E836)&gt;=19, HOUR(E836)&lt;=23), "Night"
)</f>
        <v>Afternoon</v>
      </c>
    </row>
    <row r="837" spans="1:14" x14ac:dyDescent="0.25">
      <c r="A837" s="3">
        <v>42662.584722222222</v>
      </c>
      <c r="B837" s="2">
        <f t="shared" si="80"/>
        <v>42662</v>
      </c>
      <c r="C837" t="str">
        <f t="shared" si="81"/>
        <v>October</v>
      </c>
      <c r="D837" t="str">
        <f t="shared" si="82"/>
        <v>Wednesday</v>
      </c>
      <c r="E837" t="str">
        <f t="shared" si="78"/>
        <v>02:02:00 PM</v>
      </c>
      <c r="F837" s="3">
        <v>42662.604861111111</v>
      </c>
      <c r="G837" s="4">
        <f t="shared" si="83"/>
        <v>0.60486111111094942</v>
      </c>
      <c r="H837" t="str">
        <f t="shared" si="79"/>
        <v>29 min</v>
      </c>
      <c r="I837" t="s">
        <v>2</v>
      </c>
      <c r="J837" t="s">
        <v>160</v>
      </c>
      <c r="K837" t="s">
        <v>184</v>
      </c>
      <c r="L837">
        <v>10.8</v>
      </c>
      <c r="M837" t="s">
        <v>52</v>
      </c>
      <c r="N837" t="str" cm="1">
        <f t="array" ref="N837">_xlfn.IFS(
    AND(HOUR(A837)&gt;=0, HOUR(A837)&lt;10), "Morning",
    AND(HOUR(A837)&gt;=10, HOUR(A837)&lt;15), "Afternoon",
    AND(HOUR(E837)&gt;=15, HOUR(E837)&lt;19), "Evening",
    AND(HOUR(E837)&gt;=19, HOUR(E837)&lt;=23), "Night"
)</f>
        <v>Afternoon</v>
      </c>
    </row>
    <row r="838" spans="1:14" x14ac:dyDescent="0.25">
      <c r="A838" s="3">
        <v>42662.655555555553</v>
      </c>
      <c r="B838" s="2">
        <f t="shared" si="80"/>
        <v>42662</v>
      </c>
      <c r="C838" t="str">
        <f t="shared" si="81"/>
        <v>October</v>
      </c>
      <c r="D838" t="str">
        <f t="shared" si="82"/>
        <v>Wednesday</v>
      </c>
      <c r="E838" t="str">
        <f t="shared" si="78"/>
        <v>03:44:00 PM</v>
      </c>
      <c r="F838" s="3">
        <v>42662.668055555558</v>
      </c>
      <c r="G838" s="4">
        <f t="shared" si="83"/>
        <v>0.6680555555576575</v>
      </c>
      <c r="H838" t="str">
        <f t="shared" si="79"/>
        <v>18 min</v>
      </c>
      <c r="I838" t="s">
        <v>2</v>
      </c>
      <c r="J838" t="s">
        <v>229</v>
      </c>
      <c r="K838" t="s">
        <v>230</v>
      </c>
      <c r="L838">
        <v>4.0999999999999996</v>
      </c>
      <c r="M838" t="s">
        <v>52</v>
      </c>
      <c r="N838" t="str" cm="1">
        <f t="array" ref="N838">_xlfn.IFS(
    AND(HOUR(A838)&gt;=0, HOUR(A838)&lt;10), "Morning",
    AND(HOUR(A838)&gt;=10, HOUR(A838)&lt;15), "Afternoon",
    AND(HOUR(E838)&gt;=15, HOUR(E838)&lt;19), "Evening",
    AND(HOUR(E838)&gt;=19, HOUR(E838)&lt;=23), "Night"
)</f>
        <v>Evening</v>
      </c>
    </row>
    <row r="839" spans="1:14" x14ac:dyDescent="0.25">
      <c r="A839" s="3">
        <v>42662.67083333333</v>
      </c>
      <c r="B839" s="2">
        <f t="shared" si="80"/>
        <v>42662</v>
      </c>
      <c r="C839" t="str">
        <f t="shared" si="81"/>
        <v>October</v>
      </c>
      <c r="D839" t="str">
        <f t="shared" si="82"/>
        <v>Wednesday</v>
      </c>
      <c r="E839" t="str">
        <f t="shared" si="78"/>
        <v>04:06:00 PM</v>
      </c>
      <c r="F839" s="3">
        <v>42662.679861111108</v>
      </c>
      <c r="G839" s="4">
        <f t="shared" si="83"/>
        <v>0.67986111110803904</v>
      </c>
      <c r="H839" t="str">
        <f t="shared" si="79"/>
        <v>13 min</v>
      </c>
      <c r="I839" t="s">
        <v>2</v>
      </c>
      <c r="J839" t="s">
        <v>230</v>
      </c>
      <c r="K839" t="s">
        <v>231</v>
      </c>
      <c r="L839">
        <v>2.2000000000000002</v>
      </c>
      <c r="M839" t="s">
        <v>52</v>
      </c>
      <c r="N839" t="str" cm="1">
        <f t="array" ref="N839">_xlfn.IFS(
    AND(HOUR(A839)&gt;=0, HOUR(A839)&lt;10), "Morning",
    AND(HOUR(A839)&gt;=10, HOUR(A839)&lt;15), "Afternoon",
    AND(HOUR(E839)&gt;=15, HOUR(E839)&lt;19), "Evening",
    AND(HOUR(E839)&gt;=19, HOUR(E839)&lt;=23), "Night"
)</f>
        <v>Evening</v>
      </c>
    </row>
    <row r="840" spans="1:14" x14ac:dyDescent="0.25">
      <c r="A840" s="3">
        <v>42662.689583333333</v>
      </c>
      <c r="B840" s="2">
        <f t="shared" si="80"/>
        <v>42662</v>
      </c>
      <c r="C840" t="str">
        <f t="shared" si="81"/>
        <v>October</v>
      </c>
      <c r="D840" t="str">
        <f t="shared" si="82"/>
        <v>Wednesday</v>
      </c>
      <c r="E840" t="str">
        <f t="shared" si="78"/>
        <v>04:33:00 PM</v>
      </c>
      <c r="F840" s="3">
        <v>42662.709027777775</v>
      </c>
      <c r="G840" s="4">
        <f t="shared" si="83"/>
        <v>0.70902777777519077</v>
      </c>
      <c r="H840" t="str">
        <f t="shared" si="79"/>
        <v>28 min</v>
      </c>
      <c r="I840" t="s">
        <v>2</v>
      </c>
      <c r="J840" t="s">
        <v>184</v>
      </c>
      <c r="K840" t="s">
        <v>183</v>
      </c>
      <c r="L840">
        <v>4.5999999999999996</v>
      </c>
      <c r="M840" t="s">
        <v>52</v>
      </c>
      <c r="N840" t="str" cm="1">
        <f t="array" ref="N840">_xlfn.IFS(
    AND(HOUR(A840)&gt;=0, HOUR(A840)&lt;10), "Morning",
    AND(HOUR(A840)&gt;=10, HOUR(A840)&lt;15), "Afternoon",
    AND(HOUR(E840)&gt;=15, HOUR(E840)&lt;19), "Evening",
    AND(HOUR(E840)&gt;=19, HOUR(E840)&lt;=23), "Night"
)</f>
        <v>Evening</v>
      </c>
    </row>
    <row r="841" spans="1:14" x14ac:dyDescent="0.25">
      <c r="A841" s="3">
        <v>42663.476388888892</v>
      </c>
      <c r="B841" s="2">
        <f t="shared" si="80"/>
        <v>42663</v>
      </c>
      <c r="C841" t="str">
        <f t="shared" si="81"/>
        <v>October</v>
      </c>
      <c r="D841" t="str">
        <f t="shared" si="82"/>
        <v>Thursday</v>
      </c>
      <c r="E841" t="str">
        <f t="shared" si="78"/>
        <v>11:26:00 AM</v>
      </c>
      <c r="F841" s="3">
        <v>42663.481944444444</v>
      </c>
      <c r="G841" s="4">
        <f t="shared" si="83"/>
        <v>0.48194444444379769</v>
      </c>
      <c r="H841" t="str">
        <f t="shared" si="79"/>
        <v>8 min</v>
      </c>
      <c r="I841" t="s">
        <v>2</v>
      </c>
      <c r="J841" t="s">
        <v>183</v>
      </c>
      <c r="K841" t="s">
        <v>184</v>
      </c>
      <c r="L841">
        <v>3.1</v>
      </c>
      <c r="M841" t="s">
        <v>52</v>
      </c>
      <c r="N841" t="str" cm="1">
        <f t="array" ref="N841">_xlfn.IFS(
    AND(HOUR(A841)&gt;=0, HOUR(A841)&lt;10), "Morning",
    AND(HOUR(A841)&gt;=10, HOUR(A841)&lt;15), "Afternoon",
    AND(HOUR(E841)&gt;=15, HOUR(E841)&lt;19), "Evening",
    AND(HOUR(E841)&gt;=19, HOUR(E841)&lt;=23), "Night"
)</f>
        <v>Afternoon</v>
      </c>
    </row>
    <row r="842" spans="1:14" x14ac:dyDescent="0.25">
      <c r="A842" s="3">
        <v>42663.513194444444</v>
      </c>
      <c r="B842" s="2">
        <f t="shared" si="80"/>
        <v>42663</v>
      </c>
      <c r="C842" t="str">
        <f t="shared" si="81"/>
        <v>October</v>
      </c>
      <c r="D842" t="str">
        <f t="shared" si="82"/>
        <v>Thursday</v>
      </c>
      <c r="E842" t="str">
        <f t="shared" si="78"/>
        <v>12:19:00 PM</v>
      </c>
      <c r="F842" s="3">
        <v>42663.553472222222</v>
      </c>
      <c r="G842" s="4">
        <f t="shared" si="83"/>
        <v>0.55347222222189885</v>
      </c>
      <c r="H842" t="str">
        <f t="shared" si="79"/>
        <v>58 min</v>
      </c>
      <c r="I842" t="s">
        <v>2</v>
      </c>
      <c r="J842" t="s">
        <v>184</v>
      </c>
      <c r="K842" t="s">
        <v>232</v>
      </c>
      <c r="L842">
        <v>47.7</v>
      </c>
      <c r="M842" t="s">
        <v>52</v>
      </c>
      <c r="N842" t="str" cm="1">
        <f t="array" ref="N842">_xlfn.IFS(
    AND(HOUR(A842)&gt;=0, HOUR(A842)&lt;10), "Morning",
    AND(HOUR(A842)&gt;=10, HOUR(A842)&lt;15), "Afternoon",
    AND(HOUR(E842)&gt;=15, HOUR(E842)&lt;19), "Evening",
    AND(HOUR(E842)&gt;=19, HOUR(E842)&lt;=23), "Night"
)</f>
        <v>Afternoon</v>
      </c>
    </row>
    <row r="843" spans="1:14" x14ac:dyDescent="0.25">
      <c r="A843" s="3">
        <v>42663.863888888889</v>
      </c>
      <c r="B843" s="2">
        <f t="shared" si="80"/>
        <v>42663</v>
      </c>
      <c r="C843" t="str">
        <f t="shared" si="81"/>
        <v>October</v>
      </c>
      <c r="D843" t="str">
        <f t="shared" si="82"/>
        <v>Thursday</v>
      </c>
      <c r="E843" t="str">
        <f t="shared" si="78"/>
        <v>08:44:00 PM</v>
      </c>
      <c r="F843" s="3">
        <v>42663.900694444441</v>
      </c>
      <c r="G843" s="4">
        <f t="shared" si="83"/>
        <v>0.90069444444088731</v>
      </c>
      <c r="H843" t="str">
        <f t="shared" si="79"/>
        <v>53 min</v>
      </c>
      <c r="I843" t="s">
        <v>2</v>
      </c>
      <c r="J843" t="s">
        <v>232</v>
      </c>
      <c r="K843" t="s">
        <v>183</v>
      </c>
      <c r="L843">
        <v>44.6</v>
      </c>
      <c r="M843" t="s">
        <v>52</v>
      </c>
      <c r="N843" t="str" cm="1">
        <f t="array" ref="N843">_xlfn.IFS(
    AND(HOUR(A843)&gt;=0, HOUR(A843)&lt;10), "Morning",
    AND(HOUR(A843)&gt;=10, HOUR(A843)&lt;15), "Afternoon",
    AND(HOUR(E843)&gt;=15, HOUR(E843)&lt;19), "Evening",
    AND(HOUR(E843)&gt;=19, HOUR(E843)&lt;=23), "Night"
)</f>
        <v>Night</v>
      </c>
    </row>
    <row r="844" spans="1:14" x14ac:dyDescent="0.25">
      <c r="A844" s="3">
        <v>42664.42083333333</v>
      </c>
      <c r="B844" s="2">
        <f t="shared" si="80"/>
        <v>42664</v>
      </c>
      <c r="C844" t="str">
        <f t="shared" si="81"/>
        <v>October</v>
      </c>
      <c r="D844" t="str">
        <f t="shared" si="82"/>
        <v>Friday</v>
      </c>
      <c r="E844" t="str">
        <f t="shared" si="78"/>
        <v>10:06:00 AM</v>
      </c>
      <c r="F844" s="3">
        <v>42664.431250000001</v>
      </c>
      <c r="G844" s="4">
        <f t="shared" si="83"/>
        <v>0.43125000000145519</v>
      </c>
      <c r="H844" t="str">
        <f t="shared" si="79"/>
        <v>15 min</v>
      </c>
      <c r="I844" t="s">
        <v>2</v>
      </c>
      <c r="J844" t="s">
        <v>183</v>
      </c>
      <c r="K844" t="s">
        <v>182</v>
      </c>
      <c r="L844">
        <v>13.2</v>
      </c>
      <c r="M844" t="s">
        <v>52</v>
      </c>
      <c r="N844" t="str" cm="1">
        <f t="array" ref="N844">_xlfn.IFS(
    AND(HOUR(A844)&gt;=0, HOUR(A844)&lt;10), "Morning",
    AND(HOUR(A844)&gt;=10, HOUR(A844)&lt;15), "Afternoon",
    AND(HOUR(E844)&gt;=15, HOUR(E844)&lt;19), "Evening",
    AND(HOUR(E844)&gt;=19, HOUR(E844)&lt;=23), "Night"
)</f>
        <v>Afternoon</v>
      </c>
    </row>
    <row r="845" spans="1:14" x14ac:dyDescent="0.25">
      <c r="A845" s="3">
        <v>42665.037499999999</v>
      </c>
      <c r="B845" s="2">
        <f t="shared" si="80"/>
        <v>42665</v>
      </c>
      <c r="C845" t="str">
        <f t="shared" si="81"/>
        <v>October</v>
      </c>
      <c r="D845" t="str">
        <f t="shared" si="82"/>
        <v>Saturday</v>
      </c>
      <c r="E845" t="str">
        <f t="shared" si="78"/>
        <v>12:54:00 AM</v>
      </c>
      <c r="F845" s="3">
        <v>42665.04791666667</v>
      </c>
      <c r="G845" s="4">
        <f t="shared" si="83"/>
        <v>4.7916666670062114E-2</v>
      </c>
      <c r="H845" t="str">
        <f t="shared" si="79"/>
        <v>15 min</v>
      </c>
      <c r="I845" t="s">
        <v>2</v>
      </c>
      <c r="J845" t="s">
        <v>56</v>
      </c>
      <c r="K845" t="s">
        <v>55</v>
      </c>
      <c r="L845">
        <v>8.6999999999999993</v>
      </c>
      <c r="M845" t="s">
        <v>52</v>
      </c>
      <c r="N845" t="str" cm="1">
        <f t="array" ref="N845">_xlfn.IFS(
    AND(HOUR(A845)&gt;=0, HOUR(A845)&lt;10), "Morning",
    AND(HOUR(A845)&gt;=10, HOUR(A845)&lt;15), "Afternoon",
    AND(HOUR(E845)&gt;=15, HOUR(E845)&lt;19), "Evening",
    AND(HOUR(E845)&gt;=19, HOUR(E845)&lt;=23), "Night"
)</f>
        <v>Morning</v>
      </c>
    </row>
    <row r="846" spans="1:14" x14ac:dyDescent="0.25">
      <c r="A846" s="3">
        <v>42665.55972222222</v>
      </c>
      <c r="B846" s="2">
        <f t="shared" si="80"/>
        <v>42665</v>
      </c>
      <c r="C846" t="str">
        <f t="shared" si="81"/>
        <v>October</v>
      </c>
      <c r="D846" t="str">
        <f t="shared" si="82"/>
        <v>Saturday</v>
      </c>
      <c r="E846" t="str">
        <f t="shared" si="78"/>
        <v>01:26:00 PM</v>
      </c>
      <c r="F846" s="3">
        <v>42665.585416666669</v>
      </c>
      <c r="G846" s="4">
        <f t="shared" si="83"/>
        <v>0.58541666666860692</v>
      </c>
      <c r="H846" t="str">
        <f t="shared" si="79"/>
        <v>37 min</v>
      </c>
      <c r="I846" t="s">
        <v>2</v>
      </c>
      <c r="J846" t="s">
        <v>55</v>
      </c>
      <c r="K846" t="s">
        <v>79</v>
      </c>
      <c r="L846">
        <v>17.2</v>
      </c>
      <c r="M846" t="s">
        <v>52</v>
      </c>
      <c r="N846" t="str" cm="1">
        <f t="array" ref="N846">_xlfn.IFS(
    AND(HOUR(A846)&gt;=0, HOUR(A846)&lt;10), "Morning",
    AND(HOUR(A846)&gt;=10, HOUR(A846)&lt;15), "Afternoon",
    AND(HOUR(E846)&gt;=15, HOUR(E846)&lt;19), "Evening",
    AND(HOUR(E846)&gt;=19, HOUR(E846)&lt;=23), "Night"
)</f>
        <v>Afternoon</v>
      </c>
    </row>
    <row r="847" spans="1:14" x14ac:dyDescent="0.25">
      <c r="A847" s="3">
        <v>42665.713888888888</v>
      </c>
      <c r="B847" s="2">
        <f t="shared" si="80"/>
        <v>42665</v>
      </c>
      <c r="C847" t="str">
        <f t="shared" si="81"/>
        <v>October</v>
      </c>
      <c r="D847" t="str">
        <f t="shared" si="82"/>
        <v>Saturday</v>
      </c>
      <c r="E847" t="str">
        <f t="shared" si="78"/>
        <v>05:08:00 PM</v>
      </c>
      <c r="F847" s="3">
        <v>42665.746527777781</v>
      </c>
      <c r="G847" s="4">
        <f t="shared" si="83"/>
        <v>0.74652777778101154</v>
      </c>
      <c r="H847" t="str">
        <f t="shared" si="79"/>
        <v>47 min</v>
      </c>
      <c r="I847" t="s">
        <v>2</v>
      </c>
      <c r="J847" t="s">
        <v>79</v>
      </c>
      <c r="K847" t="s">
        <v>55</v>
      </c>
      <c r="L847">
        <v>14</v>
      </c>
      <c r="M847" t="s">
        <v>52</v>
      </c>
      <c r="N847" t="str" cm="1">
        <f t="array" ref="N847">_xlfn.IFS(
    AND(HOUR(A847)&gt;=0, HOUR(A847)&lt;10), "Morning",
    AND(HOUR(A847)&gt;=10, HOUR(A847)&lt;15), "Afternoon",
    AND(HOUR(E847)&gt;=15, HOUR(E847)&lt;19), "Evening",
    AND(HOUR(E847)&gt;=19, HOUR(E847)&lt;=23), "Night"
)</f>
        <v>Evening</v>
      </c>
    </row>
    <row r="848" spans="1:14" x14ac:dyDescent="0.25">
      <c r="A848" s="3">
        <v>42666.39166666667</v>
      </c>
      <c r="B848" s="2">
        <f t="shared" si="80"/>
        <v>42666</v>
      </c>
      <c r="C848" t="str">
        <f t="shared" si="81"/>
        <v>October</v>
      </c>
      <c r="D848" t="str">
        <f t="shared" si="82"/>
        <v>Sunday</v>
      </c>
      <c r="E848" t="str">
        <f t="shared" si="78"/>
        <v>09:24:00 AM</v>
      </c>
      <c r="F848" s="3">
        <v>42666.420138888891</v>
      </c>
      <c r="G848" s="4">
        <f t="shared" si="83"/>
        <v>0.42013888889050577</v>
      </c>
      <c r="H848" t="str">
        <f t="shared" si="79"/>
        <v>41 min</v>
      </c>
      <c r="I848" t="s">
        <v>2</v>
      </c>
      <c r="J848" t="s">
        <v>55</v>
      </c>
      <c r="K848" t="s">
        <v>79</v>
      </c>
      <c r="L848">
        <v>28.1</v>
      </c>
      <c r="M848" t="s">
        <v>52</v>
      </c>
      <c r="N848" t="str" cm="1">
        <f t="array" ref="N848">_xlfn.IFS(
    AND(HOUR(A848)&gt;=0, HOUR(A848)&lt;10), "Morning",
    AND(HOUR(A848)&gt;=10, HOUR(A848)&lt;15), "Afternoon",
    AND(HOUR(E848)&gt;=15, HOUR(E848)&lt;19), "Evening",
    AND(HOUR(E848)&gt;=19, HOUR(E848)&lt;=23), "Night"
)</f>
        <v>Morning</v>
      </c>
    </row>
    <row r="849" spans="1:14" x14ac:dyDescent="0.25">
      <c r="A849" s="3">
        <v>42666.511805555558</v>
      </c>
      <c r="B849" s="2">
        <f t="shared" si="80"/>
        <v>42666</v>
      </c>
      <c r="C849" t="str">
        <f t="shared" si="81"/>
        <v>October</v>
      </c>
      <c r="D849" t="str">
        <f t="shared" si="82"/>
        <v>Sunday</v>
      </c>
      <c r="E849" t="str">
        <f t="shared" si="78"/>
        <v>12:17:00 PM</v>
      </c>
      <c r="F849" s="3">
        <v>42666.540972222225</v>
      </c>
      <c r="G849" s="4">
        <f t="shared" si="83"/>
        <v>0.54097222222480923</v>
      </c>
      <c r="H849" t="str">
        <f t="shared" si="79"/>
        <v>42 min</v>
      </c>
      <c r="I849" t="s">
        <v>2</v>
      </c>
      <c r="J849" t="s">
        <v>79</v>
      </c>
      <c r="K849" t="s">
        <v>55</v>
      </c>
      <c r="L849">
        <v>28.2</v>
      </c>
      <c r="M849" t="s">
        <v>52</v>
      </c>
      <c r="N849" t="str" cm="1">
        <f t="array" ref="N849">_xlfn.IFS(
    AND(HOUR(A849)&gt;=0, HOUR(A849)&lt;10), "Morning",
    AND(HOUR(A849)&gt;=10, HOUR(A849)&lt;15), "Afternoon",
    AND(HOUR(E849)&gt;=15, HOUR(E849)&lt;19), "Evening",
    AND(HOUR(E849)&gt;=19, HOUR(E849)&lt;=23), "Night"
)</f>
        <v>Afternoon</v>
      </c>
    </row>
    <row r="850" spans="1:14" x14ac:dyDescent="0.25">
      <c r="A850" s="3">
        <v>42666.794444444444</v>
      </c>
      <c r="B850" s="2">
        <f t="shared" si="80"/>
        <v>42666</v>
      </c>
      <c r="C850" t="str">
        <f t="shared" si="81"/>
        <v>October</v>
      </c>
      <c r="D850" t="str">
        <f t="shared" si="82"/>
        <v>Sunday</v>
      </c>
      <c r="E850" t="str">
        <f t="shared" si="78"/>
        <v>07:04:00 PM</v>
      </c>
      <c r="F850" s="3">
        <v>42666.801388888889</v>
      </c>
      <c r="G850" s="4">
        <f t="shared" si="83"/>
        <v>0.80138888888905058</v>
      </c>
      <c r="H850" t="str">
        <f t="shared" si="79"/>
        <v>10 min</v>
      </c>
      <c r="I850" t="s">
        <v>2</v>
      </c>
      <c r="J850" t="s">
        <v>55</v>
      </c>
      <c r="K850" t="s">
        <v>56</v>
      </c>
      <c r="L850">
        <v>3.1</v>
      </c>
      <c r="M850" t="s">
        <v>52</v>
      </c>
      <c r="N850" t="str" cm="1">
        <f t="array" ref="N850">_xlfn.IFS(
    AND(HOUR(A850)&gt;=0, HOUR(A850)&lt;10), "Morning",
    AND(HOUR(A850)&gt;=10, HOUR(A850)&lt;15), "Afternoon",
    AND(HOUR(E850)&gt;=15, HOUR(E850)&lt;19), "Evening",
    AND(HOUR(E850)&gt;=19, HOUR(E850)&lt;=23), "Night"
)</f>
        <v>Night</v>
      </c>
    </row>
    <row r="851" spans="1:14" x14ac:dyDescent="0.25">
      <c r="A851" s="3">
        <v>42666.881944444445</v>
      </c>
      <c r="B851" s="2">
        <f t="shared" si="80"/>
        <v>42666</v>
      </c>
      <c r="C851" t="str">
        <f t="shared" si="81"/>
        <v>October</v>
      </c>
      <c r="D851" t="str">
        <f t="shared" si="82"/>
        <v>Sunday</v>
      </c>
      <c r="E851" t="str">
        <f t="shared" si="78"/>
        <v>09:10:00 PM</v>
      </c>
      <c r="F851" s="3">
        <v>42666.892361111109</v>
      </c>
      <c r="G851" s="4">
        <f t="shared" si="83"/>
        <v>0.89236111110949423</v>
      </c>
      <c r="H851" t="str">
        <f t="shared" si="79"/>
        <v>15 min</v>
      </c>
      <c r="I851" t="s">
        <v>2</v>
      </c>
      <c r="J851" t="s">
        <v>56</v>
      </c>
      <c r="K851" t="s">
        <v>55</v>
      </c>
      <c r="L851">
        <v>3.1</v>
      </c>
      <c r="M851" t="s">
        <v>7</v>
      </c>
      <c r="N851" t="str" cm="1">
        <f t="array" ref="N851">_xlfn.IFS(
    AND(HOUR(A851)&gt;=0, HOUR(A851)&lt;10), "Morning",
    AND(HOUR(A851)&gt;=10, HOUR(A851)&lt;15), "Afternoon",
    AND(HOUR(E851)&gt;=15, HOUR(E851)&lt;19), "Evening",
    AND(HOUR(E851)&gt;=19, HOUR(E851)&lt;=23), "Night"
)</f>
        <v>Night</v>
      </c>
    </row>
    <row r="852" spans="1:14" x14ac:dyDescent="0.25">
      <c r="A852" s="3">
        <v>42667.622916666667</v>
      </c>
      <c r="B852" s="2">
        <f t="shared" si="80"/>
        <v>42667</v>
      </c>
      <c r="C852" t="str">
        <f t="shared" si="81"/>
        <v>October</v>
      </c>
      <c r="D852" t="str">
        <f t="shared" si="82"/>
        <v>Monday</v>
      </c>
      <c r="E852" t="str">
        <f t="shared" si="78"/>
        <v>02:57:00 PM</v>
      </c>
      <c r="F852" s="3">
        <v>42667.643055555556</v>
      </c>
      <c r="G852" s="4">
        <f t="shared" si="83"/>
        <v>0.64305555555620231</v>
      </c>
      <c r="H852" t="str">
        <f t="shared" si="79"/>
        <v>29 min</v>
      </c>
      <c r="I852" t="s">
        <v>2</v>
      </c>
      <c r="J852" t="s">
        <v>55</v>
      </c>
      <c r="K852" t="s">
        <v>75</v>
      </c>
      <c r="L852">
        <v>16.399999999999999</v>
      </c>
      <c r="M852" t="s">
        <v>52</v>
      </c>
      <c r="N852" t="str" cm="1">
        <f t="array" ref="N852">_xlfn.IFS(
    AND(HOUR(A852)&gt;=0, HOUR(A852)&lt;10), "Morning",
    AND(HOUR(A852)&gt;=10, HOUR(A852)&lt;15), "Afternoon",
    AND(HOUR(E852)&gt;=15, HOUR(E852)&lt;19), "Evening",
    AND(HOUR(E852)&gt;=19, HOUR(E852)&lt;=23), "Night"
)</f>
        <v>Afternoon</v>
      </c>
    </row>
    <row r="853" spans="1:14" x14ac:dyDescent="0.25">
      <c r="A853" s="3">
        <v>42667.647916666669</v>
      </c>
      <c r="B853" s="2">
        <f t="shared" si="80"/>
        <v>42667</v>
      </c>
      <c r="C853" t="str">
        <f t="shared" si="81"/>
        <v>October</v>
      </c>
      <c r="D853" t="str">
        <f t="shared" si="82"/>
        <v>Monday</v>
      </c>
      <c r="E853" t="str">
        <f t="shared" si="78"/>
        <v>03:33:00 PM</v>
      </c>
      <c r="F853" s="3">
        <v>42667.675694444442</v>
      </c>
      <c r="G853" s="4">
        <f t="shared" si="83"/>
        <v>0.6756944444423425</v>
      </c>
      <c r="H853" t="str">
        <f t="shared" si="79"/>
        <v>40 min</v>
      </c>
      <c r="I853" t="s">
        <v>2</v>
      </c>
      <c r="J853" t="s">
        <v>75</v>
      </c>
      <c r="K853" t="s">
        <v>56</v>
      </c>
      <c r="L853">
        <v>15.4</v>
      </c>
      <c r="M853" t="s">
        <v>52</v>
      </c>
      <c r="N853" t="str" cm="1">
        <f t="array" ref="N853">_xlfn.IFS(
    AND(HOUR(A853)&gt;=0, HOUR(A853)&lt;10), "Morning",
    AND(HOUR(A853)&gt;=10, HOUR(A853)&lt;15), "Afternoon",
    AND(HOUR(E853)&gt;=15, HOUR(E853)&lt;19), "Evening",
    AND(HOUR(E853)&gt;=19, HOUR(E853)&lt;=23), "Night"
)</f>
        <v>Evening</v>
      </c>
    </row>
    <row r="854" spans="1:14" x14ac:dyDescent="0.25">
      <c r="A854" s="3">
        <v>42667.69027777778</v>
      </c>
      <c r="B854" s="2">
        <f t="shared" si="80"/>
        <v>42667</v>
      </c>
      <c r="C854" t="str">
        <f t="shared" si="81"/>
        <v>October</v>
      </c>
      <c r="D854" t="str">
        <f t="shared" si="82"/>
        <v>Monday</v>
      </c>
      <c r="E854" t="str">
        <f t="shared" si="78"/>
        <v>04:34:00 PM</v>
      </c>
      <c r="F854" s="3">
        <v>42667.695138888892</v>
      </c>
      <c r="G854" s="4">
        <f t="shared" si="83"/>
        <v>0.69513888889196096</v>
      </c>
      <c r="H854" t="str">
        <f t="shared" si="79"/>
        <v>7 min</v>
      </c>
      <c r="I854" t="s">
        <v>2</v>
      </c>
      <c r="J854" t="s">
        <v>56</v>
      </c>
      <c r="K854" t="s">
        <v>55</v>
      </c>
      <c r="L854">
        <v>2.2000000000000002</v>
      </c>
      <c r="M854" t="s">
        <v>52</v>
      </c>
      <c r="N854" t="str" cm="1">
        <f t="array" ref="N854">_xlfn.IFS(
    AND(HOUR(A854)&gt;=0, HOUR(A854)&lt;10), "Morning",
    AND(HOUR(A854)&gt;=10, HOUR(A854)&lt;15), "Afternoon",
    AND(HOUR(E854)&gt;=15, HOUR(E854)&lt;19), "Evening",
    AND(HOUR(E854)&gt;=19, HOUR(E854)&lt;=23), "Night"
)</f>
        <v>Evening</v>
      </c>
    </row>
    <row r="855" spans="1:14" x14ac:dyDescent="0.25">
      <c r="A855" s="3">
        <v>42668.560416666667</v>
      </c>
      <c r="B855" s="2">
        <f t="shared" si="80"/>
        <v>42668</v>
      </c>
      <c r="C855" t="str">
        <f t="shared" si="81"/>
        <v>October</v>
      </c>
      <c r="D855" t="str">
        <f t="shared" si="82"/>
        <v>Tuesday</v>
      </c>
      <c r="E855" t="str">
        <f t="shared" si="78"/>
        <v>01:27:00 PM</v>
      </c>
      <c r="F855" s="3">
        <v>42668.588888888888</v>
      </c>
      <c r="G855" s="4">
        <f t="shared" si="83"/>
        <v>0.58888888888759539</v>
      </c>
      <c r="H855" t="str">
        <f t="shared" si="79"/>
        <v>41 min</v>
      </c>
      <c r="I855" t="s">
        <v>2</v>
      </c>
      <c r="J855" t="s">
        <v>55</v>
      </c>
      <c r="K855" t="s">
        <v>87</v>
      </c>
      <c r="L855">
        <v>11.2</v>
      </c>
      <c r="M855" t="s">
        <v>52</v>
      </c>
      <c r="N855" t="str" cm="1">
        <f t="array" ref="N855">_xlfn.IFS(
    AND(HOUR(A855)&gt;=0, HOUR(A855)&lt;10), "Morning",
    AND(HOUR(A855)&gt;=10, HOUR(A855)&lt;15), "Afternoon",
    AND(HOUR(E855)&gt;=15, HOUR(E855)&lt;19), "Evening",
    AND(HOUR(E855)&gt;=19, HOUR(E855)&lt;=23), "Night"
)</f>
        <v>Afternoon</v>
      </c>
    </row>
    <row r="856" spans="1:14" x14ac:dyDescent="0.25">
      <c r="A856" s="3">
        <v>42668.62777777778</v>
      </c>
      <c r="B856" s="2">
        <f t="shared" si="80"/>
        <v>42668</v>
      </c>
      <c r="C856" t="str">
        <f t="shared" si="81"/>
        <v>October</v>
      </c>
      <c r="D856" t="str">
        <f t="shared" si="82"/>
        <v>Tuesday</v>
      </c>
      <c r="E856" t="str">
        <f t="shared" si="78"/>
        <v>03:04:00 PM</v>
      </c>
      <c r="F856" s="3">
        <v>42668.632638888892</v>
      </c>
      <c r="G856" s="4">
        <f t="shared" si="83"/>
        <v>0.63263888889196096</v>
      </c>
      <c r="H856" t="str">
        <f t="shared" si="79"/>
        <v>7 min</v>
      </c>
      <c r="I856" t="s">
        <v>2</v>
      </c>
      <c r="J856" t="s">
        <v>87</v>
      </c>
      <c r="K856" t="s">
        <v>233</v>
      </c>
      <c r="L856">
        <v>2.2000000000000002</v>
      </c>
      <c r="M856" t="s">
        <v>52</v>
      </c>
      <c r="N856" t="str" cm="1">
        <f t="array" ref="N856">_xlfn.IFS(
    AND(HOUR(A856)&gt;=0, HOUR(A856)&lt;10), "Morning",
    AND(HOUR(A856)&gt;=10, HOUR(A856)&lt;15), "Afternoon",
    AND(HOUR(E856)&gt;=15, HOUR(E856)&lt;19), "Evening",
    AND(HOUR(E856)&gt;=19, HOUR(E856)&lt;=23), "Night"
)</f>
        <v>Evening</v>
      </c>
    </row>
    <row r="857" spans="1:14" x14ac:dyDescent="0.25">
      <c r="A857" s="3">
        <v>42668.636111111111</v>
      </c>
      <c r="B857" s="2">
        <f t="shared" si="80"/>
        <v>42668</v>
      </c>
      <c r="C857" t="str">
        <f t="shared" si="81"/>
        <v>October</v>
      </c>
      <c r="D857" t="str">
        <f t="shared" si="82"/>
        <v>Tuesday</v>
      </c>
      <c r="E857" t="str">
        <f t="shared" si="78"/>
        <v>03:16:00 PM</v>
      </c>
      <c r="F857" s="3">
        <v>42668.647916666669</v>
      </c>
      <c r="G857" s="4">
        <f t="shared" si="83"/>
        <v>0.64791666666860692</v>
      </c>
      <c r="H857" t="str">
        <f t="shared" si="79"/>
        <v>17 min</v>
      </c>
      <c r="I857" t="s">
        <v>2</v>
      </c>
      <c r="J857" t="s">
        <v>233</v>
      </c>
      <c r="K857" t="s">
        <v>55</v>
      </c>
      <c r="L857">
        <v>3.6</v>
      </c>
      <c r="M857" t="s">
        <v>52</v>
      </c>
      <c r="N857" t="str" cm="1">
        <f t="array" ref="N857">_xlfn.IFS(
    AND(HOUR(A857)&gt;=0, HOUR(A857)&lt;10), "Morning",
    AND(HOUR(A857)&gt;=10, HOUR(A857)&lt;15), "Afternoon",
    AND(HOUR(E857)&gt;=15, HOUR(E857)&lt;19), "Evening",
    AND(HOUR(E857)&gt;=19, HOUR(E857)&lt;=23), "Night"
)</f>
        <v>Evening</v>
      </c>
    </row>
    <row r="858" spans="1:14" x14ac:dyDescent="0.25">
      <c r="A858" s="3">
        <v>42668.833333333336</v>
      </c>
      <c r="B858" s="2">
        <f t="shared" si="80"/>
        <v>42668</v>
      </c>
      <c r="C858" t="str">
        <f t="shared" si="81"/>
        <v>October</v>
      </c>
      <c r="D858" t="str">
        <f t="shared" si="82"/>
        <v>Tuesday</v>
      </c>
      <c r="E858" t="str">
        <f t="shared" si="78"/>
        <v>08:00:00 PM</v>
      </c>
      <c r="F858" s="3">
        <v>42668.84097222222</v>
      </c>
      <c r="G858" s="4">
        <f t="shared" si="83"/>
        <v>0.84097222222044365</v>
      </c>
      <c r="H858" t="str">
        <f t="shared" si="79"/>
        <v>11 min</v>
      </c>
      <c r="I858" t="s">
        <v>2</v>
      </c>
      <c r="J858" t="s">
        <v>77</v>
      </c>
      <c r="K858" t="s">
        <v>168</v>
      </c>
      <c r="L858">
        <v>3.6</v>
      </c>
      <c r="M858" t="s">
        <v>9</v>
      </c>
      <c r="N858" t="str" cm="1">
        <f t="array" ref="N858">_xlfn.IFS(
    AND(HOUR(A858)&gt;=0, HOUR(A858)&lt;10), "Morning",
    AND(HOUR(A858)&gt;=10, HOUR(A858)&lt;15), "Afternoon",
    AND(HOUR(E858)&gt;=15, HOUR(E858)&lt;19), "Evening",
    AND(HOUR(E858)&gt;=19, HOUR(E858)&lt;=23), "Night"
)</f>
        <v>Night</v>
      </c>
    </row>
    <row r="859" spans="1:14" x14ac:dyDescent="0.25">
      <c r="A859" s="3">
        <v>42668.870833333334</v>
      </c>
      <c r="B859" s="2">
        <f t="shared" si="80"/>
        <v>42668</v>
      </c>
      <c r="C859" t="str">
        <f t="shared" si="81"/>
        <v>October</v>
      </c>
      <c r="D859" t="str">
        <f t="shared" si="82"/>
        <v>Tuesday</v>
      </c>
      <c r="E859" t="str">
        <f t="shared" si="78"/>
        <v>08:54:00 PM</v>
      </c>
      <c r="F859" s="3">
        <v>42668.877083333333</v>
      </c>
      <c r="G859" s="4">
        <f t="shared" si="83"/>
        <v>0.87708333333284827</v>
      </c>
      <c r="H859" t="str">
        <f t="shared" si="79"/>
        <v>9 min</v>
      </c>
      <c r="I859" t="s">
        <v>2</v>
      </c>
      <c r="J859" t="s">
        <v>168</v>
      </c>
      <c r="K859" t="s">
        <v>153</v>
      </c>
      <c r="L859">
        <v>4.9000000000000004</v>
      </c>
      <c r="M859" t="s">
        <v>52</v>
      </c>
      <c r="N859" t="str" cm="1">
        <f t="array" ref="N859">_xlfn.IFS(
    AND(HOUR(A859)&gt;=0, HOUR(A859)&lt;10), "Morning",
    AND(HOUR(A859)&gt;=10, HOUR(A859)&lt;15), "Afternoon",
    AND(HOUR(E859)&gt;=15, HOUR(E859)&lt;19), "Evening",
    AND(HOUR(E859)&gt;=19, HOUR(E859)&lt;=23), "Night"
)</f>
        <v>Night</v>
      </c>
    </row>
    <row r="860" spans="1:14" x14ac:dyDescent="0.25">
      <c r="A860" s="3">
        <v>42668.933333333334</v>
      </c>
      <c r="B860" s="2">
        <f t="shared" si="80"/>
        <v>42668</v>
      </c>
      <c r="C860" t="str">
        <f t="shared" si="81"/>
        <v>October</v>
      </c>
      <c r="D860" t="str">
        <f t="shared" si="82"/>
        <v>Tuesday</v>
      </c>
      <c r="E860" t="str">
        <f t="shared" si="78"/>
        <v>10:24:00 PM</v>
      </c>
      <c r="F860" s="3">
        <v>42668.947916666664</v>
      </c>
      <c r="G860" s="4">
        <f t="shared" si="83"/>
        <v>0.94791666666424135</v>
      </c>
      <c r="H860" t="str">
        <f t="shared" si="79"/>
        <v>21 min</v>
      </c>
      <c r="I860" t="s">
        <v>2</v>
      </c>
      <c r="J860" t="s">
        <v>153</v>
      </c>
      <c r="K860" t="s">
        <v>77</v>
      </c>
      <c r="L860">
        <v>8.6999999999999993</v>
      </c>
      <c r="M860" t="s">
        <v>8</v>
      </c>
      <c r="N860" t="str" cm="1">
        <f t="array" ref="N860">_xlfn.IFS(
    AND(HOUR(A860)&gt;=0, HOUR(A860)&lt;10), "Morning",
    AND(HOUR(A860)&gt;=10, HOUR(A860)&lt;15), "Afternoon",
    AND(HOUR(E860)&gt;=15, HOUR(E860)&lt;19), "Evening",
    AND(HOUR(E860)&gt;=19, HOUR(E860)&lt;=23), "Night"
)</f>
        <v>Night</v>
      </c>
    </row>
    <row r="861" spans="1:14" x14ac:dyDescent="0.25">
      <c r="A861" s="3">
        <v>42669.809027777781</v>
      </c>
      <c r="B861" s="2">
        <f t="shared" si="80"/>
        <v>42669</v>
      </c>
      <c r="C861" t="str">
        <f t="shared" si="81"/>
        <v>October</v>
      </c>
      <c r="D861" t="str">
        <f t="shared" si="82"/>
        <v>Wednesday</v>
      </c>
      <c r="E861" t="str">
        <f t="shared" si="78"/>
        <v>07:25:00 PM</v>
      </c>
      <c r="F861" s="3">
        <v>42669.813194444447</v>
      </c>
      <c r="G861" s="4">
        <f t="shared" si="83"/>
        <v>0.81319444444670808</v>
      </c>
      <c r="H861" t="str">
        <f t="shared" si="79"/>
        <v>6 min</v>
      </c>
      <c r="I861" t="s">
        <v>2</v>
      </c>
      <c r="J861" t="s">
        <v>77</v>
      </c>
      <c r="K861" t="s">
        <v>153</v>
      </c>
      <c r="L861">
        <v>2.1</v>
      </c>
      <c r="M861" t="s">
        <v>10</v>
      </c>
      <c r="N861" t="str" cm="1">
        <f t="array" ref="N861">_xlfn.IFS(
    AND(HOUR(A861)&gt;=0, HOUR(A861)&lt;10), "Morning",
    AND(HOUR(A861)&gt;=10, HOUR(A861)&lt;15), "Afternoon",
    AND(HOUR(E861)&gt;=15, HOUR(E861)&lt;19), "Evening",
    AND(HOUR(E861)&gt;=19, HOUR(E861)&lt;=23), "Night"
)</f>
        <v>Night</v>
      </c>
    </row>
    <row r="862" spans="1:14" x14ac:dyDescent="0.25">
      <c r="A862" s="3">
        <v>42669.870138888888</v>
      </c>
      <c r="B862" s="2">
        <f t="shared" si="80"/>
        <v>42669</v>
      </c>
      <c r="C862" t="str">
        <f t="shared" si="81"/>
        <v>October</v>
      </c>
      <c r="D862" t="str">
        <f t="shared" si="82"/>
        <v>Wednesday</v>
      </c>
      <c r="E862" t="str">
        <f t="shared" si="78"/>
        <v>08:53:00 PM</v>
      </c>
      <c r="F862" s="3">
        <v>42669.877083333333</v>
      </c>
      <c r="G862" s="4">
        <f t="shared" si="83"/>
        <v>0.87708333333284827</v>
      </c>
      <c r="H862" t="str">
        <f t="shared" si="79"/>
        <v>10 min</v>
      </c>
      <c r="I862" t="s">
        <v>2</v>
      </c>
      <c r="J862" t="s">
        <v>153</v>
      </c>
      <c r="K862" t="s">
        <v>77</v>
      </c>
      <c r="L862">
        <v>2.1</v>
      </c>
      <c r="M862" t="s">
        <v>52</v>
      </c>
      <c r="N862" t="str" cm="1">
        <f t="array" ref="N862">_xlfn.IFS(
    AND(HOUR(A862)&gt;=0, HOUR(A862)&lt;10), "Morning",
    AND(HOUR(A862)&gt;=10, HOUR(A862)&lt;15), "Afternoon",
    AND(HOUR(E862)&gt;=15, HOUR(E862)&lt;19), "Evening",
    AND(HOUR(E862)&gt;=19, HOUR(E862)&lt;=23), "Night"
)</f>
        <v>Night</v>
      </c>
    </row>
    <row r="863" spans="1:14" x14ac:dyDescent="0.25">
      <c r="A863" s="3">
        <v>42670.785416666666</v>
      </c>
      <c r="B863" s="2">
        <f t="shared" si="80"/>
        <v>42670</v>
      </c>
      <c r="C863" t="str">
        <f t="shared" si="81"/>
        <v>October</v>
      </c>
      <c r="D863" t="str">
        <f t="shared" si="82"/>
        <v>Thursday</v>
      </c>
      <c r="E863" t="str">
        <f t="shared" si="78"/>
        <v>06:51:00 PM</v>
      </c>
      <c r="F863" s="3">
        <v>42670.802777777775</v>
      </c>
      <c r="G863" s="4">
        <f t="shared" si="83"/>
        <v>0.80277777777519077</v>
      </c>
      <c r="H863" t="str">
        <f t="shared" si="79"/>
        <v>25 min</v>
      </c>
      <c r="I863" t="s">
        <v>2</v>
      </c>
      <c r="J863" t="s">
        <v>55</v>
      </c>
      <c r="K863" t="s">
        <v>56</v>
      </c>
      <c r="L863">
        <v>8.4</v>
      </c>
      <c r="M863" t="s">
        <v>10</v>
      </c>
      <c r="N863" t="str" cm="1">
        <f t="array" ref="N863">_xlfn.IFS(
    AND(HOUR(A863)&gt;=0, HOUR(A863)&lt;10), "Morning",
    AND(HOUR(A863)&gt;=10, HOUR(A863)&lt;15), "Afternoon",
    AND(HOUR(E863)&gt;=15, HOUR(E863)&lt;19), "Evening",
    AND(HOUR(E863)&gt;=19, HOUR(E863)&lt;=23), "Night"
)</f>
        <v>Evening</v>
      </c>
    </row>
    <row r="864" spans="1:14" x14ac:dyDescent="0.25">
      <c r="A864" s="3">
        <v>42670.805555555555</v>
      </c>
      <c r="B864" s="2">
        <f t="shared" si="80"/>
        <v>42670</v>
      </c>
      <c r="C864" t="str">
        <f t="shared" si="81"/>
        <v>October</v>
      </c>
      <c r="D864" t="str">
        <f t="shared" si="82"/>
        <v>Thursday</v>
      </c>
      <c r="E864" t="str">
        <f t="shared" si="78"/>
        <v>07:20:00 PM</v>
      </c>
      <c r="F864" s="3">
        <v>42670.815972222219</v>
      </c>
      <c r="G864" s="4">
        <f t="shared" si="83"/>
        <v>0.81597222221898846</v>
      </c>
      <c r="H864" t="str">
        <f t="shared" si="79"/>
        <v>15 min</v>
      </c>
      <c r="I864" t="s">
        <v>2</v>
      </c>
      <c r="J864" t="s">
        <v>56</v>
      </c>
      <c r="K864" t="s">
        <v>56</v>
      </c>
      <c r="L864">
        <v>5.9</v>
      </c>
      <c r="M864" t="s">
        <v>52</v>
      </c>
      <c r="N864" t="str" cm="1">
        <f t="array" ref="N864">_xlfn.IFS(
    AND(HOUR(A864)&gt;=0, HOUR(A864)&lt;10), "Morning",
    AND(HOUR(A864)&gt;=10, HOUR(A864)&lt;15), "Afternoon",
    AND(HOUR(E864)&gt;=15, HOUR(E864)&lt;19), "Evening",
    AND(HOUR(E864)&gt;=19, HOUR(E864)&lt;=23), "Night"
)</f>
        <v>Night</v>
      </c>
    </row>
    <row r="865" spans="1:14" x14ac:dyDescent="0.25">
      <c r="A865" s="3">
        <v>42670.827777777777</v>
      </c>
      <c r="B865" s="2">
        <f t="shared" si="80"/>
        <v>42670</v>
      </c>
      <c r="C865" t="str">
        <f t="shared" si="81"/>
        <v>October</v>
      </c>
      <c r="D865" t="str">
        <f t="shared" si="82"/>
        <v>Thursday</v>
      </c>
      <c r="E865" t="str">
        <f t="shared" si="78"/>
        <v>07:52:00 PM</v>
      </c>
      <c r="F865" s="3">
        <v>42670.847916666666</v>
      </c>
      <c r="G865" s="4">
        <f t="shared" si="83"/>
        <v>0.84791666666569654</v>
      </c>
      <c r="H865" t="str">
        <f t="shared" si="79"/>
        <v>29 min</v>
      </c>
      <c r="I865" t="s">
        <v>2</v>
      </c>
      <c r="J865" t="s">
        <v>172</v>
      </c>
      <c r="K865" t="s">
        <v>172</v>
      </c>
      <c r="L865">
        <v>12.1</v>
      </c>
      <c r="M865" t="s">
        <v>52</v>
      </c>
      <c r="N865" t="str" cm="1">
        <f t="array" ref="N865">_xlfn.IFS(
    AND(HOUR(A865)&gt;=0, HOUR(A865)&lt;10), "Morning",
    AND(HOUR(A865)&gt;=10, HOUR(A865)&lt;15), "Afternoon",
    AND(HOUR(E865)&gt;=15, HOUR(E865)&lt;19), "Evening",
    AND(HOUR(E865)&gt;=19, HOUR(E865)&lt;=23), "Night"
)</f>
        <v>Night</v>
      </c>
    </row>
    <row r="866" spans="1:14" x14ac:dyDescent="0.25">
      <c r="A866" s="3">
        <v>42670.865972222222</v>
      </c>
      <c r="B866" s="2">
        <f t="shared" si="80"/>
        <v>42670</v>
      </c>
      <c r="C866" t="str">
        <f t="shared" si="81"/>
        <v>October</v>
      </c>
      <c r="D866" t="str">
        <f t="shared" si="82"/>
        <v>Thursday</v>
      </c>
      <c r="E866" t="str">
        <f t="shared" si="78"/>
        <v>08:47:00 PM</v>
      </c>
      <c r="F866" s="3">
        <v>42670.870833333334</v>
      </c>
      <c r="G866" s="4">
        <f t="shared" si="83"/>
        <v>0.87083333333430346</v>
      </c>
      <c r="H866" t="str">
        <f t="shared" si="79"/>
        <v>7 min</v>
      </c>
      <c r="I866" t="s">
        <v>2</v>
      </c>
      <c r="J866" t="s">
        <v>172</v>
      </c>
      <c r="K866" t="s">
        <v>112</v>
      </c>
      <c r="L866">
        <v>3.9</v>
      </c>
      <c r="M866" t="s">
        <v>52</v>
      </c>
      <c r="N866" t="str" cm="1">
        <f t="array" ref="N866">_xlfn.IFS(
    AND(HOUR(A866)&gt;=0, HOUR(A866)&lt;10), "Morning",
    AND(HOUR(A866)&gt;=10, HOUR(A866)&lt;15), "Afternoon",
    AND(HOUR(E866)&gt;=15, HOUR(E866)&lt;19), "Evening",
    AND(HOUR(E866)&gt;=19, HOUR(E866)&lt;=23), "Night"
)</f>
        <v>Night</v>
      </c>
    </row>
    <row r="867" spans="1:14" x14ac:dyDescent="0.25">
      <c r="A867" s="3">
        <v>42670.893055555556</v>
      </c>
      <c r="B867" s="2">
        <f t="shared" si="80"/>
        <v>42670</v>
      </c>
      <c r="C867" t="str">
        <f t="shared" si="81"/>
        <v>October</v>
      </c>
      <c r="D867" t="str">
        <f t="shared" si="82"/>
        <v>Thursday</v>
      </c>
      <c r="E867" t="str">
        <f t="shared" si="78"/>
        <v>09:26:00 PM</v>
      </c>
      <c r="F867" s="3">
        <v>42670.908333333333</v>
      </c>
      <c r="G867" s="4">
        <f t="shared" si="83"/>
        <v>0.90833333333284827</v>
      </c>
      <c r="H867" t="str">
        <f t="shared" si="79"/>
        <v>22 min</v>
      </c>
      <c r="I867" t="s">
        <v>2</v>
      </c>
      <c r="J867" t="s">
        <v>56</v>
      </c>
      <c r="K867" t="s">
        <v>55</v>
      </c>
      <c r="L867">
        <v>6.2</v>
      </c>
      <c r="M867" t="s">
        <v>52</v>
      </c>
      <c r="N867" t="str" cm="1">
        <f t="array" ref="N867">_xlfn.IFS(
    AND(HOUR(A867)&gt;=0, HOUR(A867)&lt;10), "Morning",
    AND(HOUR(A867)&gt;=10, HOUR(A867)&lt;15), "Afternoon",
    AND(HOUR(E867)&gt;=15, HOUR(E867)&lt;19), "Evening",
    AND(HOUR(E867)&gt;=19, HOUR(E867)&lt;=23), "Night"
)</f>
        <v>Night</v>
      </c>
    </row>
    <row r="868" spans="1:14" x14ac:dyDescent="0.25">
      <c r="A868" s="3">
        <v>42671.481944444444</v>
      </c>
      <c r="B868" s="2">
        <f t="shared" si="80"/>
        <v>42671</v>
      </c>
      <c r="C868" t="str">
        <f t="shared" si="81"/>
        <v>October</v>
      </c>
      <c r="D868" t="str">
        <f t="shared" si="82"/>
        <v>Friday</v>
      </c>
      <c r="E868" t="str">
        <f t="shared" si="78"/>
        <v>11:34:00 AM</v>
      </c>
      <c r="F868" s="3">
        <v>42671.494444444441</v>
      </c>
      <c r="G868" s="4">
        <f t="shared" si="83"/>
        <v>0.49444444444088731</v>
      </c>
      <c r="H868" t="str">
        <f t="shared" si="79"/>
        <v>18 min</v>
      </c>
      <c r="I868" t="s">
        <v>2</v>
      </c>
      <c r="J868" t="s">
        <v>55</v>
      </c>
      <c r="K868" t="s">
        <v>75</v>
      </c>
      <c r="L868">
        <v>10.4</v>
      </c>
      <c r="M868" t="s">
        <v>10</v>
      </c>
      <c r="N868" t="str" cm="1">
        <f t="array" ref="N868">_xlfn.IFS(
    AND(HOUR(A868)&gt;=0, HOUR(A868)&lt;10), "Morning",
    AND(HOUR(A868)&gt;=10, HOUR(A868)&lt;15), "Afternoon",
    AND(HOUR(E868)&gt;=15, HOUR(E868)&lt;19), "Evening",
    AND(HOUR(E868)&gt;=19, HOUR(E868)&lt;=23), "Night"
)</f>
        <v>Afternoon</v>
      </c>
    </row>
    <row r="869" spans="1:14" x14ac:dyDescent="0.25">
      <c r="A869" s="3">
        <v>42671.54583333333</v>
      </c>
      <c r="B869" s="2">
        <f t="shared" si="80"/>
        <v>42671</v>
      </c>
      <c r="C869" t="str">
        <f t="shared" si="81"/>
        <v>October</v>
      </c>
      <c r="D869" t="str">
        <f t="shared" si="82"/>
        <v>Friday</v>
      </c>
      <c r="E869" t="str">
        <f t="shared" si="78"/>
        <v>01:06:00 PM</v>
      </c>
      <c r="F869" s="3">
        <v>42671.566666666666</v>
      </c>
      <c r="G869" s="4">
        <f t="shared" si="83"/>
        <v>0.56666666666569654</v>
      </c>
      <c r="H869" t="str">
        <f t="shared" si="79"/>
        <v>30 min</v>
      </c>
      <c r="I869" t="s">
        <v>2</v>
      </c>
      <c r="J869" t="s">
        <v>75</v>
      </c>
      <c r="K869" t="s">
        <v>55</v>
      </c>
      <c r="L869">
        <v>9.9</v>
      </c>
      <c r="M869" t="s">
        <v>10</v>
      </c>
      <c r="N869" t="str" cm="1">
        <f t="array" ref="N869">_xlfn.IFS(
    AND(HOUR(A869)&gt;=0, HOUR(A869)&lt;10), "Morning",
    AND(HOUR(A869)&gt;=10, HOUR(A869)&lt;15), "Afternoon",
    AND(HOUR(E869)&gt;=15, HOUR(E869)&lt;19), "Evening",
    AND(HOUR(E869)&gt;=19, HOUR(E869)&lt;=23), "Night"
)</f>
        <v>Afternoon</v>
      </c>
    </row>
    <row r="870" spans="1:14" x14ac:dyDescent="0.25">
      <c r="A870" s="3">
        <v>42671.661805555559</v>
      </c>
      <c r="B870" s="2">
        <f t="shared" si="80"/>
        <v>42671</v>
      </c>
      <c r="C870" t="str">
        <f t="shared" si="81"/>
        <v>October</v>
      </c>
      <c r="D870" t="str">
        <f t="shared" si="82"/>
        <v>Friday</v>
      </c>
      <c r="E870" t="str">
        <f t="shared" si="78"/>
        <v>03:53:00 PM</v>
      </c>
      <c r="F870" s="3">
        <v>42671.749305555553</v>
      </c>
      <c r="G870" s="4">
        <f t="shared" si="83"/>
        <v>0.74930555555329192</v>
      </c>
      <c r="H870" t="str">
        <f t="shared" si="79"/>
        <v>126 min</v>
      </c>
      <c r="I870" t="s">
        <v>2</v>
      </c>
      <c r="J870" t="s">
        <v>55</v>
      </c>
      <c r="K870" t="s">
        <v>234</v>
      </c>
      <c r="L870">
        <v>107</v>
      </c>
      <c r="M870" t="s">
        <v>10</v>
      </c>
      <c r="N870" t="str" cm="1">
        <f t="array" ref="N870">_xlfn.IFS(
    AND(HOUR(A870)&gt;=0, HOUR(A870)&lt;10), "Morning",
    AND(HOUR(A870)&gt;=10, HOUR(A870)&lt;15), "Afternoon",
    AND(HOUR(E870)&gt;=15, HOUR(E870)&lt;19), "Evening",
    AND(HOUR(E870)&gt;=19, HOUR(E870)&lt;=23), "Night"
)</f>
        <v>Evening</v>
      </c>
    </row>
    <row r="871" spans="1:14" x14ac:dyDescent="0.25">
      <c r="A871" s="3">
        <v>42671.759027777778</v>
      </c>
      <c r="B871" s="2">
        <f t="shared" si="80"/>
        <v>42671</v>
      </c>
      <c r="C871" t="str">
        <f t="shared" si="81"/>
        <v>October</v>
      </c>
      <c r="D871" t="str">
        <f t="shared" si="82"/>
        <v>Friday</v>
      </c>
      <c r="E871" t="str">
        <f t="shared" si="78"/>
        <v>06:13:00 PM</v>
      </c>
      <c r="F871" s="3">
        <v>42671.838194444441</v>
      </c>
      <c r="G871" s="4">
        <f t="shared" si="83"/>
        <v>0.83819444444088731</v>
      </c>
      <c r="H871" t="str">
        <f t="shared" si="79"/>
        <v>114 min</v>
      </c>
      <c r="I871" t="s">
        <v>2</v>
      </c>
      <c r="J871" t="s">
        <v>234</v>
      </c>
      <c r="K871" t="s">
        <v>235</v>
      </c>
      <c r="L871">
        <v>133.6</v>
      </c>
      <c r="M871" t="s">
        <v>10</v>
      </c>
      <c r="N871" t="str" cm="1">
        <f t="array" ref="N871">_xlfn.IFS(
    AND(HOUR(A871)&gt;=0, HOUR(A871)&lt;10), "Morning",
    AND(HOUR(A871)&gt;=10, HOUR(A871)&lt;15), "Afternoon",
    AND(HOUR(E871)&gt;=15, HOUR(E871)&lt;19), "Evening",
    AND(HOUR(E871)&gt;=19, HOUR(E871)&lt;=23), "Night"
)</f>
        <v>Evening</v>
      </c>
    </row>
    <row r="872" spans="1:14" x14ac:dyDescent="0.25">
      <c r="A872" s="3">
        <v>42671.842361111114</v>
      </c>
      <c r="B872" s="2">
        <f t="shared" si="80"/>
        <v>42671</v>
      </c>
      <c r="C872" t="str">
        <f t="shared" si="81"/>
        <v>October</v>
      </c>
      <c r="D872" t="str">
        <f t="shared" si="82"/>
        <v>Friday</v>
      </c>
      <c r="E872" t="str">
        <f t="shared" si="78"/>
        <v>08:13:00 PM</v>
      </c>
      <c r="F872" s="3">
        <v>42671.916666666664</v>
      </c>
      <c r="G872" s="4">
        <f t="shared" si="83"/>
        <v>0.91666666666424135</v>
      </c>
      <c r="H872" t="str">
        <f t="shared" si="79"/>
        <v>107 min</v>
      </c>
      <c r="I872" t="s">
        <v>2</v>
      </c>
      <c r="J872" t="s">
        <v>235</v>
      </c>
      <c r="K872" t="s">
        <v>236</v>
      </c>
      <c r="L872">
        <v>91.8</v>
      </c>
      <c r="M872" t="s">
        <v>10</v>
      </c>
      <c r="N872" t="str" cm="1">
        <f t="array" ref="N872">_xlfn.IFS(
    AND(HOUR(A872)&gt;=0, HOUR(A872)&lt;10), "Morning",
    AND(HOUR(A872)&gt;=10, HOUR(A872)&lt;15), "Afternoon",
    AND(HOUR(E872)&gt;=15, HOUR(E872)&lt;19), "Evening",
    AND(HOUR(E872)&gt;=19, HOUR(E872)&lt;=23), "Night"
)</f>
        <v>Night</v>
      </c>
    </row>
    <row r="873" spans="1:14" x14ac:dyDescent="0.25">
      <c r="A873" s="3">
        <v>42672.640277777777</v>
      </c>
      <c r="B873" s="2">
        <f t="shared" si="80"/>
        <v>42672</v>
      </c>
      <c r="C873" t="str">
        <f t="shared" si="81"/>
        <v>October</v>
      </c>
      <c r="D873" t="str">
        <f t="shared" si="82"/>
        <v>Saturday</v>
      </c>
      <c r="E873" t="str">
        <f t="shared" si="78"/>
        <v>03:22:00 PM</v>
      </c>
      <c r="F873" s="3">
        <v>42672.711805555555</v>
      </c>
      <c r="G873" s="4">
        <f t="shared" si="83"/>
        <v>0.71180555555474712</v>
      </c>
      <c r="H873" t="str">
        <f t="shared" si="79"/>
        <v>103 min</v>
      </c>
      <c r="I873" t="s">
        <v>2</v>
      </c>
      <c r="J873" t="s">
        <v>236</v>
      </c>
      <c r="K873" t="s">
        <v>237</v>
      </c>
      <c r="L873">
        <v>40.700000000000003</v>
      </c>
      <c r="M873" t="s">
        <v>10</v>
      </c>
      <c r="N873" t="str" cm="1">
        <f t="array" ref="N873">_xlfn.IFS(
    AND(HOUR(A873)&gt;=0, HOUR(A873)&lt;10), "Morning",
    AND(HOUR(A873)&gt;=10, HOUR(A873)&lt;15), "Afternoon",
    AND(HOUR(E873)&gt;=15, HOUR(E873)&lt;19), "Evening",
    AND(HOUR(E873)&gt;=19, HOUR(E873)&lt;=23), "Night"
)</f>
        <v>Evening</v>
      </c>
    </row>
    <row r="874" spans="1:14" x14ac:dyDescent="0.25">
      <c r="A874" s="3">
        <v>42672.717361111114</v>
      </c>
      <c r="B874" s="2">
        <f t="shared" si="80"/>
        <v>42672</v>
      </c>
      <c r="C874" t="str">
        <f t="shared" si="81"/>
        <v>October</v>
      </c>
      <c r="D874" t="str">
        <f t="shared" si="82"/>
        <v>Saturday</v>
      </c>
      <c r="E874" t="str">
        <f t="shared" si="78"/>
        <v>05:13:00 PM</v>
      </c>
      <c r="F874" s="3">
        <v>42672.804861111108</v>
      </c>
      <c r="G874" s="4">
        <f t="shared" si="83"/>
        <v>0.80486111110803904</v>
      </c>
      <c r="H874" t="str">
        <f t="shared" si="79"/>
        <v>126 min</v>
      </c>
      <c r="I874" t="s">
        <v>2</v>
      </c>
      <c r="J874" t="s">
        <v>237</v>
      </c>
      <c r="K874" t="s">
        <v>236</v>
      </c>
      <c r="L874">
        <v>75.7</v>
      </c>
      <c r="M874" t="s">
        <v>52</v>
      </c>
      <c r="N874" t="str" cm="1">
        <f t="array" ref="N874">_xlfn.IFS(
    AND(HOUR(A874)&gt;=0, HOUR(A874)&lt;10), "Morning",
    AND(HOUR(A874)&gt;=10, HOUR(A874)&lt;15), "Afternoon",
    AND(HOUR(E874)&gt;=15, HOUR(E874)&lt;19), "Evening",
    AND(HOUR(E874)&gt;=19, HOUR(E874)&lt;=23), "Night"
)</f>
        <v>Evening</v>
      </c>
    </row>
    <row r="875" spans="1:14" x14ac:dyDescent="0.25">
      <c r="A875" s="3">
        <v>42673.325694444444</v>
      </c>
      <c r="B875" s="2">
        <f t="shared" si="80"/>
        <v>42673</v>
      </c>
      <c r="C875" t="str">
        <f t="shared" si="81"/>
        <v>October</v>
      </c>
      <c r="D875" t="str">
        <f t="shared" si="82"/>
        <v>Sunday</v>
      </c>
      <c r="E875" t="str">
        <f t="shared" si="78"/>
        <v>07:49:00 AM</v>
      </c>
      <c r="F875" s="3">
        <v>42673.354166666664</v>
      </c>
      <c r="G875" s="4">
        <f t="shared" si="83"/>
        <v>0.35416666666424135</v>
      </c>
      <c r="H875" t="str">
        <f t="shared" si="79"/>
        <v>41 min</v>
      </c>
      <c r="I875" t="s">
        <v>2</v>
      </c>
      <c r="J875" t="s">
        <v>236</v>
      </c>
      <c r="K875" t="s">
        <v>238</v>
      </c>
      <c r="L875">
        <v>29.8</v>
      </c>
      <c r="M875" t="s">
        <v>52</v>
      </c>
      <c r="N875" t="str" cm="1">
        <f t="array" ref="N875">_xlfn.IFS(
    AND(HOUR(A875)&gt;=0, HOUR(A875)&lt;10), "Morning",
    AND(HOUR(A875)&gt;=10, HOUR(A875)&lt;15), "Afternoon",
    AND(HOUR(E875)&gt;=15, HOUR(E875)&lt;19), "Evening",
    AND(HOUR(E875)&gt;=19, HOUR(E875)&lt;=23), "Night"
)</f>
        <v>Morning</v>
      </c>
    </row>
    <row r="876" spans="1:14" x14ac:dyDescent="0.25">
      <c r="A876" s="3">
        <v>42673.379861111112</v>
      </c>
      <c r="B876" s="2">
        <f t="shared" si="80"/>
        <v>42673</v>
      </c>
      <c r="C876" t="str">
        <f t="shared" si="81"/>
        <v>October</v>
      </c>
      <c r="D876" t="str">
        <f t="shared" si="82"/>
        <v>Sunday</v>
      </c>
      <c r="E876" t="str">
        <f t="shared" si="78"/>
        <v>09:07:00 AM</v>
      </c>
      <c r="F876" s="3">
        <v>42673.42291666667</v>
      </c>
      <c r="G876" s="4">
        <f t="shared" si="83"/>
        <v>0.42291666667006211</v>
      </c>
      <c r="H876" t="str">
        <f t="shared" si="79"/>
        <v>62 min</v>
      </c>
      <c r="I876" t="s">
        <v>2</v>
      </c>
      <c r="J876" t="s">
        <v>238</v>
      </c>
      <c r="K876" t="s">
        <v>238</v>
      </c>
      <c r="L876">
        <v>16.3</v>
      </c>
      <c r="M876" t="s">
        <v>52</v>
      </c>
      <c r="N876" t="str" cm="1">
        <f t="array" ref="N876">_xlfn.IFS(
    AND(HOUR(A876)&gt;=0, HOUR(A876)&lt;10), "Morning",
    AND(HOUR(A876)&gt;=10, HOUR(A876)&lt;15), "Afternoon",
    AND(HOUR(E876)&gt;=15, HOUR(E876)&lt;19), "Evening",
    AND(HOUR(E876)&gt;=19, HOUR(E876)&lt;=23), "Night"
)</f>
        <v>Morning</v>
      </c>
    </row>
    <row r="877" spans="1:14" x14ac:dyDescent="0.25">
      <c r="A877" s="3">
        <v>42673.424305555556</v>
      </c>
      <c r="B877" s="2">
        <f t="shared" si="80"/>
        <v>42673</v>
      </c>
      <c r="C877" t="str">
        <f t="shared" si="81"/>
        <v>October</v>
      </c>
      <c r="D877" t="str">
        <f t="shared" si="82"/>
        <v>Sunday</v>
      </c>
      <c r="E877" t="str">
        <f t="shared" si="78"/>
        <v>10:11:00 AM</v>
      </c>
      <c r="F877" s="3">
        <v>42673.443055555559</v>
      </c>
      <c r="G877" s="4">
        <f t="shared" si="83"/>
        <v>0.44305555555911269</v>
      </c>
      <c r="H877" t="str">
        <f t="shared" si="79"/>
        <v>27 min</v>
      </c>
      <c r="I877" t="s">
        <v>2</v>
      </c>
      <c r="J877" t="s">
        <v>238</v>
      </c>
      <c r="K877" t="s">
        <v>238</v>
      </c>
      <c r="L877">
        <v>6.5</v>
      </c>
      <c r="M877" t="s">
        <v>52</v>
      </c>
      <c r="N877" t="str" cm="1">
        <f t="array" ref="N877">_xlfn.IFS(
    AND(HOUR(A877)&gt;=0, HOUR(A877)&lt;10), "Morning",
    AND(HOUR(A877)&gt;=10, HOUR(A877)&lt;15), "Afternoon",
    AND(HOUR(E877)&gt;=15, HOUR(E877)&lt;19), "Evening",
    AND(HOUR(E877)&gt;=19, HOUR(E877)&lt;=23), "Night"
)</f>
        <v>Afternoon</v>
      </c>
    </row>
    <row r="878" spans="1:14" x14ac:dyDescent="0.25">
      <c r="A878" s="3">
        <v>42673.45208333333</v>
      </c>
      <c r="B878" s="2">
        <f t="shared" si="80"/>
        <v>42673</v>
      </c>
      <c r="C878" t="str">
        <f t="shared" si="81"/>
        <v>October</v>
      </c>
      <c r="D878" t="str">
        <f t="shared" si="82"/>
        <v>Sunday</v>
      </c>
      <c r="E878" t="str">
        <f t="shared" si="78"/>
        <v>10:51:00 AM</v>
      </c>
      <c r="F878" s="3">
        <v>42673.472916666666</v>
      </c>
      <c r="G878" s="4">
        <f t="shared" si="83"/>
        <v>0.47291666666569654</v>
      </c>
      <c r="H878" t="str">
        <f t="shared" si="79"/>
        <v>30 min</v>
      </c>
      <c r="I878" t="s">
        <v>2</v>
      </c>
      <c r="J878" t="s">
        <v>238</v>
      </c>
      <c r="K878" t="s">
        <v>238</v>
      </c>
      <c r="L878">
        <v>6.3</v>
      </c>
      <c r="M878" t="s">
        <v>52</v>
      </c>
      <c r="N878" t="str" cm="1">
        <f t="array" ref="N878">_xlfn.IFS(
    AND(HOUR(A878)&gt;=0, HOUR(A878)&lt;10), "Morning",
    AND(HOUR(A878)&gt;=10, HOUR(A878)&lt;15), "Afternoon",
    AND(HOUR(E878)&gt;=15, HOUR(E878)&lt;19), "Evening",
    AND(HOUR(E878)&gt;=19, HOUR(E878)&lt;=23), "Night"
)</f>
        <v>Afternoon</v>
      </c>
    </row>
    <row r="879" spans="1:14" x14ac:dyDescent="0.25">
      <c r="A879" s="3">
        <v>42673.51666666667</v>
      </c>
      <c r="B879" s="2">
        <f t="shared" si="80"/>
        <v>42673</v>
      </c>
      <c r="C879" t="str">
        <f t="shared" si="81"/>
        <v>October</v>
      </c>
      <c r="D879" t="str">
        <f t="shared" si="82"/>
        <v>Sunday</v>
      </c>
      <c r="E879" t="str">
        <f t="shared" si="78"/>
        <v>12:24:00 PM</v>
      </c>
      <c r="F879" s="3">
        <v>42673.524305555555</v>
      </c>
      <c r="G879" s="4">
        <f t="shared" si="83"/>
        <v>0.52430555555474712</v>
      </c>
      <c r="H879" t="str">
        <f t="shared" si="79"/>
        <v>11 min</v>
      </c>
      <c r="I879" t="s">
        <v>2</v>
      </c>
      <c r="J879" t="s">
        <v>238</v>
      </c>
      <c r="K879" t="s">
        <v>239</v>
      </c>
      <c r="L879">
        <v>6.6</v>
      </c>
      <c r="M879" t="s">
        <v>52</v>
      </c>
      <c r="N879" t="str" cm="1">
        <f t="array" ref="N879">_xlfn.IFS(
    AND(HOUR(A879)&gt;=0, HOUR(A879)&lt;10), "Morning",
    AND(HOUR(A879)&gt;=10, HOUR(A879)&lt;15), "Afternoon",
    AND(HOUR(E879)&gt;=15, HOUR(E879)&lt;19), "Evening",
    AND(HOUR(E879)&gt;=19, HOUR(E879)&lt;=23), "Night"
)</f>
        <v>Afternoon</v>
      </c>
    </row>
    <row r="880" spans="1:14" x14ac:dyDescent="0.25">
      <c r="A880" s="3">
        <v>42673.540277777778</v>
      </c>
      <c r="B880" s="2">
        <f t="shared" si="80"/>
        <v>42673</v>
      </c>
      <c r="C880" t="str">
        <f t="shared" si="81"/>
        <v>October</v>
      </c>
      <c r="D880" t="str">
        <f t="shared" si="82"/>
        <v>Sunday</v>
      </c>
      <c r="E880" t="str">
        <f t="shared" si="78"/>
        <v>12:58:00 PM</v>
      </c>
      <c r="F880" s="3">
        <v>42673.554166666669</v>
      </c>
      <c r="G880" s="4">
        <f t="shared" si="83"/>
        <v>0.55416666666860692</v>
      </c>
      <c r="H880" t="str">
        <f t="shared" si="79"/>
        <v>20 min</v>
      </c>
      <c r="I880" t="s">
        <v>2</v>
      </c>
      <c r="J880" t="s">
        <v>239</v>
      </c>
      <c r="K880" t="s">
        <v>238</v>
      </c>
      <c r="L880">
        <v>15.2</v>
      </c>
      <c r="M880" t="s">
        <v>52</v>
      </c>
      <c r="N880" t="str" cm="1">
        <f t="array" ref="N880">_xlfn.IFS(
    AND(HOUR(A880)&gt;=0, HOUR(A880)&lt;10), "Morning",
    AND(HOUR(A880)&gt;=10, HOUR(A880)&lt;15), "Afternoon",
    AND(HOUR(E880)&gt;=15, HOUR(E880)&lt;19), "Evening",
    AND(HOUR(E880)&gt;=19, HOUR(E880)&lt;=23), "Night"
)</f>
        <v>Afternoon</v>
      </c>
    </row>
    <row r="881" spans="1:14" x14ac:dyDescent="0.25">
      <c r="A881" s="3">
        <v>42673.558333333334</v>
      </c>
      <c r="B881" s="2">
        <f t="shared" si="80"/>
        <v>42673</v>
      </c>
      <c r="C881" t="str">
        <f t="shared" si="81"/>
        <v>October</v>
      </c>
      <c r="D881" t="str">
        <f t="shared" si="82"/>
        <v>Sunday</v>
      </c>
      <c r="E881" t="str">
        <f t="shared" si="78"/>
        <v>01:24:00 PM</v>
      </c>
      <c r="F881" s="3">
        <v>42673.609027777777</v>
      </c>
      <c r="G881" s="4">
        <f t="shared" si="83"/>
        <v>0.60902777777664596</v>
      </c>
      <c r="H881" t="str">
        <f t="shared" si="79"/>
        <v>73 min</v>
      </c>
      <c r="I881" t="s">
        <v>2</v>
      </c>
      <c r="J881" t="s">
        <v>238</v>
      </c>
      <c r="K881" t="s">
        <v>235</v>
      </c>
      <c r="L881">
        <v>68.400000000000006</v>
      </c>
      <c r="M881" t="s">
        <v>52</v>
      </c>
      <c r="N881" t="str" cm="1">
        <f t="array" ref="N881">_xlfn.IFS(
    AND(HOUR(A881)&gt;=0, HOUR(A881)&lt;10), "Morning",
    AND(HOUR(A881)&gt;=10, HOUR(A881)&lt;15), "Afternoon",
    AND(HOUR(E881)&gt;=15, HOUR(E881)&lt;19), "Evening",
    AND(HOUR(E881)&gt;=19, HOUR(E881)&lt;=23), "Night"
)</f>
        <v>Afternoon</v>
      </c>
    </row>
    <row r="882" spans="1:14" x14ac:dyDescent="0.25">
      <c r="A882" s="3">
        <v>42673.640277777777</v>
      </c>
      <c r="B882" s="2">
        <f t="shared" si="80"/>
        <v>42673</v>
      </c>
      <c r="C882" t="str">
        <f t="shared" si="81"/>
        <v>October</v>
      </c>
      <c r="D882" t="str">
        <f t="shared" si="82"/>
        <v>Sunday</v>
      </c>
      <c r="E882" t="str">
        <f t="shared" si="78"/>
        <v>03:22:00 PM</v>
      </c>
      <c r="F882" s="3">
        <v>42673.765972222223</v>
      </c>
      <c r="G882" s="4">
        <f t="shared" si="83"/>
        <v>0.76597222222335404</v>
      </c>
      <c r="H882" t="str">
        <f t="shared" si="79"/>
        <v>181 min</v>
      </c>
      <c r="I882" t="s">
        <v>2</v>
      </c>
      <c r="J882" t="s">
        <v>235</v>
      </c>
      <c r="K882" t="s">
        <v>240</v>
      </c>
      <c r="L882">
        <v>195.9</v>
      </c>
      <c r="M882" t="s">
        <v>52</v>
      </c>
      <c r="N882" t="str" cm="1">
        <f t="array" ref="N882">_xlfn.IFS(
    AND(HOUR(A882)&gt;=0, HOUR(A882)&lt;10), "Morning",
    AND(HOUR(A882)&gt;=10, HOUR(A882)&lt;15), "Afternoon",
    AND(HOUR(E882)&gt;=15, HOUR(E882)&lt;19), "Evening",
    AND(HOUR(E882)&gt;=19, HOUR(E882)&lt;=23), "Night"
)</f>
        <v>Evening</v>
      </c>
    </row>
    <row r="883" spans="1:14" x14ac:dyDescent="0.25">
      <c r="A883" s="3">
        <v>42673.768055555556</v>
      </c>
      <c r="B883" s="2">
        <f t="shared" si="80"/>
        <v>42673</v>
      </c>
      <c r="C883" t="str">
        <f t="shared" si="81"/>
        <v>October</v>
      </c>
      <c r="D883" t="str">
        <f t="shared" si="82"/>
        <v>Sunday</v>
      </c>
      <c r="E883" t="str">
        <f t="shared" si="78"/>
        <v>06:26:00 PM</v>
      </c>
      <c r="F883" s="3">
        <v>42673.818749999999</v>
      </c>
      <c r="G883" s="4">
        <f t="shared" si="83"/>
        <v>0.81874999999854481</v>
      </c>
      <c r="H883" t="str">
        <f t="shared" si="79"/>
        <v>73 min</v>
      </c>
      <c r="I883" t="s">
        <v>2</v>
      </c>
      <c r="J883" t="s">
        <v>240</v>
      </c>
      <c r="K883" t="s">
        <v>55</v>
      </c>
      <c r="L883">
        <v>45.2</v>
      </c>
      <c r="M883" t="s">
        <v>52</v>
      </c>
      <c r="N883" t="str" cm="1">
        <f t="array" ref="N883">_xlfn.IFS(
    AND(HOUR(A883)&gt;=0, HOUR(A883)&lt;10), "Morning",
    AND(HOUR(A883)&gt;=10, HOUR(A883)&lt;15), "Afternoon",
    AND(HOUR(E883)&gt;=15, HOUR(E883)&lt;19), "Evening",
    AND(HOUR(E883)&gt;=19, HOUR(E883)&lt;=23), "Night"
)</f>
        <v>Evening</v>
      </c>
    </row>
    <row r="884" spans="1:14" x14ac:dyDescent="0.25">
      <c r="A884" s="3">
        <v>42674.757638888892</v>
      </c>
      <c r="B884" s="2">
        <f t="shared" si="80"/>
        <v>42674</v>
      </c>
      <c r="C884" t="str">
        <f t="shared" si="81"/>
        <v>October</v>
      </c>
      <c r="D884" t="str">
        <f t="shared" si="82"/>
        <v>Monday</v>
      </c>
      <c r="E884" t="str">
        <f t="shared" si="78"/>
        <v>06:11:00 PM</v>
      </c>
      <c r="F884" s="3">
        <v>42674.763888888891</v>
      </c>
      <c r="G884" s="4">
        <f t="shared" si="83"/>
        <v>0.76388888889050577</v>
      </c>
      <c r="H884" t="str">
        <f t="shared" si="79"/>
        <v>9 min</v>
      </c>
      <c r="I884" t="s">
        <v>2</v>
      </c>
      <c r="J884" t="s">
        <v>55</v>
      </c>
      <c r="K884" t="s">
        <v>56</v>
      </c>
      <c r="L884">
        <v>3.2</v>
      </c>
      <c r="M884" t="s">
        <v>52</v>
      </c>
      <c r="N884" t="str" cm="1">
        <f t="array" ref="N884">_xlfn.IFS(
    AND(HOUR(A884)&gt;=0, HOUR(A884)&lt;10), "Morning",
    AND(HOUR(A884)&gt;=10, HOUR(A884)&lt;15), "Afternoon",
    AND(HOUR(E884)&gt;=15, HOUR(E884)&lt;19), "Evening",
    AND(HOUR(E884)&gt;=19, HOUR(E884)&lt;=23), "Night"
)</f>
        <v>Evening</v>
      </c>
    </row>
    <row r="885" spans="1:14" x14ac:dyDescent="0.25">
      <c r="A885" s="3">
        <v>42674.782638888886</v>
      </c>
      <c r="B885" s="2">
        <f t="shared" si="80"/>
        <v>42674</v>
      </c>
      <c r="C885" t="str">
        <f t="shared" si="81"/>
        <v>October</v>
      </c>
      <c r="D885" t="str">
        <f t="shared" si="82"/>
        <v>Monday</v>
      </c>
      <c r="E885" t="str">
        <f t="shared" si="78"/>
        <v>06:47:00 PM</v>
      </c>
      <c r="F885" s="3">
        <v>42674.802777777775</v>
      </c>
      <c r="G885" s="4">
        <f t="shared" si="83"/>
        <v>0.80277777777519077</v>
      </c>
      <c r="H885" t="str">
        <f t="shared" si="79"/>
        <v>29 min</v>
      </c>
      <c r="I885" t="s">
        <v>2</v>
      </c>
      <c r="J885" t="s">
        <v>56</v>
      </c>
      <c r="K885" t="s">
        <v>79</v>
      </c>
      <c r="L885">
        <v>10.3</v>
      </c>
      <c r="M885" t="s">
        <v>52</v>
      </c>
      <c r="N885" t="str" cm="1">
        <f t="array" ref="N885">_xlfn.IFS(
    AND(HOUR(A885)&gt;=0, HOUR(A885)&lt;10), "Morning",
    AND(HOUR(A885)&gt;=10, HOUR(A885)&lt;15), "Afternoon",
    AND(HOUR(E885)&gt;=15, HOUR(E885)&lt;19), "Evening",
    AND(HOUR(E885)&gt;=19, HOUR(E885)&lt;=23), "Night"
)</f>
        <v>Evening</v>
      </c>
    </row>
    <row r="886" spans="1:14" x14ac:dyDescent="0.25">
      <c r="A886" s="3">
        <v>42674.845833333333</v>
      </c>
      <c r="B886" s="2">
        <f t="shared" si="80"/>
        <v>42674</v>
      </c>
      <c r="C886" t="str">
        <f t="shared" si="81"/>
        <v>October</v>
      </c>
      <c r="D886" t="str">
        <f t="shared" si="82"/>
        <v>Monday</v>
      </c>
      <c r="E886" t="str">
        <f t="shared" si="78"/>
        <v>08:18:00 PM</v>
      </c>
      <c r="F886" s="3">
        <v>42674.863888888889</v>
      </c>
      <c r="G886" s="4">
        <f t="shared" si="83"/>
        <v>0.86388888888905058</v>
      </c>
      <c r="H886" t="str">
        <f t="shared" si="79"/>
        <v>26 min</v>
      </c>
      <c r="I886" t="s">
        <v>2</v>
      </c>
      <c r="J886" t="s">
        <v>79</v>
      </c>
      <c r="K886" t="s">
        <v>55</v>
      </c>
      <c r="L886">
        <v>13.1</v>
      </c>
      <c r="M886" t="s">
        <v>52</v>
      </c>
      <c r="N886" t="str" cm="1">
        <f t="array" ref="N886">_xlfn.IFS(
    AND(HOUR(A886)&gt;=0, HOUR(A886)&lt;10), "Morning",
    AND(HOUR(A886)&gt;=10, HOUR(A886)&lt;15), "Afternoon",
    AND(HOUR(E886)&gt;=15, HOUR(E886)&lt;19), "Evening",
    AND(HOUR(E886)&gt;=19, HOUR(E886)&lt;=23), "Night"
)</f>
        <v>Night</v>
      </c>
    </row>
    <row r="887" spans="1:14" x14ac:dyDescent="0.25">
      <c r="A887" s="3">
        <v>42674.90625</v>
      </c>
      <c r="B887" s="2">
        <f t="shared" si="80"/>
        <v>42674</v>
      </c>
      <c r="C887" t="str">
        <f t="shared" si="81"/>
        <v>October</v>
      </c>
      <c r="D887" t="str">
        <f t="shared" si="82"/>
        <v>Monday</v>
      </c>
      <c r="E887" t="str">
        <f t="shared" si="78"/>
        <v>09:45:00 PM</v>
      </c>
      <c r="F887" s="3">
        <v>42674.923611111109</v>
      </c>
      <c r="G887" s="4">
        <f t="shared" si="83"/>
        <v>0.92361111110949423</v>
      </c>
      <c r="H887" t="str">
        <f t="shared" si="79"/>
        <v>25 min</v>
      </c>
      <c r="I887" t="s">
        <v>2</v>
      </c>
      <c r="J887" t="s">
        <v>168</v>
      </c>
      <c r="K887" t="s">
        <v>77</v>
      </c>
      <c r="L887">
        <v>9.6</v>
      </c>
      <c r="M887" t="s">
        <v>8</v>
      </c>
      <c r="N887" t="str" cm="1">
        <f t="array" ref="N887">_xlfn.IFS(
    AND(HOUR(A887)&gt;=0, HOUR(A887)&lt;10), "Morning",
    AND(HOUR(A887)&gt;=10, HOUR(A887)&lt;15), "Afternoon",
    AND(HOUR(E887)&gt;=15, HOUR(E887)&lt;19), "Evening",
    AND(HOUR(E887)&gt;=19, HOUR(E887)&lt;=23), "Night"
)</f>
        <v>Night</v>
      </c>
    </row>
    <row r="888" spans="1:14" x14ac:dyDescent="0.25">
      <c r="A888" s="3">
        <v>42675.493055555555</v>
      </c>
      <c r="B888" s="2">
        <f>INT(A888)</f>
        <v>42675</v>
      </c>
      <c r="C888" t="str">
        <f t="shared" si="81"/>
        <v>November</v>
      </c>
      <c r="D888" t="str">
        <f t="shared" si="82"/>
        <v>Tuesday</v>
      </c>
      <c r="E888" t="str">
        <f t="shared" si="78"/>
        <v>11:50:00 AM</v>
      </c>
      <c r="F888" s="3">
        <v>42675.518750000003</v>
      </c>
      <c r="G888" s="4">
        <f t="shared" si="83"/>
        <v>0.51875000000291038</v>
      </c>
      <c r="H888" t="str">
        <f t="shared" si="79"/>
        <v>37 min</v>
      </c>
      <c r="I888" t="s">
        <v>2</v>
      </c>
      <c r="J888" t="s">
        <v>55</v>
      </c>
      <c r="K888" t="s">
        <v>75</v>
      </c>
      <c r="L888">
        <v>16.5</v>
      </c>
      <c r="M888" t="s">
        <v>52</v>
      </c>
      <c r="N888" t="str" cm="1">
        <f t="array" ref="N888">_xlfn.IFS(
    AND(HOUR(A888)&gt;=0, HOUR(A888)&lt;10), "Morning",
    AND(HOUR(A888)&gt;=10, HOUR(A888)&lt;15), "Afternoon",
    AND(HOUR(E888)&gt;=15, HOUR(E888)&lt;19), "Evening",
    AND(HOUR(E888)&gt;=19, HOUR(E888)&lt;=23), "Night"
)</f>
        <v>Afternoon</v>
      </c>
    </row>
    <row r="889" spans="1:14" x14ac:dyDescent="0.25">
      <c r="A889" s="3">
        <v>42675.686805555553</v>
      </c>
      <c r="B889" s="2">
        <f t="shared" si="80"/>
        <v>42675</v>
      </c>
      <c r="C889" t="str">
        <f t="shared" si="81"/>
        <v>November</v>
      </c>
      <c r="D889" t="str">
        <f t="shared" si="82"/>
        <v>Tuesday</v>
      </c>
      <c r="E889" t="str">
        <f t="shared" si="78"/>
        <v>04:29:00 PM</v>
      </c>
      <c r="F889" s="3">
        <v>42675.709722222222</v>
      </c>
      <c r="G889" s="4">
        <f t="shared" si="83"/>
        <v>0.70972222222189885</v>
      </c>
      <c r="H889" t="str">
        <f t="shared" si="79"/>
        <v>33 min</v>
      </c>
      <c r="I889" t="s">
        <v>2</v>
      </c>
      <c r="J889" t="s">
        <v>75</v>
      </c>
      <c r="K889" t="s">
        <v>55</v>
      </c>
      <c r="L889">
        <v>12.8</v>
      </c>
      <c r="M889" t="s">
        <v>52</v>
      </c>
      <c r="N889" t="str" cm="1">
        <f t="array" ref="N889">_xlfn.IFS(
    AND(HOUR(A889)&gt;=0, HOUR(A889)&lt;10), "Morning",
    AND(HOUR(A889)&gt;=10, HOUR(A889)&lt;15), "Afternoon",
    AND(HOUR(E889)&gt;=15, HOUR(E889)&lt;19), "Evening",
    AND(HOUR(E889)&gt;=19, HOUR(E889)&lt;=23), "Night"
)</f>
        <v>Evening</v>
      </c>
    </row>
    <row r="890" spans="1:14" x14ac:dyDescent="0.25">
      <c r="A890" s="3">
        <v>42675.732638888891</v>
      </c>
      <c r="B890" s="2">
        <f t="shared" si="80"/>
        <v>42675</v>
      </c>
      <c r="C890" t="str">
        <f t="shared" si="81"/>
        <v>November</v>
      </c>
      <c r="D890" t="str">
        <f t="shared" si="82"/>
        <v>Tuesday</v>
      </c>
      <c r="E890" t="str">
        <f t="shared" si="78"/>
        <v>05:35:00 PM</v>
      </c>
      <c r="F890" s="3">
        <v>42675.737500000003</v>
      </c>
      <c r="G890" s="4">
        <f t="shared" si="83"/>
        <v>0.73750000000291038</v>
      </c>
      <c r="H890" t="str">
        <f t="shared" si="79"/>
        <v>7 min</v>
      </c>
      <c r="I890" t="s">
        <v>2</v>
      </c>
      <c r="J890" t="s">
        <v>77</v>
      </c>
      <c r="K890" t="s">
        <v>77</v>
      </c>
      <c r="L890">
        <v>1.2</v>
      </c>
      <c r="M890" t="s">
        <v>52</v>
      </c>
      <c r="N890" t="str" cm="1">
        <f t="array" ref="N890">_xlfn.IFS(
    AND(HOUR(A890)&gt;=0, HOUR(A890)&lt;10), "Morning",
    AND(HOUR(A890)&gt;=10, HOUR(A890)&lt;15), "Afternoon",
    AND(HOUR(E890)&gt;=15, HOUR(E890)&lt;19), "Evening",
    AND(HOUR(E890)&gt;=19, HOUR(E890)&lt;=23), "Night"
)</f>
        <v>Evening</v>
      </c>
    </row>
    <row r="891" spans="1:14" x14ac:dyDescent="0.25">
      <c r="A891" s="3">
        <v>42675.801388888889</v>
      </c>
      <c r="B891" s="2">
        <f t="shared" si="80"/>
        <v>42675</v>
      </c>
      <c r="C891" t="str">
        <f t="shared" si="81"/>
        <v>November</v>
      </c>
      <c r="D891" t="str">
        <f t="shared" si="82"/>
        <v>Tuesday</v>
      </c>
      <c r="E891" t="str">
        <f t="shared" si="78"/>
        <v>07:14:00 PM</v>
      </c>
      <c r="F891" s="3">
        <v>42675.805555555555</v>
      </c>
      <c r="G891" s="4">
        <f t="shared" si="83"/>
        <v>0.80555555555474712</v>
      </c>
      <c r="H891" t="str">
        <f t="shared" si="79"/>
        <v>6 min</v>
      </c>
      <c r="I891" t="s">
        <v>2</v>
      </c>
      <c r="J891" t="s">
        <v>77</v>
      </c>
      <c r="K891" t="s">
        <v>77</v>
      </c>
      <c r="L891">
        <v>1</v>
      </c>
      <c r="M891" t="s">
        <v>52</v>
      </c>
      <c r="N891" t="str" cm="1">
        <f t="array" ref="N891">_xlfn.IFS(
    AND(HOUR(A891)&gt;=0, HOUR(A891)&lt;10), "Morning",
    AND(HOUR(A891)&gt;=10, HOUR(A891)&lt;15), "Afternoon",
    AND(HOUR(E891)&gt;=15, HOUR(E891)&lt;19), "Evening",
    AND(HOUR(E891)&gt;=19, HOUR(E891)&lt;=23), "Night"
)</f>
        <v>Night</v>
      </c>
    </row>
    <row r="892" spans="1:14" x14ac:dyDescent="0.25">
      <c r="A892" s="3">
        <v>42675.832638888889</v>
      </c>
      <c r="B892" s="2">
        <f t="shared" si="80"/>
        <v>42675</v>
      </c>
      <c r="C892" t="str">
        <f t="shared" si="81"/>
        <v>November</v>
      </c>
      <c r="D892" t="str">
        <f t="shared" si="82"/>
        <v>Tuesday</v>
      </c>
      <c r="E892" t="str">
        <f t="shared" si="78"/>
        <v>07:59:00 PM</v>
      </c>
      <c r="F892" s="3">
        <v>42675.841666666667</v>
      </c>
      <c r="G892" s="4">
        <f t="shared" si="83"/>
        <v>0.84166666666715173</v>
      </c>
      <c r="H892" t="str">
        <f t="shared" si="79"/>
        <v>13 min</v>
      </c>
      <c r="I892" t="s">
        <v>2</v>
      </c>
      <c r="J892" t="s">
        <v>77</v>
      </c>
      <c r="K892" t="s">
        <v>77</v>
      </c>
      <c r="L892">
        <v>4.0999999999999996</v>
      </c>
      <c r="M892" t="s">
        <v>52</v>
      </c>
      <c r="N892" t="str" cm="1">
        <f t="array" ref="N892">_xlfn.IFS(
    AND(HOUR(A892)&gt;=0, HOUR(A892)&lt;10), "Morning",
    AND(HOUR(A892)&gt;=10, HOUR(A892)&lt;15), "Afternoon",
    AND(HOUR(E892)&gt;=15, HOUR(E892)&lt;19), "Evening",
    AND(HOUR(E892)&gt;=19, HOUR(E892)&lt;=23), "Night"
)</f>
        <v>Night</v>
      </c>
    </row>
    <row r="893" spans="1:14" x14ac:dyDescent="0.25">
      <c r="A893" s="3">
        <v>42675.861805555556</v>
      </c>
      <c r="B893" s="2">
        <f t="shared" si="80"/>
        <v>42675</v>
      </c>
      <c r="C893" t="str">
        <f t="shared" si="81"/>
        <v>November</v>
      </c>
      <c r="D893" t="str">
        <f t="shared" si="82"/>
        <v>Tuesday</v>
      </c>
      <c r="E893" t="str">
        <f t="shared" si="78"/>
        <v>08:41:00 PM</v>
      </c>
      <c r="F893" s="3">
        <v>42675.871527777781</v>
      </c>
      <c r="G893" s="4">
        <f t="shared" si="83"/>
        <v>0.87152777778101154</v>
      </c>
      <c r="H893" t="str">
        <f t="shared" si="79"/>
        <v>14 min</v>
      </c>
      <c r="I893" t="s">
        <v>2</v>
      </c>
      <c r="J893" t="s">
        <v>77</v>
      </c>
      <c r="K893" t="s">
        <v>77</v>
      </c>
      <c r="L893">
        <v>4.2</v>
      </c>
      <c r="M893" t="s">
        <v>9</v>
      </c>
      <c r="N893" t="str" cm="1">
        <f t="array" ref="N893">_xlfn.IFS(
    AND(HOUR(A893)&gt;=0, HOUR(A893)&lt;10), "Morning",
    AND(HOUR(A893)&gt;=10, HOUR(A893)&lt;15), "Afternoon",
    AND(HOUR(E893)&gt;=15, HOUR(E893)&lt;19), "Evening",
    AND(HOUR(E893)&gt;=19, HOUR(E893)&lt;=23), "Night"
)</f>
        <v>Night</v>
      </c>
    </row>
    <row r="894" spans="1:14" x14ac:dyDescent="0.25">
      <c r="A894" s="3">
        <v>42676.631944444445</v>
      </c>
      <c r="B894" s="2">
        <f t="shared" si="80"/>
        <v>42676</v>
      </c>
      <c r="C894" t="str">
        <f t="shared" si="81"/>
        <v>November</v>
      </c>
      <c r="D894" t="str">
        <f t="shared" si="82"/>
        <v>Wednesday</v>
      </c>
      <c r="E894" t="str">
        <f t="shared" si="78"/>
        <v>03:10:00 PM</v>
      </c>
      <c r="F894" s="3">
        <v>42676.637499999997</v>
      </c>
      <c r="G894" s="4">
        <f t="shared" si="83"/>
        <v>0.63749999999708962</v>
      </c>
      <c r="H894" t="str">
        <f t="shared" si="79"/>
        <v>8 min</v>
      </c>
      <c r="I894" t="s">
        <v>2</v>
      </c>
      <c r="J894" t="s">
        <v>77</v>
      </c>
      <c r="K894" t="s">
        <v>83</v>
      </c>
      <c r="L894">
        <v>1.4</v>
      </c>
      <c r="M894" t="s">
        <v>52</v>
      </c>
      <c r="N894" t="str" cm="1">
        <f t="array" ref="N894">_xlfn.IFS(
    AND(HOUR(A894)&gt;=0, HOUR(A894)&lt;10), "Morning",
    AND(HOUR(A894)&gt;=10, HOUR(A894)&lt;15), "Afternoon",
    AND(HOUR(E894)&gt;=15, HOUR(E894)&lt;19), "Evening",
    AND(HOUR(E894)&gt;=19, HOUR(E894)&lt;=23), "Night"
)</f>
        <v>Evening</v>
      </c>
    </row>
    <row r="895" spans="1:14" x14ac:dyDescent="0.25">
      <c r="A895" s="3">
        <v>42676.65625</v>
      </c>
      <c r="B895" s="2">
        <f t="shared" si="80"/>
        <v>42676</v>
      </c>
      <c r="C895" t="str">
        <f t="shared" si="81"/>
        <v>November</v>
      </c>
      <c r="D895" t="str">
        <f t="shared" si="82"/>
        <v>Wednesday</v>
      </c>
      <c r="E895" t="str">
        <f t="shared" si="78"/>
        <v>03:45:00 PM</v>
      </c>
      <c r="F895" s="3">
        <v>42676.661111111112</v>
      </c>
      <c r="G895" s="4">
        <f t="shared" si="83"/>
        <v>0.66111111111240461</v>
      </c>
      <c r="H895" t="str">
        <f t="shared" si="79"/>
        <v>7 min</v>
      </c>
      <c r="I895" t="s">
        <v>2</v>
      </c>
      <c r="J895" t="s">
        <v>83</v>
      </c>
      <c r="K895" t="s">
        <v>77</v>
      </c>
      <c r="L895">
        <v>1.8</v>
      </c>
      <c r="M895" t="s">
        <v>52</v>
      </c>
      <c r="N895" t="str" cm="1">
        <f t="array" ref="N895">_xlfn.IFS(
    AND(HOUR(A895)&gt;=0, HOUR(A895)&lt;10), "Morning",
    AND(HOUR(A895)&gt;=10, HOUR(A895)&lt;15), "Afternoon",
    AND(HOUR(E895)&gt;=15, HOUR(E895)&lt;19), "Evening",
    AND(HOUR(E895)&gt;=19, HOUR(E895)&lt;=23), "Night"
)</f>
        <v>Evening</v>
      </c>
    </row>
    <row r="896" spans="1:14" x14ac:dyDescent="0.25">
      <c r="A896" s="3">
        <v>42676.698611111111</v>
      </c>
      <c r="B896" s="2">
        <f t="shared" si="80"/>
        <v>42676</v>
      </c>
      <c r="C896" t="str">
        <f t="shared" si="81"/>
        <v>November</v>
      </c>
      <c r="D896" t="str">
        <f t="shared" si="82"/>
        <v>Wednesday</v>
      </c>
      <c r="E896" t="str">
        <f t="shared" si="78"/>
        <v>04:46:00 PM</v>
      </c>
      <c r="F896" s="3">
        <v>42676.71597222222</v>
      </c>
      <c r="G896" s="4">
        <f t="shared" si="83"/>
        <v>0.71597222222044365</v>
      </c>
      <c r="H896" t="str">
        <f t="shared" si="79"/>
        <v>25 min</v>
      </c>
      <c r="I896" t="s">
        <v>2</v>
      </c>
      <c r="J896" t="s">
        <v>55</v>
      </c>
      <c r="K896" t="s">
        <v>56</v>
      </c>
      <c r="L896">
        <v>8.5</v>
      </c>
      <c r="M896" t="s">
        <v>10</v>
      </c>
      <c r="N896" t="str" cm="1">
        <f t="array" ref="N896">_xlfn.IFS(
    AND(HOUR(A896)&gt;=0, HOUR(A896)&lt;10), "Morning",
    AND(HOUR(A896)&gt;=10, HOUR(A896)&lt;15), "Afternoon",
    AND(HOUR(E896)&gt;=15, HOUR(E896)&lt;19), "Evening",
    AND(HOUR(E896)&gt;=19, HOUR(E896)&lt;=23), "Night"
)</f>
        <v>Evening</v>
      </c>
    </row>
    <row r="897" spans="1:14" x14ac:dyDescent="0.25">
      <c r="A897" s="3">
        <v>42676.731944444444</v>
      </c>
      <c r="B897" s="2">
        <f t="shared" si="80"/>
        <v>42676</v>
      </c>
      <c r="C897" t="str">
        <f t="shared" si="81"/>
        <v>November</v>
      </c>
      <c r="D897" t="str">
        <f t="shared" si="82"/>
        <v>Wednesday</v>
      </c>
      <c r="E897" t="str">
        <f t="shared" si="78"/>
        <v>05:34:00 PM</v>
      </c>
      <c r="F897" s="3">
        <v>42676.742361111108</v>
      </c>
      <c r="G897" s="4">
        <f t="shared" si="83"/>
        <v>0.74236111110803904</v>
      </c>
      <c r="H897" t="str">
        <f t="shared" si="79"/>
        <v>15 min</v>
      </c>
      <c r="I897" t="s">
        <v>2</v>
      </c>
      <c r="J897" t="s">
        <v>56</v>
      </c>
      <c r="K897" t="s">
        <v>56</v>
      </c>
      <c r="L897">
        <v>5</v>
      </c>
      <c r="M897" t="s">
        <v>52</v>
      </c>
      <c r="N897" t="str" cm="1">
        <f t="array" ref="N897">_xlfn.IFS(
    AND(HOUR(A897)&gt;=0, HOUR(A897)&lt;10), "Morning",
    AND(HOUR(A897)&gt;=10, HOUR(A897)&lt;15), "Afternoon",
    AND(HOUR(E897)&gt;=15, HOUR(E897)&lt;19), "Evening",
    AND(HOUR(E897)&gt;=19, HOUR(E897)&lt;=23), "Night"
)</f>
        <v>Evening</v>
      </c>
    </row>
    <row r="898" spans="1:14" x14ac:dyDescent="0.25">
      <c r="A898" s="3">
        <v>42676.745138888888</v>
      </c>
      <c r="B898" s="2">
        <f t="shared" si="80"/>
        <v>42676</v>
      </c>
      <c r="C898" t="str">
        <f t="shared" si="81"/>
        <v>November</v>
      </c>
      <c r="D898" t="str">
        <f t="shared" si="82"/>
        <v>Wednesday</v>
      </c>
      <c r="E898" t="str">
        <f t="shared" ref="E898:E961" si="84">TEXT(A898, "hh:mm:ss AM/PM")</f>
        <v>05:53:00 PM</v>
      </c>
      <c r="F898" s="3">
        <v>42676.75</v>
      </c>
      <c r="G898" s="4">
        <f t="shared" si="83"/>
        <v>0.75</v>
      </c>
      <c r="H898" t="str">
        <f t="shared" ref="H898:H961" si="85">HOUR(IF(G898&lt;E898, G898+1-E898, G898-E898))*60 + MINUTE(IF(G898&lt;E898, G898+1-E898, G898-E898)) &amp; " min"</f>
        <v>7 min</v>
      </c>
      <c r="I898" t="s">
        <v>2</v>
      </c>
      <c r="J898" t="s">
        <v>56</v>
      </c>
      <c r="K898" t="s">
        <v>55</v>
      </c>
      <c r="L898">
        <v>3.8</v>
      </c>
      <c r="M898" t="s">
        <v>52</v>
      </c>
      <c r="N898" t="str" cm="1">
        <f t="array" ref="N898">_xlfn.IFS(
    AND(HOUR(A898)&gt;=0, HOUR(A898)&lt;10), "Morning",
    AND(HOUR(A898)&gt;=10, HOUR(A898)&lt;15), "Afternoon",
    AND(HOUR(E898)&gt;=15, HOUR(E898)&lt;19), "Evening",
    AND(HOUR(E898)&gt;=19, HOUR(E898)&lt;=23), "Night"
)</f>
        <v>Evening</v>
      </c>
    </row>
    <row r="899" spans="1:14" x14ac:dyDescent="0.25">
      <c r="A899" s="3">
        <v>42677.477777777778</v>
      </c>
      <c r="B899" s="2">
        <f t="shared" ref="B899:B962" si="86">INT(A899)</f>
        <v>42677</v>
      </c>
      <c r="C899" t="str">
        <f t="shared" ref="C899:C962" si="87">TEXT(B899, "mmmm")</f>
        <v>November</v>
      </c>
      <c r="D899" t="str">
        <f t="shared" ref="D899:D962" si="88">TEXT(B899, "dddd")</f>
        <v>Thursday</v>
      </c>
      <c r="E899" t="str">
        <f t="shared" si="84"/>
        <v>11:28:00 AM</v>
      </c>
      <c r="F899" s="3">
        <v>42677.481944444444</v>
      </c>
      <c r="G899" s="4">
        <f t="shared" ref="G899:G962" si="89">F899-INT(F899)</f>
        <v>0.48194444444379769</v>
      </c>
      <c r="H899" t="str">
        <f t="shared" si="85"/>
        <v>6 min</v>
      </c>
      <c r="I899" t="s">
        <v>2</v>
      </c>
      <c r="J899" t="s">
        <v>77</v>
      </c>
      <c r="K899" t="s">
        <v>82</v>
      </c>
      <c r="L899">
        <v>2.5</v>
      </c>
      <c r="M899" t="s">
        <v>52</v>
      </c>
      <c r="N899" t="str" cm="1">
        <f t="array" ref="N899">_xlfn.IFS(
    AND(HOUR(A899)&gt;=0, HOUR(A899)&lt;10), "Morning",
    AND(HOUR(A899)&gt;=10, HOUR(A899)&lt;15), "Afternoon",
    AND(HOUR(E899)&gt;=15, HOUR(E899)&lt;19), "Evening",
    AND(HOUR(E899)&gt;=19, HOUR(E899)&lt;=23), "Night"
)</f>
        <v>Afternoon</v>
      </c>
    </row>
    <row r="900" spans="1:14" x14ac:dyDescent="0.25">
      <c r="A900" s="3">
        <v>42677.529861111114</v>
      </c>
      <c r="B900" s="2">
        <f t="shared" si="86"/>
        <v>42677</v>
      </c>
      <c r="C900" t="str">
        <f t="shared" si="87"/>
        <v>November</v>
      </c>
      <c r="D900" t="str">
        <f t="shared" si="88"/>
        <v>Thursday</v>
      </c>
      <c r="E900" t="str">
        <f t="shared" si="84"/>
        <v>12:43:00 PM</v>
      </c>
      <c r="F900" s="3">
        <v>42677.53402777778</v>
      </c>
      <c r="G900" s="4">
        <f t="shared" si="89"/>
        <v>0.53402777777955635</v>
      </c>
      <c r="H900" t="str">
        <f t="shared" si="85"/>
        <v>6 min</v>
      </c>
      <c r="I900" t="s">
        <v>2</v>
      </c>
      <c r="J900" t="s">
        <v>82</v>
      </c>
      <c r="K900" t="s">
        <v>77</v>
      </c>
      <c r="L900">
        <v>2.4</v>
      </c>
      <c r="M900" t="s">
        <v>52</v>
      </c>
      <c r="N900" t="str" cm="1">
        <f t="array" ref="N900">_xlfn.IFS(
    AND(HOUR(A900)&gt;=0, HOUR(A900)&lt;10), "Morning",
    AND(HOUR(A900)&gt;=10, HOUR(A900)&lt;15), "Afternoon",
    AND(HOUR(E900)&gt;=15, HOUR(E900)&lt;19), "Evening",
    AND(HOUR(E900)&gt;=19, HOUR(E900)&lt;=23), "Night"
)</f>
        <v>Afternoon</v>
      </c>
    </row>
    <row r="901" spans="1:14" x14ac:dyDescent="0.25">
      <c r="A901" s="3">
        <v>42677.570833333331</v>
      </c>
      <c r="B901" s="2">
        <f t="shared" si="86"/>
        <v>42677</v>
      </c>
      <c r="C901" t="str">
        <f t="shared" si="87"/>
        <v>November</v>
      </c>
      <c r="D901" t="str">
        <f t="shared" si="88"/>
        <v>Thursday</v>
      </c>
      <c r="E901" t="str">
        <f t="shared" si="84"/>
        <v>01:42:00 PM</v>
      </c>
      <c r="F901" s="3">
        <v>42677.574305555558</v>
      </c>
      <c r="G901" s="4">
        <f t="shared" si="89"/>
        <v>0.5743055555576575</v>
      </c>
      <c r="H901" t="str">
        <f t="shared" si="85"/>
        <v>5 min</v>
      </c>
      <c r="I901" t="s">
        <v>2</v>
      </c>
      <c r="J901" t="s">
        <v>77</v>
      </c>
      <c r="K901" t="s">
        <v>83</v>
      </c>
      <c r="L901">
        <v>1.4</v>
      </c>
      <c r="M901" t="s">
        <v>52</v>
      </c>
      <c r="N901" t="str" cm="1">
        <f t="array" ref="N901">_xlfn.IFS(
    AND(HOUR(A901)&gt;=0, HOUR(A901)&lt;10), "Morning",
    AND(HOUR(A901)&gt;=10, HOUR(A901)&lt;15), "Afternoon",
    AND(HOUR(E901)&gt;=15, HOUR(E901)&lt;19), "Evening",
    AND(HOUR(E901)&gt;=19, HOUR(E901)&lt;=23), "Night"
)</f>
        <v>Afternoon</v>
      </c>
    </row>
    <row r="902" spans="1:14" x14ac:dyDescent="0.25">
      <c r="A902" s="3">
        <v>42677.592361111114</v>
      </c>
      <c r="B902" s="2">
        <f t="shared" si="86"/>
        <v>42677</v>
      </c>
      <c r="C902" t="str">
        <f t="shared" si="87"/>
        <v>November</v>
      </c>
      <c r="D902" t="str">
        <f t="shared" si="88"/>
        <v>Thursday</v>
      </c>
      <c r="E902" t="str">
        <f t="shared" si="84"/>
        <v>02:13:00 PM</v>
      </c>
      <c r="F902" s="3">
        <v>42677.601388888892</v>
      </c>
      <c r="G902" s="4">
        <f t="shared" si="89"/>
        <v>0.60138888889196096</v>
      </c>
      <c r="H902" t="str">
        <f t="shared" si="85"/>
        <v>13 min</v>
      </c>
      <c r="I902" t="s">
        <v>2</v>
      </c>
      <c r="J902" t="s">
        <v>83</v>
      </c>
      <c r="K902" t="s">
        <v>77</v>
      </c>
      <c r="L902">
        <v>1.8</v>
      </c>
      <c r="M902" t="s">
        <v>52</v>
      </c>
      <c r="N902" t="str" cm="1">
        <f t="array" ref="N902">_xlfn.IFS(
    AND(HOUR(A902)&gt;=0, HOUR(A902)&lt;10), "Morning",
    AND(HOUR(A902)&gt;=10, HOUR(A902)&lt;15), "Afternoon",
    AND(HOUR(E902)&gt;=15, HOUR(E902)&lt;19), "Evening",
    AND(HOUR(E902)&gt;=19, HOUR(E902)&lt;=23), "Night"
)</f>
        <v>Afternoon</v>
      </c>
    </row>
    <row r="903" spans="1:14" x14ac:dyDescent="0.25">
      <c r="A903" s="3">
        <v>42677.785416666666</v>
      </c>
      <c r="B903" s="2">
        <f t="shared" si="86"/>
        <v>42677</v>
      </c>
      <c r="C903" t="str">
        <f t="shared" si="87"/>
        <v>November</v>
      </c>
      <c r="D903" t="str">
        <f t="shared" si="88"/>
        <v>Thursday</v>
      </c>
      <c r="E903" t="str">
        <f t="shared" si="84"/>
        <v>06:51:00 PM</v>
      </c>
      <c r="F903" s="3">
        <v>42677.797222222223</v>
      </c>
      <c r="G903" s="4">
        <f t="shared" si="89"/>
        <v>0.79722222222335404</v>
      </c>
      <c r="H903" t="str">
        <f t="shared" si="85"/>
        <v>17 min</v>
      </c>
      <c r="I903" t="s">
        <v>2</v>
      </c>
      <c r="J903" t="s">
        <v>55</v>
      </c>
      <c r="K903" t="s">
        <v>56</v>
      </c>
      <c r="L903">
        <v>3.1</v>
      </c>
      <c r="M903" t="s">
        <v>9</v>
      </c>
      <c r="N903" t="str" cm="1">
        <f t="array" ref="N903">_xlfn.IFS(
    AND(HOUR(A903)&gt;=0, HOUR(A903)&lt;10), "Morning",
    AND(HOUR(A903)&gt;=10, HOUR(A903)&lt;15), "Afternoon",
    AND(HOUR(E903)&gt;=15, HOUR(E903)&lt;19), "Evening",
    AND(HOUR(E903)&gt;=19, HOUR(E903)&lt;=23), "Night"
)</f>
        <v>Evening</v>
      </c>
    </row>
    <row r="904" spans="1:14" x14ac:dyDescent="0.25">
      <c r="A904" s="3">
        <v>42677.948611111111</v>
      </c>
      <c r="B904" s="2">
        <f t="shared" si="86"/>
        <v>42677</v>
      </c>
      <c r="C904" t="str">
        <f t="shared" si="87"/>
        <v>November</v>
      </c>
      <c r="D904" t="str">
        <f t="shared" si="88"/>
        <v>Thursday</v>
      </c>
      <c r="E904" t="str">
        <f t="shared" si="84"/>
        <v>10:46:00 PM</v>
      </c>
      <c r="F904" s="3">
        <v>42677.956944444442</v>
      </c>
      <c r="G904" s="4">
        <f t="shared" si="89"/>
        <v>0.9569444444423425</v>
      </c>
      <c r="H904" t="str">
        <f t="shared" si="85"/>
        <v>12 min</v>
      </c>
      <c r="I904" t="s">
        <v>2</v>
      </c>
      <c r="J904" t="s">
        <v>56</v>
      </c>
      <c r="K904" t="s">
        <v>55</v>
      </c>
      <c r="L904">
        <v>3.1</v>
      </c>
      <c r="M904" t="s">
        <v>7</v>
      </c>
      <c r="N904" t="str" cm="1">
        <f t="array" ref="N904">_xlfn.IFS(
    AND(HOUR(A904)&gt;=0, HOUR(A904)&lt;10), "Morning",
    AND(HOUR(A904)&gt;=10, HOUR(A904)&lt;15), "Afternoon",
    AND(HOUR(E904)&gt;=15, HOUR(E904)&lt;19), "Evening",
    AND(HOUR(E904)&gt;=19, HOUR(E904)&lt;=23), "Night"
)</f>
        <v>Night</v>
      </c>
    </row>
    <row r="905" spans="1:14" x14ac:dyDescent="0.25">
      <c r="A905" s="3">
        <v>42678.418055555558</v>
      </c>
      <c r="B905" s="2">
        <f t="shared" si="86"/>
        <v>42678</v>
      </c>
      <c r="C905" t="str">
        <f t="shared" si="87"/>
        <v>November</v>
      </c>
      <c r="D905" t="str">
        <f t="shared" si="88"/>
        <v>Friday</v>
      </c>
      <c r="E905" t="str">
        <f t="shared" si="84"/>
        <v>10:02:00 AM</v>
      </c>
      <c r="F905" s="3">
        <v>42678.429166666669</v>
      </c>
      <c r="G905" s="4">
        <f t="shared" si="89"/>
        <v>0.42916666666860692</v>
      </c>
      <c r="H905" t="str">
        <f t="shared" si="85"/>
        <v>16 min</v>
      </c>
      <c r="I905" t="s">
        <v>2</v>
      </c>
      <c r="J905" t="s">
        <v>55</v>
      </c>
      <c r="K905" t="s">
        <v>56</v>
      </c>
      <c r="L905">
        <v>7.9</v>
      </c>
      <c r="M905" t="s">
        <v>11</v>
      </c>
      <c r="N905" t="str" cm="1">
        <f t="array" ref="N905">_xlfn.IFS(
    AND(HOUR(A905)&gt;=0, HOUR(A905)&lt;10), "Morning",
    AND(HOUR(A905)&gt;=10, HOUR(A905)&lt;15), "Afternoon",
    AND(HOUR(E905)&gt;=15, HOUR(E905)&lt;19), "Evening",
    AND(HOUR(E905)&gt;=19, HOUR(E905)&lt;=23), "Night"
)</f>
        <v>Afternoon</v>
      </c>
    </row>
    <row r="906" spans="1:14" x14ac:dyDescent="0.25">
      <c r="A906" s="3">
        <v>42678.759722222225</v>
      </c>
      <c r="B906" s="2">
        <f t="shared" si="86"/>
        <v>42678</v>
      </c>
      <c r="C906" t="str">
        <f t="shared" si="87"/>
        <v>November</v>
      </c>
      <c r="D906" t="str">
        <f t="shared" si="88"/>
        <v>Friday</v>
      </c>
      <c r="E906" t="str">
        <f t="shared" si="84"/>
        <v>06:14:00 PM</v>
      </c>
      <c r="F906" s="3">
        <v>42678.76458333333</v>
      </c>
      <c r="G906" s="4">
        <f t="shared" si="89"/>
        <v>0.76458333332993789</v>
      </c>
      <c r="H906" t="str">
        <f t="shared" si="85"/>
        <v>7 min</v>
      </c>
      <c r="I906" t="s">
        <v>2</v>
      </c>
      <c r="J906" t="s">
        <v>232</v>
      </c>
      <c r="K906" t="s">
        <v>241</v>
      </c>
      <c r="L906">
        <v>3.8</v>
      </c>
      <c r="M906" t="s">
        <v>52</v>
      </c>
      <c r="N906" t="str" cm="1">
        <f t="array" ref="N906">_xlfn.IFS(
    AND(HOUR(A906)&gt;=0, HOUR(A906)&lt;10), "Morning",
    AND(HOUR(A906)&gt;=10, HOUR(A906)&lt;15), "Afternoon",
    AND(HOUR(E906)&gt;=15, HOUR(E906)&lt;19), "Evening",
    AND(HOUR(E906)&gt;=19, HOUR(E906)&lt;=23), "Night"
)</f>
        <v>Evening</v>
      </c>
    </row>
    <row r="907" spans="1:14" x14ac:dyDescent="0.25">
      <c r="A907" s="3">
        <v>42678.87777777778</v>
      </c>
      <c r="B907" s="2">
        <f t="shared" si="86"/>
        <v>42678</v>
      </c>
      <c r="C907" t="str">
        <f t="shared" si="87"/>
        <v>November</v>
      </c>
      <c r="D907" t="str">
        <f t="shared" si="88"/>
        <v>Friday</v>
      </c>
      <c r="E907" t="str">
        <f t="shared" si="84"/>
        <v>09:04:00 PM</v>
      </c>
      <c r="F907" s="3">
        <v>42678.888888888891</v>
      </c>
      <c r="G907" s="4">
        <f t="shared" si="89"/>
        <v>0.88888888889050577</v>
      </c>
      <c r="H907" t="str">
        <f t="shared" si="85"/>
        <v>16 min</v>
      </c>
      <c r="I907" t="s">
        <v>2</v>
      </c>
      <c r="J907" t="s">
        <v>242</v>
      </c>
      <c r="K907" t="s">
        <v>243</v>
      </c>
      <c r="L907">
        <v>4.3</v>
      </c>
      <c r="M907" t="s">
        <v>52</v>
      </c>
      <c r="N907" t="str" cm="1">
        <f t="array" ref="N907">_xlfn.IFS(
    AND(HOUR(A907)&gt;=0, HOUR(A907)&lt;10), "Morning",
    AND(HOUR(A907)&gt;=10, HOUR(A907)&lt;15), "Afternoon",
    AND(HOUR(E907)&gt;=15, HOUR(E907)&lt;19), "Evening",
    AND(HOUR(E907)&gt;=19, HOUR(E907)&lt;=23), "Night"
)</f>
        <v>Night</v>
      </c>
    </row>
    <row r="908" spans="1:14" x14ac:dyDescent="0.25">
      <c r="A908" s="3">
        <v>42678.925000000003</v>
      </c>
      <c r="B908" s="2">
        <f t="shared" si="86"/>
        <v>42678</v>
      </c>
      <c r="C908" t="str">
        <f t="shared" si="87"/>
        <v>November</v>
      </c>
      <c r="D908" t="str">
        <f t="shared" si="88"/>
        <v>Friday</v>
      </c>
      <c r="E908" t="str">
        <f t="shared" si="84"/>
        <v>10:12:00 PM</v>
      </c>
      <c r="F908" s="3">
        <v>42678.934027777781</v>
      </c>
      <c r="G908" s="4">
        <f t="shared" si="89"/>
        <v>0.93402777778101154</v>
      </c>
      <c r="H908" t="str">
        <f t="shared" si="85"/>
        <v>13 min</v>
      </c>
      <c r="I908" t="s">
        <v>2</v>
      </c>
      <c r="J908" t="s">
        <v>243</v>
      </c>
      <c r="K908" t="s">
        <v>242</v>
      </c>
      <c r="L908">
        <v>3.9</v>
      </c>
      <c r="M908" t="s">
        <v>52</v>
      </c>
      <c r="N908" t="str" cm="1">
        <f t="array" ref="N908">_xlfn.IFS(
    AND(HOUR(A908)&gt;=0, HOUR(A908)&lt;10), "Morning",
    AND(HOUR(A908)&gt;=10, HOUR(A908)&lt;15), "Afternoon",
    AND(HOUR(E908)&gt;=15, HOUR(E908)&lt;19), "Evening",
    AND(HOUR(E908)&gt;=19, HOUR(E908)&lt;=23), "Night"
)</f>
        <v>Night</v>
      </c>
    </row>
    <row r="909" spans="1:14" x14ac:dyDescent="0.25">
      <c r="A909" s="3">
        <v>42679.356944444444</v>
      </c>
      <c r="B909" s="2">
        <f t="shared" si="86"/>
        <v>42679</v>
      </c>
      <c r="C909" t="str">
        <f t="shared" si="87"/>
        <v>November</v>
      </c>
      <c r="D909" t="str">
        <f t="shared" si="88"/>
        <v>Saturday</v>
      </c>
      <c r="E909" t="str">
        <f t="shared" si="84"/>
        <v>08:34:00 AM</v>
      </c>
      <c r="F909" s="3">
        <v>42679.363194444442</v>
      </c>
      <c r="G909" s="4">
        <f t="shared" si="89"/>
        <v>0.3631944444423425</v>
      </c>
      <c r="H909" t="str">
        <f t="shared" si="85"/>
        <v>9 min</v>
      </c>
      <c r="I909" t="s">
        <v>2</v>
      </c>
      <c r="J909" t="s">
        <v>242</v>
      </c>
      <c r="K909" t="s">
        <v>244</v>
      </c>
      <c r="L909">
        <v>2.2000000000000002</v>
      </c>
      <c r="M909" t="s">
        <v>52</v>
      </c>
      <c r="N909" t="str" cm="1">
        <f t="array" ref="N909">_xlfn.IFS(
    AND(HOUR(A909)&gt;=0, HOUR(A909)&lt;10), "Morning",
    AND(HOUR(A909)&gt;=10, HOUR(A909)&lt;15), "Afternoon",
    AND(HOUR(E909)&gt;=15, HOUR(E909)&lt;19), "Evening",
    AND(HOUR(E909)&gt;=19, HOUR(E909)&lt;=23), "Night"
)</f>
        <v>Morning</v>
      </c>
    </row>
    <row r="910" spans="1:14" x14ac:dyDescent="0.25">
      <c r="A910" s="3">
        <v>42679.728472222225</v>
      </c>
      <c r="B910" s="2">
        <f t="shared" si="86"/>
        <v>42679</v>
      </c>
      <c r="C910" t="str">
        <f t="shared" si="87"/>
        <v>November</v>
      </c>
      <c r="D910" t="str">
        <f t="shared" si="88"/>
        <v>Saturday</v>
      </c>
      <c r="E910" t="str">
        <f t="shared" si="84"/>
        <v>05:29:00 PM</v>
      </c>
      <c r="F910" s="3">
        <v>42679.736111111109</v>
      </c>
      <c r="G910" s="4">
        <f t="shared" si="89"/>
        <v>0.73611111110949423</v>
      </c>
      <c r="H910" t="str">
        <f t="shared" si="85"/>
        <v>11 min</v>
      </c>
      <c r="I910" t="s">
        <v>2</v>
      </c>
      <c r="J910" t="s">
        <v>244</v>
      </c>
      <c r="K910" t="s">
        <v>242</v>
      </c>
      <c r="L910">
        <v>2.8</v>
      </c>
      <c r="M910" t="s">
        <v>52</v>
      </c>
      <c r="N910" t="str" cm="1">
        <f t="array" ref="N910">_xlfn.IFS(
    AND(HOUR(A910)&gt;=0, HOUR(A910)&lt;10), "Morning",
    AND(HOUR(A910)&gt;=10, HOUR(A910)&lt;15), "Afternoon",
    AND(HOUR(E910)&gt;=15, HOUR(E910)&lt;19), "Evening",
    AND(HOUR(E910)&gt;=19, HOUR(E910)&lt;=23), "Night"
)</f>
        <v>Evening</v>
      </c>
    </row>
    <row r="911" spans="1:14" x14ac:dyDescent="0.25">
      <c r="A911" s="3">
        <v>42679.805555555555</v>
      </c>
      <c r="B911" s="2">
        <f t="shared" si="86"/>
        <v>42679</v>
      </c>
      <c r="C911" t="str">
        <f t="shared" si="87"/>
        <v>November</v>
      </c>
      <c r="D911" t="str">
        <f t="shared" si="88"/>
        <v>Saturday</v>
      </c>
      <c r="E911" t="str">
        <f t="shared" si="84"/>
        <v>07:20:00 PM</v>
      </c>
      <c r="F911" s="3">
        <v>42679.811111111114</v>
      </c>
      <c r="G911" s="4">
        <f t="shared" si="89"/>
        <v>0.81111111111385981</v>
      </c>
      <c r="H911" t="str">
        <f t="shared" si="85"/>
        <v>8 min</v>
      </c>
      <c r="I911" t="s">
        <v>2</v>
      </c>
      <c r="J911" t="s">
        <v>242</v>
      </c>
      <c r="K911" t="s">
        <v>242</v>
      </c>
      <c r="L911">
        <v>2.2000000000000002</v>
      </c>
      <c r="M911" t="s">
        <v>52</v>
      </c>
      <c r="N911" t="str" cm="1">
        <f t="array" ref="N911">_xlfn.IFS(
    AND(HOUR(A911)&gt;=0, HOUR(A911)&lt;10), "Morning",
    AND(HOUR(A911)&gt;=10, HOUR(A911)&lt;15), "Afternoon",
    AND(HOUR(E911)&gt;=15, HOUR(E911)&lt;19), "Evening",
    AND(HOUR(E911)&gt;=19, HOUR(E911)&lt;=23), "Night"
)</f>
        <v>Night</v>
      </c>
    </row>
    <row r="912" spans="1:14" x14ac:dyDescent="0.25">
      <c r="A912" s="3">
        <v>42680.451388888891</v>
      </c>
      <c r="B912" s="2">
        <f t="shared" si="86"/>
        <v>42680</v>
      </c>
      <c r="C912" t="str">
        <f t="shared" si="87"/>
        <v>November</v>
      </c>
      <c r="D912" t="str">
        <f t="shared" si="88"/>
        <v>Sunday</v>
      </c>
      <c r="E912" t="str">
        <f t="shared" si="84"/>
        <v>10:50:00 AM</v>
      </c>
      <c r="F912" s="3">
        <v>42680.461111111108</v>
      </c>
      <c r="G912" s="4">
        <f t="shared" si="89"/>
        <v>0.46111111110803904</v>
      </c>
      <c r="H912" t="str">
        <f t="shared" si="85"/>
        <v>14 min</v>
      </c>
      <c r="I912" t="s">
        <v>2</v>
      </c>
      <c r="J912" t="s">
        <v>242</v>
      </c>
      <c r="K912" t="s">
        <v>244</v>
      </c>
      <c r="L912">
        <v>2.4</v>
      </c>
      <c r="M912" t="s">
        <v>52</v>
      </c>
      <c r="N912" t="str" cm="1">
        <f t="array" ref="N912">_xlfn.IFS(
    AND(HOUR(A912)&gt;=0, HOUR(A912)&lt;10), "Morning",
    AND(HOUR(A912)&gt;=10, HOUR(A912)&lt;15), "Afternoon",
    AND(HOUR(E912)&gt;=15, HOUR(E912)&lt;19), "Evening",
    AND(HOUR(E912)&gt;=19, HOUR(E912)&lt;=23), "Night"
)</f>
        <v>Afternoon</v>
      </c>
    </row>
    <row r="913" spans="1:14" x14ac:dyDescent="0.25">
      <c r="A913" s="3">
        <v>42680.670138888891</v>
      </c>
      <c r="B913" s="2">
        <f t="shared" si="86"/>
        <v>42680</v>
      </c>
      <c r="C913" t="str">
        <f t="shared" si="87"/>
        <v>November</v>
      </c>
      <c r="D913" t="str">
        <f t="shared" si="88"/>
        <v>Sunday</v>
      </c>
      <c r="E913" t="str">
        <f t="shared" si="84"/>
        <v>04:05:00 PM</v>
      </c>
      <c r="F913" s="3">
        <v>42680.681944444441</v>
      </c>
      <c r="G913" s="4">
        <f t="shared" si="89"/>
        <v>0.68194444444088731</v>
      </c>
      <c r="H913" t="str">
        <f t="shared" si="85"/>
        <v>17 min</v>
      </c>
      <c r="I913" t="s">
        <v>2</v>
      </c>
      <c r="J913" t="s">
        <v>244</v>
      </c>
      <c r="K913" t="s">
        <v>242</v>
      </c>
      <c r="L913">
        <v>2.8</v>
      </c>
      <c r="M913" t="s">
        <v>10</v>
      </c>
      <c r="N913" t="str" cm="1">
        <f t="array" ref="N913">_xlfn.IFS(
    AND(HOUR(A913)&gt;=0, HOUR(A913)&lt;10), "Morning",
    AND(HOUR(A913)&gt;=10, HOUR(A913)&lt;15), "Afternoon",
    AND(HOUR(E913)&gt;=15, HOUR(E913)&lt;19), "Evening",
    AND(HOUR(E913)&gt;=19, HOUR(E913)&lt;=23), "Night"
)</f>
        <v>Evening</v>
      </c>
    </row>
    <row r="914" spans="1:14" x14ac:dyDescent="0.25">
      <c r="A914" s="3">
        <v>42680.685416666667</v>
      </c>
      <c r="B914" s="2">
        <f t="shared" si="86"/>
        <v>42680</v>
      </c>
      <c r="C914" t="str">
        <f t="shared" si="87"/>
        <v>November</v>
      </c>
      <c r="D914" t="str">
        <f t="shared" si="88"/>
        <v>Sunday</v>
      </c>
      <c r="E914" t="str">
        <f t="shared" si="84"/>
        <v>04:27:00 PM</v>
      </c>
      <c r="F914" s="3">
        <v>42680.727777777778</v>
      </c>
      <c r="G914" s="4">
        <f t="shared" si="89"/>
        <v>0.72777777777810115</v>
      </c>
      <c r="H914" t="str">
        <f t="shared" si="85"/>
        <v>61 min</v>
      </c>
      <c r="I914" t="s">
        <v>2</v>
      </c>
      <c r="J914" t="s">
        <v>241</v>
      </c>
      <c r="K914" t="s">
        <v>184</v>
      </c>
      <c r="L914">
        <v>43.9</v>
      </c>
      <c r="M914" t="s">
        <v>7</v>
      </c>
      <c r="N914" t="str" cm="1">
        <f t="array" ref="N914">_xlfn.IFS(
    AND(HOUR(A914)&gt;=0, HOUR(A914)&lt;10), "Morning",
    AND(HOUR(A914)&gt;=10, HOUR(A914)&lt;15), "Afternoon",
    AND(HOUR(E914)&gt;=15, HOUR(E914)&lt;19), "Evening",
    AND(HOUR(E914)&gt;=19, HOUR(E914)&lt;=23), "Night"
)</f>
        <v>Evening</v>
      </c>
    </row>
    <row r="915" spans="1:14" x14ac:dyDescent="0.25">
      <c r="A915" s="3">
        <v>42680.794444444444</v>
      </c>
      <c r="B915" s="2">
        <f t="shared" si="86"/>
        <v>42680</v>
      </c>
      <c r="C915" t="str">
        <f t="shared" si="87"/>
        <v>November</v>
      </c>
      <c r="D915" t="str">
        <f t="shared" si="88"/>
        <v>Sunday</v>
      </c>
      <c r="E915" t="str">
        <f t="shared" si="84"/>
        <v>07:04:00 PM</v>
      </c>
      <c r="F915" s="3">
        <v>42680.800000000003</v>
      </c>
      <c r="G915" s="4">
        <f t="shared" si="89"/>
        <v>0.80000000000291038</v>
      </c>
      <c r="H915" t="str">
        <f t="shared" si="85"/>
        <v>8 min</v>
      </c>
      <c r="I915" t="s">
        <v>2</v>
      </c>
      <c r="J915" t="s">
        <v>70</v>
      </c>
      <c r="K915" t="s">
        <v>229</v>
      </c>
      <c r="L915">
        <v>1.8</v>
      </c>
      <c r="M915" t="s">
        <v>52</v>
      </c>
      <c r="N915" t="str" cm="1">
        <f t="array" ref="N915">_xlfn.IFS(
    AND(HOUR(A915)&gt;=0, HOUR(A915)&lt;10), "Morning",
    AND(HOUR(A915)&gt;=10, HOUR(A915)&lt;15), "Afternoon",
    AND(HOUR(E915)&gt;=15, HOUR(E915)&lt;19), "Evening",
    AND(HOUR(E915)&gt;=19, HOUR(E915)&lt;=23), "Night"
)</f>
        <v>Night</v>
      </c>
    </row>
    <row r="916" spans="1:14" x14ac:dyDescent="0.25">
      <c r="A916" s="3">
        <v>42680.837500000001</v>
      </c>
      <c r="B916" s="2">
        <f t="shared" si="86"/>
        <v>42680</v>
      </c>
      <c r="C916" t="str">
        <f t="shared" si="87"/>
        <v>November</v>
      </c>
      <c r="D916" t="str">
        <f t="shared" si="88"/>
        <v>Sunday</v>
      </c>
      <c r="E916" t="str">
        <f t="shared" si="84"/>
        <v>08:06:00 PM</v>
      </c>
      <c r="F916" s="3">
        <v>42680.847916666666</v>
      </c>
      <c r="G916" s="4">
        <f t="shared" si="89"/>
        <v>0.84791666666569654</v>
      </c>
      <c r="H916" t="str">
        <f t="shared" si="85"/>
        <v>15 min</v>
      </c>
      <c r="I916" t="s">
        <v>2</v>
      </c>
      <c r="J916" t="s">
        <v>229</v>
      </c>
      <c r="K916" t="s">
        <v>245</v>
      </c>
      <c r="L916">
        <v>3.3</v>
      </c>
      <c r="M916" t="s">
        <v>52</v>
      </c>
      <c r="N916" t="str" cm="1">
        <f t="array" ref="N916">_xlfn.IFS(
    AND(HOUR(A916)&gt;=0, HOUR(A916)&lt;10), "Morning",
    AND(HOUR(A916)&gt;=10, HOUR(A916)&lt;15), "Afternoon",
    AND(HOUR(E916)&gt;=15, HOUR(E916)&lt;19), "Evening",
    AND(HOUR(E916)&gt;=19, HOUR(E916)&lt;=23), "Night"
)</f>
        <v>Night</v>
      </c>
    </row>
    <row r="917" spans="1:14" x14ac:dyDescent="0.25">
      <c r="A917" s="3">
        <v>42681.519444444442</v>
      </c>
      <c r="B917" s="2">
        <f t="shared" si="86"/>
        <v>42681</v>
      </c>
      <c r="C917" t="str">
        <f t="shared" si="87"/>
        <v>November</v>
      </c>
      <c r="D917" t="str">
        <f t="shared" si="88"/>
        <v>Monday</v>
      </c>
      <c r="E917" t="str">
        <f t="shared" si="84"/>
        <v>12:28:00 PM</v>
      </c>
      <c r="F917" s="3">
        <v>42681.539583333331</v>
      </c>
      <c r="G917" s="4">
        <f t="shared" si="89"/>
        <v>0.53958333333139308</v>
      </c>
      <c r="H917" t="str">
        <f t="shared" si="85"/>
        <v>29 min</v>
      </c>
      <c r="I917" t="s">
        <v>2</v>
      </c>
      <c r="J917" t="s">
        <v>184</v>
      </c>
      <c r="K917" t="s">
        <v>160</v>
      </c>
      <c r="L917">
        <v>11.8</v>
      </c>
      <c r="M917" t="s">
        <v>6</v>
      </c>
      <c r="N917" t="str" cm="1">
        <f t="array" ref="N917">_xlfn.IFS(
    AND(HOUR(A917)&gt;=0, HOUR(A917)&lt;10), "Morning",
    AND(HOUR(A917)&gt;=10, HOUR(A917)&lt;15), "Afternoon",
    AND(HOUR(E917)&gt;=15, HOUR(E917)&lt;19), "Evening",
    AND(HOUR(E917)&gt;=19, HOUR(E917)&lt;=23), "Night"
)</f>
        <v>Afternoon</v>
      </c>
    </row>
    <row r="918" spans="1:14" x14ac:dyDescent="0.25">
      <c r="A918" s="3">
        <v>42681.803472222222</v>
      </c>
      <c r="B918" s="2">
        <f t="shared" si="86"/>
        <v>42681</v>
      </c>
      <c r="C918" t="str">
        <f t="shared" si="87"/>
        <v>November</v>
      </c>
      <c r="D918" t="str">
        <f t="shared" si="88"/>
        <v>Monday</v>
      </c>
      <c r="E918" t="str">
        <f t="shared" si="84"/>
        <v>07:17:00 PM</v>
      </c>
      <c r="F918" s="3">
        <v>42681.831250000003</v>
      </c>
      <c r="G918" s="4">
        <f t="shared" si="89"/>
        <v>0.83125000000291038</v>
      </c>
      <c r="H918" t="str">
        <f t="shared" si="85"/>
        <v>40 min</v>
      </c>
      <c r="I918" t="s">
        <v>2</v>
      </c>
      <c r="J918" t="s">
        <v>160</v>
      </c>
      <c r="K918" t="s">
        <v>184</v>
      </c>
      <c r="L918">
        <v>13.2</v>
      </c>
      <c r="M918" t="s">
        <v>6</v>
      </c>
      <c r="N918" t="str" cm="1">
        <f t="array" ref="N918">_xlfn.IFS(
    AND(HOUR(A918)&gt;=0, HOUR(A918)&lt;10), "Morning",
    AND(HOUR(A918)&gt;=10, HOUR(A918)&lt;15), "Afternoon",
    AND(HOUR(E918)&gt;=15, HOUR(E918)&lt;19), "Evening",
    AND(HOUR(E918)&gt;=19, HOUR(E918)&lt;=23), "Night"
)</f>
        <v>Night</v>
      </c>
    </row>
    <row r="919" spans="1:14" x14ac:dyDescent="0.25">
      <c r="A919" s="3">
        <v>42682.436805555553</v>
      </c>
      <c r="B919" s="2">
        <f t="shared" si="86"/>
        <v>42682</v>
      </c>
      <c r="C919" t="str">
        <f t="shared" si="87"/>
        <v>November</v>
      </c>
      <c r="D919" t="str">
        <f t="shared" si="88"/>
        <v>Tuesday</v>
      </c>
      <c r="E919" t="str">
        <f t="shared" si="84"/>
        <v>10:29:00 AM</v>
      </c>
      <c r="F919" s="3">
        <v>42682.456250000003</v>
      </c>
      <c r="G919" s="4">
        <f t="shared" si="89"/>
        <v>0.45625000000291038</v>
      </c>
      <c r="H919" t="str">
        <f t="shared" si="85"/>
        <v>28 min</v>
      </c>
      <c r="I919" t="s">
        <v>2</v>
      </c>
      <c r="J919" t="s">
        <v>184</v>
      </c>
      <c r="K919" t="s">
        <v>160</v>
      </c>
      <c r="L919">
        <v>12.2</v>
      </c>
      <c r="M919" t="s">
        <v>6</v>
      </c>
      <c r="N919" t="str" cm="1">
        <f t="array" ref="N919">_xlfn.IFS(
    AND(HOUR(A919)&gt;=0, HOUR(A919)&lt;10), "Morning",
    AND(HOUR(A919)&gt;=10, HOUR(A919)&lt;15), "Afternoon",
    AND(HOUR(E919)&gt;=15, HOUR(E919)&lt;19), "Evening",
    AND(HOUR(E919)&gt;=19, HOUR(E919)&lt;=23), "Night"
)</f>
        <v>Afternoon</v>
      </c>
    </row>
    <row r="920" spans="1:14" x14ac:dyDescent="0.25">
      <c r="A920" s="3">
        <v>42682.511111111111</v>
      </c>
      <c r="B920" s="2">
        <f t="shared" si="86"/>
        <v>42682</v>
      </c>
      <c r="C920" t="str">
        <f t="shared" si="87"/>
        <v>November</v>
      </c>
      <c r="D920" t="str">
        <f t="shared" si="88"/>
        <v>Tuesday</v>
      </c>
      <c r="E920" t="str">
        <f t="shared" si="84"/>
        <v>12:16:00 PM</v>
      </c>
      <c r="F920" s="3">
        <v>42682.53402777778</v>
      </c>
      <c r="G920" s="4">
        <f t="shared" si="89"/>
        <v>0.53402777777955635</v>
      </c>
      <c r="H920" t="str">
        <f t="shared" si="85"/>
        <v>33 min</v>
      </c>
      <c r="I920" t="s">
        <v>2</v>
      </c>
      <c r="J920" t="s">
        <v>160</v>
      </c>
      <c r="K920" t="s">
        <v>184</v>
      </c>
      <c r="L920">
        <v>11.3</v>
      </c>
      <c r="M920" t="s">
        <v>10</v>
      </c>
      <c r="N920" t="str" cm="1">
        <f t="array" ref="N920">_xlfn.IFS(
    AND(HOUR(A920)&gt;=0, HOUR(A920)&lt;10), "Morning",
    AND(HOUR(A920)&gt;=10, HOUR(A920)&lt;15), "Afternoon",
    AND(HOUR(E920)&gt;=15, HOUR(E920)&lt;19), "Evening",
    AND(HOUR(E920)&gt;=19, HOUR(E920)&lt;=23), "Night"
)</f>
        <v>Afternoon</v>
      </c>
    </row>
    <row r="921" spans="1:14" x14ac:dyDescent="0.25">
      <c r="A921" s="3">
        <v>42682.570138888892</v>
      </c>
      <c r="B921" s="2">
        <f t="shared" si="86"/>
        <v>42682</v>
      </c>
      <c r="C921" t="str">
        <f t="shared" si="87"/>
        <v>November</v>
      </c>
      <c r="D921" t="str">
        <f t="shared" si="88"/>
        <v>Tuesday</v>
      </c>
      <c r="E921" t="str">
        <f t="shared" si="84"/>
        <v>01:41:00 PM</v>
      </c>
      <c r="F921" s="3">
        <v>42682.584027777775</v>
      </c>
      <c r="G921" s="4">
        <f t="shared" si="89"/>
        <v>0.58402777777519077</v>
      </c>
      <c r="H921" t="str">
        <f t="shared" si="85"/>
        <v>20 min</v>
      </c>
      <c r="I921" t="s">
        <v>2</v>
      </c>
      <c r="J921" t="s">
        <v>184</v>
      </c>
      <c r="K921" t="s">
        <v>183</v>
      </c>
      <c r="L921">
        <v>3.6</v>
      </c>
      <c r="M921" t="s">
        <v>52</v>
      </c>
      <c r="N921" t="str" cm="1">
        <f t="array" ref="N921">_xlfn.IFS(
    AND(HOUR(A921)&gt;=0, HOUR(A921)&lt;10), "Morning",
    AND(HOUR(A921)&gt;=10, HOUR(A921)&lt;15), "Afternoon",
    AND(HOUR(E921)&gt;=15, HOUR(E921)&lt;19), "Evening",
    AND(HOUR(E921)&gt;=19, HOUR(E921)&lt;=23), "Night"
)</f>
        <v>Afternoon</v>
      </c>
    </row>
    <row r="922" spans="1:14" x14ac:dyDescent="0.25">
      <c r="A922" s="3">
        <v>42682.681250000001</v>
      </c>
      <c r="B922" s="2">
        <f t="shared" si="86"/>
        <v>42682</v>
      </c>
      <c r="C922" t="str">
        <f t="shared" si="87"/>
        <v>November</v>
      </c>
      <c r="D922" t="str">
        <f t="shared" si="88"/>
        <v>Tuesday</v>
      </c>
      <c r="E922" t="str">
        <f t="shared" si="84"/>
        <v>04:21:00 PM</v>
      </c>
      <c r="F922" s="3">
        <v>42682.69027777778</v>
      </c>
      <c r="G922" s="4">
        <f t="shared" si="89"/>
        <v>0.69027777777955635</v>
      </c>
      <c r="H922" t="str">
        <f t="shared" si="85"/>
        <v>13 min</v>
      </c>
      <c r="I922" t="s">
        <v>2</v>
      </c>
      <c r="J922" t="s">
        <v>183</v>
      </c>
      <c r="K922" t="s">
        <v>184</v>
      </c>
      <c r="L922">
        <v>3</v>
      </c>
      <c r="M922" t="s">
        <v>52</v>
      </c>
      <c r="N922" t="str" cm="1">
        <f t="array" ref="N922">_xlfn.IFS(
    AND(HOUR(A922)&gt;=0, HOUR(A922)&lt;10), "Morning",
    AND(HOUR(A922)&gt;=10, HOUR(A922)&lt;15), "Afternoon",
    AND(HOUR(E922)&gt;=15, HOUR(E922)&lt;19), "Evening",
    AND(HOUR(E922)&gt;=19, HOUR(E922)&lt;=23), "Night"
)</f>
        <v>Evening</v>
      </c>
    </row>
    <row r="923" spans="1:14" x14ac:dyDescent="0.25">
      <c r="A923" s="3">
        <v>42683.547222222223</v>
      </c>
      <c r="B923" s="2">
        <f t="shared" si="86"/>
        <v>42683</v>
      </c>
      <c r="C923" t="str">
        <f t="shared" si="87"/>
        <v>November</v>
      </c>
      <c r="D923" t="str">
        <f t="shared" si="88"/>
        <v>Wednesday</v>
      </c>
      <c r="E923" t="str">
        <f t="shared" si="84"/>
        <v>01:08:00 PM</v>
      </c>
      <c r="F923" s="3">
        <v>42683.570138888892</v>
      </c>
      <c r="G923" s="4">
        <f t="shared" si="89"/>
        <v>0.57013888889196096</v>
      </c>
      <c r="H923" t="str">
        <f t="shared" si="85"/>
        <v>33 min</v>
      </c>
      <c r="I923" t="s">
        <v>2</v>
      </c>
      <c r="J923" t="s">
        <v>184</v>
      </c>
      <c r="K923" t="s">
        <v>160</v>
      </c>
      <c r="L923">
        <v>11.4</v>
      </c>
      <c r="M923" t="s">
        <v>52</v>
      </c>
      <c r="N923" t="str" cm="1">
        <f t="array" ref="N923">_xlfn.IFS(
    AND(HOUR(A923)&gt;=0, HOUR(A923)&lt;10), "Morning",
    AND(HOUR(A923)&gt;=10, HOUR(A923)&lt;15), "Afternoon",
    AND(HOUR(E923)&gt;=15, HOUR(E923)&lt;19), "Evening",
    AND(HOUR(E923)&gt;=19, HOUR(E923)&lt;=23), "Night"
)</f>
        <v>Afternoon</v>
      </c>
    </row>
    <row r="924" spans="1:14" x14ac:dyDescent="0.25">
      <c r="A924" s="3">
        <v>42683.665277777778</v>
      </c>
      <c r="B924" s="2">
        <f t="shared" si="86"/>
        <v>42683</v>
      </c>
      <c r="C924" t="str">
        <f t="shared" si="87"/>
        <v>November</v>
      </c>
      <c r="D924" t="str">
        <f t="shared" si="88"/>
        <v>Wednesday</v>
      </c>
      <c r="E924" t="str">
        <f t="shared" si="84"/>
        <v>03:58:00 PM</v>
      </c>
      <c r="F924" s="3">
        <v>42683.669444444444</v>
      </c>
      <c r="G924" s="4">
        <f t="shared" si="89"/>
        <v>0.66944444444379769</v>
      </c>
      <c r="H924" t="str">
        <f t="shared" si="85"/>
        <v>6 min</v>
      </c>
      <c r="I924" t="s">
        <v>2</v>
      </c>
      <c r="J924" t="s">
        <v>246</v>
      </c>
      <c r="K924" t="s">
        <v>70</v>
      </c>
      <c r="L924">
        <v>0.9</v>
      </c>
      <c r="M924" t="s">
        <v>52</v>
      </c>
      <c r="N924" t="str" cm="1">
        <f t="array" ref="N924">_xlfn.IFS(
    AND(HOUR(A924)&gt;=0, HOUR(A924)&lt;10), "Morning",
    AND(HOUR(A924)&gt;=10, HOUR(A924)&lt;15), "Afternoon",
    AND(HOUR(E924)&gt;=15, HOUR(E924)&lt;19), "Evening",
    AND(HOUR(E924)&gt;=19, HOUR(E924)&lt;=23), "Night"
)</f>
        <v>Evening</v>
      </c>
    </row>
    <row r="925" spans="1:14" x14ac:dyDescent="0.25">
      <c r="A925" s="3">
        <v>42683.729861111111</v>
      </c>
      <c r="B925" s="2">
        <f t="shared" si="86"/>
        <v>42683</v>
      </c>
      <c r="C925" t="str">
        <f t="shared" si="87"/>
        <v>November</v>
      </c>
      <c r="D925" t="str">
        <f t="shared" si="88"/>
        <v>Wednesday</v>
      </c>
      <c r="E925" t="str">
        <f t="shared" si="84"/>
        <v>05:31:00 PM</v>
      </c>
      <c r="F925" s="3">
        <v>42683.752083333333</v>
      </c>
      <c r="G925" s="4">
        <f t="shared" si="89"/>
        <v>0.75208333333284827</v>
      </c>
      <c r="H925" t="str">
        <f t="shared" si="85"/>
        <v>32 min</v>
      </c>
      <c r="I925" t="s">
        <v>2</v>
      </c>
      <c r="J925" t="s">
        <v>70</v>
      </c>
      <c r="K925" t="s">
        <v>247</v>
      </c>
      <c r="L925">
        <v>6.2</v>
      </c>
      <c r="M925" t="s">
        <v>52</v>
      </c>
      <c r="N925" t="str" cm="1">
        <f t="array" ref="N925">_xlfn.IFS(
    AND(HOUR(A925)&gt;=0, HOUR(A925)&lt;10), "Morning",
    AND(HOUR(A925)&gt;=10, HOUR(A925)&lt;15), "Afternoon",
    AND(HOUR(E925)&gt;=15, HOUR(E925)&lt;19), "Evening",
    AND(HOUR(E925)&gt;=19, HOUR(E925)&lt;=23), "Night"
)</f>
        <v>Evening</v>
      </c>
    </row>
    <row r="926" spans="1:14" x14ac:dyDescent="0.25">
      <c r="A926" s="3">
        <v>42683.756249999999</v>
      </c>
      <c r="B926" s="2">
        <f t="shared" si="86"/>
        <v>42683</v>
      </c>
      <c r="C926" t="str">
        <f t="shared" si="87"/>
        <v>November</v>
      </c>
      <c r="D926" t="str">
        <f t="shared" si="88"/>
        <v>Wednesday</v>
      </c>
      <c r="E926" t="str">
        <f t="shared" si="84"/>
        <v>06:09:00 PM</v>
      </c>
      <c r="F926" s="3">
        <v>42683.759722222225</v>
      </c>
      <c r="G926" s="4">
        <f t="shared" si="89"/>
        <v>0.75972222222480923</v>
      </c>
      <c r="H926" t="str">
        <f t="shared" si="85"/>
        <v>5 min</v>
      </c>
      <c r="I926" t="s">
        <v>2</v>
      </c>
      <c r="J926" t="s">
        <v>247</v>
      </c>
      <c r="K926" t="s">
        <v>248</v>
      </c>
      <c r="L926">
        <v>0.7</v>
      </c>
      <c r="M926" t="s">
        <v>52</v>
      </c>
      <c r="N926" t="str" cm="1">
        <f t="array" ref="N926">_xlfn.IFS(
    AND(HOUR(A926)&gt;=0, HOUR(A926)&lt;10), "Morning",
    AND(HOUR(A926)&gt;=10, HOUR(A926)&lt;15), "Afternoon",
    AND(HOUR(E926)&gt;=15, HOUR(E926)&lt;19), "Evening",
    AND(HOUR(E926)&gt;=19, HOUR(E926)&lt;=23), "Night"
)</f>
        <v>Evening</v>
      </c>
    </row>
    <row r="927" spans="1:14" x14ac:dyDescent="0.25">
      <c r="A927" s="3">
        <v>42683.76458333333</v>
      </c>
      <c r="B927" s="2">
        <f t="shared" si="86"/>
        <v>42683</v>
      </c>
      <c r="C927" t="str">
        <f t="shared" si="87"/>
        <v>November</v>
      </c>
      <c r="D927" t="str">
        <f t="shared" si="88"/>
        <v>Wednesday</v>
      </c>
      <c r="E927" t="str">
        <f t="shared" si="84"/>
        <v>06:21:00 PM</v>
      </c>
      <c r="F927" s="3">
        <v>42683.774305555555</v>
      </c>
      <c r="G927" s="4">
        <f t="shared" si="89"/>
        <v>0.77430555555474712</v>
      </c>
      <c r="H927" t="str">
        <f t="shared" si="85"/>
        <v>14 min</v>
      </c>
      <c r="I927" t="s">
        <v>2</v>
      </c>
      <c r="J927" t="s">
        <v>248</v>
      </c>
      <c r="K927" t="s">
        <v>249</v>
      </c>
      <c r="L927">
        <v>5.5</v>
      </c>
      <c r="M927" t="s">
        <v>10</v>
      </c>
      <c r="N927" t="str" cm="1">
        <f t="array" ref="N927">_xlfn.IFS(
    AND(HOUR(A927)&gt;=0, HOUR(A927)&lt;10), "Morning",
    AND(HOUR(A927)&gt;=10, HOUR(A927)&lt;15), "Afternoon",
    AND(HOUR(E927)&gt;=15, HOUR(E927)&lt;19), "Evening",
    AND(HOUR(E927)&gt;=19, HOUR(E927)&lt;=23), "Night"
)</f>
        <v>Evening</v>
      </c>
    </row>
    <row r="928" spans="1:14" x14ac:dyDescent="0.25">
      <c r="A928" s="3">
        <v>42683.777777777781</v>
      </c>
      <c r="B928" s="2">
        <f t="shared" si="86"/>
        <v>42683</v>
      </c>
      <c r="C928" t="str">
        <f t="shared" si="87"/>
        <v>November</v>
      </c>
      <c r="D928" t="str">
        <f t="shared" si="88"/>
        <v>Wednesday</v>
      </c>
      <c r="E928" t="str">
        <f t="shared" si="84"/>
        <v>06:40:00 PM</v>
      </c>
      <c r="F928" s="3">
        <v>42683.803472222222</v>
      </c>
      <c r="G928" s="4">
        <f t="shared" si="89"/>
        <v>0.80347222222189885</v>
      </c>
      <c r="H928" t="str">
        <f t="shared" si="85"/>
        <v>37 min</v>
      </c>
      <c r="I928" t="s">
        <v>2</v>
      </c>
      <c r="J928" t="s">
        <v>160</v>
      </c>
      <c r="K928" t="s">
        <v>182</v>
      </c>
      <c r="L928">
        <v>12.7</v>
      </c>
      <c r="M928" t="s">
        <v>7</v>
      </c>
      <c r="N928" t="str" cm="1">
        <f t="array" ref="N928">_xlfn.IFS(
    AND(HOUR(A928)&gt;=0, HOUR(A928)&lt;10), "Morning",
    AND(HOUR(A928)&gt;=10, HOUR(A928)&lt;15), "Afternoon",
    AND(HOUR(E928)&gt;=15, HOUR(E928)&lt;19), "Evening",
    AND(HOUR(E928)&gt;=19, HOUR(E928)&lt;=23), "Night"
)</f>
        <v>Evening</v>
      </c>
    </row>
    <row r="929" spans="1:14" x14ac:dyDescent="0.25">
      <c r="A929" s="3">
        <v>42683.869444444441</v>
      </c>
      <c r="B929" s="2">
        <f t="shared" si="86"/>
        <v>42683</v>
      </c>
      <c r="C929" t="str">
        <f t="shared" si="87"/>
        <v>November</v>
      </c>
      <c r="D929" t="str">
        <f t="shared" si="88"/>
        <v>Wednesday</v>
      </c>
      <c r="E929" t="str">
        <f t="shared" si="84"/>
        <v>08:52:00 PM</v>
      </c>
      <c r="F929" s="3">
        <v>42683.876388888886</v>
      </c>
      <c r="G929" s="4">
        <f t="shared" si="89"/>
        <v>0.87638888888614019</v>
      </c>
      <c r="H929" t="str">
        <f t="shared" si="85"/>
        <v>10 min</v>
      </c>
      <c r="I929" t="s">
        <v>2</v>
      </c>
      <c r="J929" t="s">
        <v>182</v>
      </c>
      <c r="K929" t="s">
        <v>184</v>
      </c>
      <c r="L929">
        <v>2.6</v>
      </c>
      <c r="M929" t="s">
        <v>52</v>
      </c>
      <c r="N929" t="str" cm="1">
        <f t="array" ref="N929">_xlfn.IFS(
    AND(HOUR(A929)&gt;=0, HOUR(A929)&lt;10), "Morning",
    AND(HOUR(A929)&gt;=10, HOUR(A929)&lt;15), "Afternoon",
    AND(HOUR(E929)&gt;=15, HOUR(E929)&lt;19), "Evening",
    AND(HOUR(E929)&gt;=19, HOUR(E929)&lt;=23), "Night"
)</f>
        <v>Night</v>
      </c>
    </row>
    <row r="930" spans="1:14" x14ac:dyDescent="0.25">
      <c r="A930" s="3">
        <v>42683.913888888892</v>
      </c>
      <c r="B930" s="2">
        <f t="shared" si="86"/>
        <v>42683</v>
      </c>
      <c r="C930" t="str">
        <f t="shared" si="87"/>
        <v>November</v>
      </c>
      <c r="D930" t="str">
        <f t="shared" si="88"/>
        <v>Wednesday</v>
      </c>
      <c r="E930" t="str">
        <f t="shared" si="84"/>
        <v>09:56:00 PM</v>
      </c>
      <c r="F930" s="3">
        <v>42683.918055555558</v>
      </c>
      <c r="G930" s="4">
        <f t="shared" si="89"/>
        <v>0.9180555555576575</v>
      </c>
      <c r="H930" t="str">
        <f t="shared" si="85"/>
        <v>6 min</v>
      </c>
      <c r="I930" t="s">
        <v>2</v>
      </c>
      <c r="J930" t="s">
        <v>245</v>
      </c>
      <c r="K930" t="s">
        <v>245</v>
      </c>
      <c r="L930">
        <v>1.1000000000000001</v>
      </c>
      <c r="M930" t="s">
        <v>52</v>
      </c>
      <c r="N930" t="str" cm="1">
        <f t="array" ref="N930">_xlfn.IFS(
    AND(HOUR(A930)&gt;=0, HOUR(A930)&lt;10), "Morning",
    AND(HOUR(A930)&gt;=10, HOUR(A930)&lt;15), "Afternoon",
    AND(HOUR(E930)&gt;=15, HOUR(E930)&lt;19), "Evening",
    AND(HOUR(E930)&gt;=19, HOUR(E930)&lt;=23), "Night"
)</f>
        <v>Night</v>
      </c>
    </row>
    <row r="931" spans="1:14" x14ac:dyDescent="0.25">
      <c r="A931" s="3">
        <v>42684.406944444447</v>
      </c>
      <c r="B931" s="2">
        <f t="shared" si="86"/>
        <v>42684</v>
      </c>
      <c r="C931" t="str">
        <f t="shared" si="87"/>
        <v>November</v>
      </c>
      <c r="D931" t="str">
        <f t="shared" si="88"/>
        <v>Thursday</v>
      </c>
      <c r="E931" t="str">
        <f t="shared" si="84"/>
        <v>09:46:00 AM</v>
      </c>
      <c r="F931" s="3">
        <v>42684.427083333336</v>
      </c>
      <c r="G931" s="4">
        <f t="shared" si="89"/>
        <v>0.42708333333575865</v>
      </c>
      <c r="H931" t="str">
        <f t="shared" si="85"/>
        <v>29 min</v>
      </c>
      <c r="I931" t="s">
        <v>2</v>
      </c>
      <c r="J931" t="s">
        <v>184</v>
      </c>
      <c r="K931" t="s">
        <v>160</v>
      </c>
      <c r="L931">
        <v>12.6</v>
      </c>
      <c r="M931" t="s">
        <v>11</v>
      </c>
      <c r="N931" t="str" cm="1">
        <f t="array" ref="N931">_xlfn.IFS(
    AND(HOUR(A931)&gt;=0, HOUR(A931)&lt;10), "Morning",
    AND(HOUR(A931)&gt;=10, HOUR(A931)&lt;15), "Afternoon",
    AND(HOUR(E931)&gt;=15, HOUR(E931)&lt;19), "Evening",
    AND(HOUR(E931)&gt;=19, HOUR(E931)&lt;=23), "Night"
)</f>
        <v>Morning</v>
      </c>
    </row>
    <row r="932" spans="1:14" x14ac:dyDescent="0.25">
      <c r="A932" s="3">
        <v>42684.430555555555</v>
      </c>
      <c r="B932" s="2">
        <f t="shared" si="86"/>
        <v>42684</v>
      </c>
      <c r="C932" t="str">
        <f t="shared" si="87"/>
        <v>November</v>
      </c>
      <c r="D932" t="str">
        <f t="shared" si="88"/>
        <v>Thursday</v>
      </c>
      <c r="E932" t="str">
        <f t="shared" si="84"/>
        <v>10:20:00 AM</v>
      </c>
      <c r="F932" s="3">
        <v>42684.438194444447</v>
      </c>
      <c r="G932" s="4">
        <f t="shared" si="89"/>
        <v>0.43819444444670808</v>
      </c>
      <c r="H932" t="str">
        <f t="shared" si="85"/>
        <v>11 min</v>
      </c>
      <c r="I932" t="s">
        <v>2</v>
      </c>
      <c r="J932" t="s">
        <v>250</v>
      </c>
      <c r="K932" t="s">
        <v>227</v>
      </c>
      <c r="L932">
        <v>1.2</v>
      </c>
      <c r="M932" t="s">
        <v>52</v>
      </c>
      <c r="N932" t="str" cm="1">
        <f t="array" ref="N932">_xlfn.IFS(
    AND(HOUR(A932)&gt;=0, HOUR(A932)&lt;10), "Morning",
    AND(HOUR(A932)&gt;=10, HOUR(A932)&lt;15), "Afternoon",
    AND(HOUR(E932)&gt;=15, HOUR(E932)&lt;19), "Evening",
    AND(HOUR(E932)&gt;=19, HOUR(E932)&lt;=23), "Night"
)</f>
        <v>Afternoon</v>
      </c>
    </row>
    <row r="933" spans="1:14" x14ac:dyDescent="0.25">
      <c r="A933" s="3">
        <v>42684.622916666667</v>
      </c>
      <c r="B933" s="2">
        <f t="shared" si="86"/>
        <v>42684</v>
      </c>
      <c r="C933" t="str">
        <f t="shared" si="87"/>
        <v>November</v>
      </c>
      <c r="D933" t="str">
        <f t="shared" si="88"/>
        <v>Thursday</v>
      </c>
      <c r="E933" t="str">
        <f t="shared" si="84"/>
        <v>02:57:00 PM</v>
      </c>
      <c r="F933" s="3">
        <v>42684.629861111112</v>
      </c>
      <c r="G933" s="4">
        <f t="shared" si="89"/>
        <v>0.62986111111240461</v>
      </c>
      <c r="H933" t="str">
        <f t="shared" si="85"/>
        <v>10 min</v>
      </c>
      <c r="I933" t="s">
        <v>2</v>
      </c>
      <c r="J933" t="s">
        <v>227</v>
      </c>
      <c r="K933" t="s">
        <v>250</v>
      </c>
      <c r="L933">
        <v>1.1000000000000001</v>
      </c>
      <c r="M933" t="s">
        <v>52</v>
      </c>
      <c r="N933" t="str" cm="1">
        <f t="array" ref="N933">_xlfn.IFS(
    AND(HOUR(A933)&gt;=0, HOUR(A933)&lt;10), "Morning",
    AND(HOUR(A933)&gt;=10, HOUR(A933)&lt;15), "Afternoon",
    AND(HOUR(E933)&gt;=15, HOUR(E933)&lt;19), "Evening",
    AND(HOUR(E933)&gt;=19, HOUR(E933)&lt;=23), "Night"
)</f>
        <v>Afternoon</v>
      </c>
    </row>
    <row r="934" spans="1:14" x14ac:dyDescent="0.25">
      <c r="A934" s="3">
        <v>42684.636805555558</v>
      </c>
      <c r="B934" s="2">
        <f t="shared" si="86"/>
        <v>42684</v>
      </c>
      <c r="C934" t="str">
        <f t="shared" si="87"/>
        <v>November</v>
      </c>
      <c r="D934" t="str">
        <f t="shared" si="88"/>
        <v>Thursday</v>
      </c>
      <c r="E934" t="str">
        <f t="shared" si="84"/>
        <v>03:17:00 PM</v>
      </c>
      <c r="F934" s="3">
        <v>42684.640277777777</v>
      </c>
      <c r="G934" s="4">
        <f t="shared" si="89"/>
        <v>0.64027777777664596</v>
      </c>
      <c r="H934" t="str">
        <f t="shared" si="85"/>
        <v>5 min</v>
      </c>
      <c r="I934" t="s">
        <v>2</v>
      </c>
      <c r="J934" t="s">
        <v>160</v>
      </c>
      <c r="K934" t="s">
        <v>182</v>
      </c>
      <c r="L934">
        <v>9.9</v>
      </c>
      <c r="M934" t="s">
        <v>11</v>
      </c>
      <c r="N934" t="str" cm="1">
        <f t="array" ref="N934">_xlfn.IFS(
    AND(HOUR(A934)&gt;=0, HOUR(A934)&lt;10), "Morning",
    AND(HOUR(A934)&gt;=10, HOUR(A934)&lt;15), "Afternoon",
    AND(HOUR(E934)&gt;=15, HOUR(E934)&lt;19), "Evening",
    AND(HOUR(E934)&gt;=19, HOUR(E934)&lt;=23), "Night"
)</f>
        <v>Evening</v>
      </c>
    </row>
    <row r="935" spans="1:14" x14ac:dyDescent="0.25">
      <c r="A935" s="3">
        <v>42684.645833333336</v>
      </c>
      <c r="B935" s="2">
        <f t="shared" si="86"/>
        <v>42684</v>
      </c>
      <c r="C935" t="str">
        <f t="shared" si="87"/>
        <v>November</v>
      </c>
      <c r="D935" t="str">
        <f t="shared" si="88"/>
        <v>Thursday</v>
      </c>
      <c r="E935" t="str">
        <f t="shared" si="84"/>
        <v>03:30:00 PM</v>
      </c>
      <c r="F935" s="3">
        <v>42684.661805555559</v>
      </c>
      <c r="G935" s="4">
        <f t="shared" si="89"/>
        <v>0.66180555555911269</v>
      </c>
      <c r="H935" t="str">
        <f t="shared" si="85"/>
        <v>23 min</v>
      </c>
      <c r="I935" t="s">
        <v>2</v>
      </c>
      <c r="J935" t="s">
        <v>182</v>
      </c>
      <c r="K935" t="s">
        <v>184</v>
      </c>
      <c r="L935">
        <v>6</v>
      </c>
      <c r="M935" t="s">
        <v>10</v>
      </c>
      <c r="N935" t="str" cm="1">
        <f t="array" ref="N935">_xlfn.IFS(
    AND(HOUR(A935)&gt;=0, HOUR(A935)&lt;10), "Morning",
    AND(HOUR(A935)&gt;=10, HOUR(A935)&lt;15), "Afternoon",
    AND(HOUR(E935)&gt;=15, HOUR(E935)&lt;19), "Evening",
    AND(HOUR(E935)&gt;=19, HOUR(E935)&lt;=23), "Night"
)</f>
        <v>Evening</v>
      </c>
    </row>
    <row r="936" spans="1:14" x14ac:dyDescent="0.25">
      <c r="A936" s="3">
        <v>42684.804166666669</v>
      </c>
      <c r="B936" s="2">
        <f t="shared" si="86"/>
        <v>42684</v>
      </c>
      <c r="C936" t="str">
        <f t="shared" si="87"/>
        <v>November</v>
      </c>
      <c r="D936" t="str">
        <f t="shared" si="88"/>
        <v>Thursday</v>
      </c>
      <c r="E936" t="str">
        <f t="shared" si="84"/>
        <v>07:18:00 PM</v>
      </c>
      <c r="F936" s="3">
        <v>42684.806250000001</v>
      </c>
      <c r="G936" s="4">
        <f t="shared" si="89"/>
        <v>0.80625000000145519</v>
      </c>
      <c r="H936" t="str">
        <f t="shared" si="85"/>
        <v>3 min</v>
      </c>
      <c r="I936" t="s">
        <v>2</v>
      </c>
      <c r="J936" t="s">
        <v>229</v>
      </c>
      <c r="K936" t="s">
        <v>245</v>
      </c>
      <c r="L936">
        <v>0.8</v>
      </c>
      <c r="M936" t="s">
        <v>52</v>
      </c>
      <c r="N936" t="str" cm="1">
        <f t="array" ref="N936">_xlfn.IFS(
    AND(HOUR(A936)&gt;=0, HOUR(A936)&lt;10), "Morning",
    AND(HOUR(A936)&gt;=10, HOUR(A936)&lt;15), "Afternoon",
    AND(HOUR(E936)&gt;=15, HOUR(E936)&lt;19), "Evening",
    AND(HOUR(E936)&gt;=19, HOUR(E936)&lt;=23), "Night"
)</f>
        <v>Night</v>
      </c>
    </row>
    <row r="937" spans="1:14" x14ac:dyDescent="0.25">
      <c r="A937" s="3">
        <v>42685.399305555555</v>
      </c>
      <c r="B937" s="2">
        <f t="shared" si="86"/>
        <v>42685</v>
      </c>
      <c r="C937" t="str">
        <f t="shared" si="87"/>
        <v>November</v>
      </c>
      <c r="D937" t="str">
        <f t="shared" si="88"/>
        <v>Friday</v>
      </c>
      <c r="E937" t="str">
        <f t="shared" si="84"/>
        <v>09:35:00 AM</v>
      </c>
      <c r="F937" s="3">
        <v>42685.432638888888</v>
      </c>
      <c r="G937" s="4">
        <f t="shared" si="89"/>
        <v>0.43263888888759539</v>
      </c>
      <c r="H937" t="str">
        <f t="shared" si="85"/>
        <v>48 min</v>
      </c>
      <c r="I937" t="s">
        <v>2</v>
      </c>
      <c r="J937" t="s">
        <v>184</v>
      </c>
      <c r="K937" t="s">
        <v>164</v>
      </c>
      <c r="L937">
        <v>45.9</v>
      </c>
      <c r="M937" t="s">
        <v>7</v>
      </c>
      <c r="N937" t="str" cm="1">
        <f t="array" ref="N937">_xlfn.IFS(
    AND(HOUR(A937)&gt;=0, HOUR(A937)&lt;10), "Morning",
    AND(HOUR(A937)&gt;=10, HOUR(A937)&lt;15), "Afternoon",
    AND(HOUR(E937)&gt;=15, HOUR(E937)&lt;19), "Evening",
    AND(HOUR(E937)&gt;=19, HOUR(E937)&lt;=23), "Night"
)</f>
        <v>Morning</v>
      </c>
    </row>
    <row r="938" spans="1:14" x14ac:dyDescent="0.25">
      <c r="A938" s="3">
        <v>42685.540277777778</v>
      </c>
      <c r="B938" s="2">
        <f t="shared" si="86"/>
        <v>42685</v>
      </c>
      <c r="C938" t="str">
        <f t="shared" si="87"/>
        <v>November</v>
      </c>
      <c r="D938" t="str">
        <f t="shared" si="88"/>
        <v>Friday</v>
      </c>
      <c r="E938" t="str">
        <f t="shared" si="84"/>
        <v>12:58:00 PM</v>
      </c>
      <c r="F938" s="3">
        <v>42685.550694444442</v>
      </c>
      <c r="G938" s="4">
        <f t="shared" si="89"/>
        <v>0.5506944444423425</v>
      </c>
      <c r="H938" t="str">
        <f t="shared" si="85"/>
        <v>15 min</v>
      </c>
      <c r="I938" t="s">
        <v>2</v>
      </c>
      <c r="J938" t="s">
        <v>164</v>
      </c>
      <c r="K938" t="s">
        <v>161</v>
      </c>
      <c r="L938">
        <v>4</v>
      </c>
      <c r="M938" t="s">
        <v>52</v>
      </c>
      <c r="N938" t="str" cm="1">
        <f t="array" ref="N938">_xlfn.IFS(
    AND(HOUR(A938)&gt;=0, HOUR(A938)&lt;10), "Morning",
    AND(HOUR(A938)&gt;=10, HOUR(A938)&lt;15), "Afternoon",
    AND(HOUR(E938)&gt;=15, HOUR(E938)&lt;19), "Evening",
    AND(HOUR(E938)&gt;=19, HOUR(E938)&lt;=23), "Night"
)</f>
        <v>Afternoon</v>
      </c>
    </row>
    <row r="939" spans="1:14" x14ac:dyDescent="0.25">
      <c r="A939" s="3">
        <v>42685.597222222219</v>
      </c>
      <c r="B939" s="2">
        <f t="shared" si="86"/>
        <v>42685</v>
      </c>
      <c r="C939" t="str">
        <f t="shared" si="87"/>
        <v>November</v>
      </c>
      <c r="D939" t="str">
        <f t="shared" si="88"/>
        <v>Friday</v>
      </c>
      <c r="E939" t="str">
        <f t="shared" si="84"/>
        <v>02:20:00 PM</v>
      </c>
      <c r="F939" s="3">
        <v>42685.605555555558</v>
      </c>
      <c r="G939" s="4">
        <f t="shared" si="89"/>
        <v>0.6055555555576575</v>
      </c>
      <c r="H939" t="str">
        <f t="shared" si="85"/>
        <v>12 min</v>
      </c>
      <c r="I939" t="s">
        <v>2</v>
      </c>
      <c r="J939" t="s">
        <v>161</v>
      </c>
      <c r="K939" t="s">
        <v>164</v>
      </c>
      <c r="L939">
        <v>2.5</v>
      </c>
      <c r="M939" t="s">
        <v>52</v>
      </c>
      <c r="N939" t="str" cm="1">
        <f t="array" ref="N939">_xlfn.IFS(
    AND(HOUR(A939)&gt;=0, HOUR(A939)&lt;10), "Morning",
    AND(HOUR(A939)&gt;=10, HOUR(A939)&lt;15), "Afternoon",
    AND(HOUR(E939)&gt;=15, HOUR(E939)&lt;19), "Evening",
    AND(HOUR(E939)&gt;=19, HOUR(E939)&lt;=23), "Night"
)</f>
        <v>Afternoon</v>
      </c>
    </row>
    <row r="940" spans="1:14" x14ac:dyDescent="0.25">
      <c r="A940" s="3">
        <v>42685.61041666667</v>
      </c>
      <c r="B940" s="2">
        <f t="shared" si="86"/>
        <v>42685</v>
      </c>
      <c r="C940" t="str">
        <f t="shared" si="87"/>
        <v>November</v>
      </c>
      <c r="D940" t="str">
        <f t="shared" si="88"/>
        <v>Friday</v>
      </c>
      <c r="E940" t="str">
        <f t="shared" si="84"/>
        <v>02:39:00 PM</v>
      </c>
      <c r="F940" s="3">
        <v>42685.656944444447</v>
      </c>
      <c r="G940" s="4">
        <f t="shared" si="89"/>
        <v>0.65694444444670808</v>
      </c>
      <c r="H940" t="str">
        <f t="shared" si="85"/>
        <v>67 min</v>
      </c>
      <c r="I940" t="s">
        <v>2</v>
      </c>
      <c r="J940" t="s">
        <v>164</v>
      </c>
      <c r="K940" t="s">
        <v>184</v>
      </c>
      <c r="L940">
        <v>36.6</v>
      </c>
      <c r="M940" t="s">
        <v>7</v>
      </c>
      <c r="N940" t="str" cm="1">
        <f t="array" ref="N940">_xlfn.IFS(
    AND(HOUR(A940)&gt;=0, HOUR(A940)&lt;10), "Morning",
    AND(HOUR(A940)&gt;=10, HOUR(A940)&lt;15), "Afternoon",
    AND(HOUR(E940)&gt;=15, HOUR(E940)&lt;19), "Evening",
    AND(HOUR(E940)&gt;=19, HOUR(E940)&lt;=23), "Night"
)</f>
        <v>Afternoon</v>
      </c>
    </row>
    <row r="941" spans="1:14" x14ac:dyDescent="0.25">
      <c r="A941" s="3">
        <v>42685.770833333336</v>
      </c>
      <c r="B941" s="2">
        <f t="shared" si="86"/>
        <v>42685</v>
      </c>
      <c r="C941" t="str">
        <f t="shared" si="87"/>
        <v>November</v>
      </c>
      <c r="D941" t="str">
        <f t="shared" si="88"/>
        <v>Friday</v>
      </c>
      <c r="E941" t="str">
        <f t="shared" si="84"/>
        <v>06:30:00 PM</v>
      </c>
      <c r="F941" s="3">
        <v>42685.779861111114</v>
      </c>
      <c r="G941" s="4">
        <f t="shared" si="89"/>
        <v>0.77986111111385981</v>
      </c>
      <c r="H941" t="str">
        <f t="shared" si="85"/>
        <v>13 min</v>
      </c>
      <c r="I941" t="s">
        <v>2</v>
      </c>
      <c r="J941" t="s">
        <v>245</v>
      </c>
      <c r="K941" t="s">
        <v>251</v>
      </c>
      <c r="L941">
        <v>2.9</v>
      </c>
      <c r="M941" t="s">
        <v>52</v>
      </c>
      <c r="N941" t="str" cm="1">
        <f t="array" ref="N941">_xlfn.IFS(
    AND(HOUR(A941)&gt;=0, HOUR(A941)&lt;10), "Morning",
    AND(HOUR(A941)&gt;=10, HOUR(A941)&lt;15), "Afternoon",
    AND(HOUR(E941)&gt;=15, HOUR(E941)&lt;19), "Evening",
    AND(HOUR(E941)&gt;=19, HOUR(E941)&lt;=23), "Night"
)</f>
        <v>Evening</v>
      </c>
    </row>
    <row r="942" spans="1:14" x14ac:dyDescent="0.25">
      <c r="A942" s="3">
        <v>42685.880555555559</v>
      </c>
      <c r="B942" s="2">
        <f t="shared" si="86"/>
        <v>42685</v>
      </c>
      <c r="C942" t="str">
        <f t="shared" si="87"/>
        <v>November</v>
      </c>
      <c r="D942" t="str">
        <f t="shared" si="88"/>
        <v>Friday</v>
      </c>
      <c r="E942" t="str">
        <f t="shared" si="84"/>
        <v>09:08:00 PM</v>
      </c>
      <c r="F942" s="3">
        <v>42685.887499999997</v>
      </c>
      <c r="G942" s="4">
        <f t="shared" si="89"/>
        <v>0.88749999999708962</v>
      </c>
      <c r="H942" t="str">
        <f t="shared" si="85"/>
        <v>10 min</v>
      </c>
      <c r="I942" t="s">
        <v>2</v>
      </c>
      <c r="J942" t="s">
        <v>251</v>
      </c>
      <c r="K942" t="s">
        <v>245</v>
      </c>
      <c r="L942">
        <v>2.6</v>
      </c>
      <c r="M942" t="s">
        <v>52</v>
      </c>
      <c r="N942" t="str" cm="1">
        <f t="array" ref="N942">_xlfn.IFS(
    AND(HOUR(A942)&gt;=0, HOUR(A942)&lt;10), "Morning",
    AND(HOUR(A942)&gt;=10, HOUR(A942)&lt;15), "Afternoon",
    AND(HOUR(E942)&gt;=15, HOUR(E942)&lt;19), "Evening",
    AND(HOUR(E942)&gt;=19, HOUR(E942)&lt;=23), "Night"
)</f>
        <v>Night</v>
      </c>
    </row>
    <row r="943" spans="1:14" x14ac:dyDescent="0.25">
      <c r="A943" s="3">
        <v>42686.438888888886</v>
      </c>
      <c r="B943" s="2">
        <f t="shared" si="86"/>
        <v>42686</v>
      </c>
      <c r="C943" t="str">
        <f t="shared" si="87"/>
        <v>November</v>
      </c>
      <c r="D943" t="str">
        <f t="shared" si="88"/>
        <v>Saturday</v>
      </c>
      <c r="E943" t="str">
        <f t="shared" si="84"/>
        <v>10:32:00 AM</v>
      </c>
      <c r="F943" s="3">
        <v>42686.452777777777</v>
      </c>
      <c r="G943" s="4">
        <f t="shared" si="89"/>
        <v>0.45277777777664596</v>
      </c>
      <c r="H943" t="str">
        <f t="shared" si="85"/>
        <v>20 min</v>
      </c>
      <c r="I943" t="s">
        <v>2</v>
      </c>
      <c r="J943" t="s">
        <v>245</v>
      </c>
      <c r="K943" t="s">
        <v>252</v>
      </c>
      <c r="L943">
        <v>2.2999999999999998</v>
      </c>
      <c r="M943" t="s">
        <v>52</v>
      </c>
      <c r="N943" t="str" cm="1">
        <f t="array" ref="N943">_xlfn.IFS(
    AND(HOUR(A943)&gt;=0, HOUR(A943)&lt;10), "Morning",
    AND(HOUR(A943)&gt;=10, HOUR(A943)&lt;15), "Afternoon",
    AND(HOUR(E943)&gt;=15, HOUR(E943)&lt;19), "Evening",
    AND(HOUR(E943)&gt;=19, HOUR(E943)&lt;=23), "Night"
)</f>
        <v>Afternoon</v>
      </c>
    </row>
    <row r="944" spans="1:14" x14ac:dyDescent="0.25">
      <c r="A944" s="3">
        <v>42686.454861111109</v>
      </c>
      <c r="B944" s="2">
        <f t="shared" si="86"/>
        <v>42686</v>
      </c>
      <c r="C944" t="str">
        <f t="shared" si="87"/>
        <v>November</v>
      </c>
      <c r="D944" t="str">
        <f t="shared" si="88"/>
        <v>Saturday</v>
      </c>
      <c r="E944" t="str">
        <f t="shared" si="84"/>
        <v>10:55:00 AM</v>
      </c>
      <c r="F944" s="3">
        <v>42686.475694444445</v>
      </c>
      <c r="G944" s="4">
        <f t="shared" si="89"/>
        <v>0.47569444444525288</v>
      </c>
      <c r="H944" t="str">
        <f t="shared" si="85"/>
        <v>30 min</v>
      </c>
      <c r="I944" t="s">
        <v>2</v>
      </c>
      <c r="J944" t="s">
        <v>252</v>
      </c>
      <c r="K944" t="s">
        <v>70</v>
      </c>
      <c r="L944">
        <v>6.4</v>
      </c>
      <c r="M944" t="s">
        <v>52</v>
      </c>
      <c r="N944" t="str" cm="1">
        <f t="array" ref="N944">_xlfn.IFS(
    AND(HOUR(A944)&gt;=0, HOUR(A944)&lt;10), "Morning",
    AND(HOUR(A944)&gt;=10, HOUR(A944)&lt;15), "Afternoon",
    AND(HOUR(E944)&gt;=15, HOUR(E944)&lt;19), "Evening",
    AND(HOUR(E944)&gt;=19, HOUR(E944)&lt;=23), "Night"
)</f>
        <v>Afternoon</v>
      </c>
    </row>
    <row r="945" spans="1:14" x14ac:dyDescent="0.25">
      <c r="A945" s="3">
        <v>42686.546527777777</v>
      </c>
      <c r="B945" s="2">
        <f t="shared" si="86"/>
        <v>42686</v>
      </c>
      <c r="C945" t="str">
        <f t="shared" si="87"/>
        <v>November</v>
      </c>
      <c r="D945" t="str">
        <f t="shared" si="88"/>
        <v>Saturday</v>
      </c>
      <c r="E945" t="str">
        <f t="shared" si="84"/>
        <v>01:07:00 PM</v>
      </c>
      <c r="F945" s="3">
        <v>42686.552083333336</v>
      </c>
      <c r="G945" s="4">
        <f t="shared" si="89"/>
        <v>0.55208333333575865</v>
      </c>
      <c r="H945" t="str">
        <f t="shared" si="85"/>
        <v>8 min</v>
      </c>
      <c r="I945" t="s">
        <v>2</v>
      </c>
      <c r="J945" t="s">
        <v>70</v>
      </c>
      <c r="K945" t="s">
        <v>245</v>
      </c>
      <c r="L945">
        <v>1.4</v>
      </c>
      <c r="M945" t="s">
        <v>52</v>
      </c>
      <c r="N945" t="str" cm="1">
        <f t="array" ref="N945">_xlfn.IFS(
    AND(HOUR(A945)&gt;=0, HOUR(A945)&lt;10), "Morning",
    AND(HOUR(A945)&gt;=10, HOUR(A945)&lt;15), "Afternoon",
    AND(HOUR(E945)&gt;=15, HOUR(E945)&lt;19), "Evening",
    AND(HOUR(E945)&gt;=19, HOUR(E945)&lt;=23), "Night"
)</f>
        <v>Afternoon</v>
      </c>
    </row>
    <row r="946" spans="1:14" x14ac:dyDescent="0.25">
      <c r="A946" s="3">
        <v>42686.573611111111</v>
      </c>
      <c r="B946" s="2">
        <f t="shared" si="86"/>
        <v>42686</v>
      </c>
      <c r="C946" t="str">
        <f t="shared" si="87"/>
        <v>November</v>
      </c>
      <c r="D946" t="str">
        <f t="shared" si="88"/>
        <v>Saturday</v>
      </c>
      <c r="E946" t="str">
        <f t="shared" si="84"/>
        <v>01:46:00 PM</v>
      </c>
      <c r="F946" s="3">
        <v>42686.576388888891</v>
      </c>
      <c r="G946" s="4">
        <f t="shared" si="89"/>
        <v>0.57638888889050577</v>
      </c>
      <c r="H946" t="str">
        <f t="shared" si="85"/>
        <v>4 min</v>
      </c>
      <c r="I946" t="s">
        <v>2</v>
      </c>
      <c r="J946" t="s">
        <v>245</v>
      </c>
      <c r="K946" t="s">
        <v>229</v>
      </c>
      <c r="L946">
        <v>0.6</v>
      </c>
      <c r="M946" t="s">
        <v>52</v>
      </c>
      <c r="N946" t="str" cm="1">
        <f t="array" ref="N946">_xlfn.IFS(
    AND(HOUR(A946)&gt;=0, HOUR(A946)&lt;10), "Morning",
    AND(HOUR(A946)&gt;=10, HOUR(A946)&lt;15), "Afternoon",
    AND(HOUR(E946)&gt;=15, HOUR(E946)&lt;19), "Evening",
    AND(HOUR(E946)&gt;=19, HOUR(E946)&lt;=23), "Night"
)</f>
        <v>Afternoon</v>
      </c>
    </row>
    <row r="947" spans="1:14" x14ac:dyDescent="0.25">
      <c r="A947" s="3">
        <v>42686.598611111112</v>
      </c>
      <c r="B947" s="2">
        <f t="shared" si="86"/>
        <v>42686</v>
      </c>
      <c r="C947" t="str">
        <f t="shared" si="87"/>
        <v>November</v>
      </c>
      <c r="D947" t="str">
        <f t="shared" si="88"/>
        <v>Saturday</v>
      </c>
      <c r="E947" t="str">
        <f t="shared" si="84"/>
        <v>02:22:00 PM</v>
      </c>
      <c r="F947" s="3">
        <v>42686.620138888888</v>
      </c>
      <c r="G947" s="4">
        <f t="shared" si="89"/>
        <v>0.62013888888759539</v>
      </c>
      <c r="H947" t="str">
        <f t="shared" si="85"/>
        <v>31 min</v>
      </c>
      <c r="I947" t="s">
        <v>2</v>
      </c>
      <c r="J947" t="s">
        <v>229</v>
      </c>
      <c r="K947" t="s">
        <v>252</v>
      </c>
      <c r="L947">
        <v>5.9</v>
      </c>
      <c r="M947" t="s">
        <v>52</v>
      </c>
      <c r="N947" t="str" cm="1">
        <f t="array" ref="N947">_xlfn.IFS(
    AND(HOUR(A947)&gt;=0, HOUR(A947)&lt;10), "Morning",
    AND(HOUR(A947)&gt;=10, HOUR(A947)&lt;15), "Afternoon",
    AND(HOUR(E947)&gt;=15, HOUR(E947)&lt;19), "Evening",
    AND(HOUR(E947)&gt;=19, HOUR(E947)&lt;=23), "Night"
)</f>
        <v>Afternoon</v>
      </c>
    </row>
    <row r="948" spans="1:14" x14ac:dyDescent="0.25">
      <c r="A948" s="3">
        <v>42686.634722222225</v>
      </c>
      <c r="B948" s="2">
        <f t="shared" si="86"/>
        <v>42686</v>
      </c>
      <c r="C948" t="str">
        <f t="shared" si="87"/>
        <v>November</v>
      </c>
      <c r="D948" t="str">
        <f t="shared" si="88"/>
        <v>Saturday</v>
      </c>
      <c r="E948" t="str">
        <f t="shared" si="84"/>
        <v>03:14:00 PM</v>
      </c>
      <c r="F948" s="3">
        <v>42686.63958333333</v>
      </c>
      <c r="G948" s="4">
        <f t="shared" si="89"/>
        <v>0.63958333332993789</v>
      </c>
      <c r="H948" t="str">
        <f t="shared" si="85"/>
        <v>7 min</v>
      </c>
      <c r="I948" t="s">
        <v>2</v>
      </c>
      <c r="J948" t="s">
        <v>252</v>
      </c>
      <c r="K948" t="s">
        <v>253</v>
      </c>
      <c r="L948">
        <v>0.8</v>
      </c>
      <c r="M948" t="s">
        <v>52</v>
      </c>
      <c r="N948" t="str" cm="1">
        <f t="array" ref="N948">_xlfn.IFS(
    AND(HOUR(A948)&gt;=0, HOUR(A948)&lt;10), "Morning",
    AND(HOUR(A948)&gt;=10, HOUR(A948)&lt;15), "Afternoon",
    AND(HOUR(E948)&gt;=15, HOUR(E948)&lt;19), "Evening",
    AND(HOUR(E948)&gt;=19, HOUR(E948)&lt;=23), "Night"
)</f>
        <v>Evening</v>
      </c>
    </row>
    <row r="949" spans="1:14" x14ac:dyDescent="0.25">
      <c r="A949" s="3">
        <v>42686.642361111109</v>
      </c>
      <c r="B949" s="2">
        <f t="shared" si="86"/>
        <v>42686</v>
      </c>
      <c r="C949" t="str">
        <f t="shared" si="87"/>
        <v>November</v>
      </c>
      <c r="D949" t="str">
        <f t="shared" si="88"/>
        <v>Saturday</v>
      </c>
      <c r="E949" t="str">
        <f t="shared" si="84"/>
        <v>03:25:00 PM</v>
      </c>
      <c r="F949" s="3">
        <v>42686.65</v>
      </c>
      <c r="G949" s="4">
        <f t="shared" si="89"/>
        <v>0.65000000000145519</v>
      </c>
      <c r="H949" t="str">
        <f t="shared" si="85"/>
        <v>11 min</v>
      </c>
      <c r="I949" t="s">
        <v>2</v>
      </c>
      <c r="J949" t="s">
        <v>184</v>
      </c>
      <c r="K949" t="s">
        <v>183</v>
      </c>
      <c r="L949">
        <v>1.3</v>
      </c>
      <c r="M949" t="s">
        <v>52</v>
      </c>
      <c r="N949" t="str" cm="1">
        <f t="array" ref="N949">_xlfn.IFS(
    AND(HOUR(A949)&gt;=0, HOUR(A949)&lt;10), "Morning",
    AND(HOUR(A949)&gt;=10, HOUR(A949)&lt;15), "Afternoon",
    AND(HOUR(E949)&gt;=15, HOUR(E949)&lt;19), "Evening",
    AND(HOUR(E949)&gt;=19, HOUR(E949)&lt;=23), "Night"
)</f>
        <v>Evening</v>
      </c>
    </row>
    <row r="950" spans="1:14" x14ac:dyDescent="0.25">
      <c r="A950" s="3">
        <v>42686.652777777781</v>
      </c>
      <c r="B950" s="2">
        <f t="shared" si="86"/>
        <v>42686</v>
      </c>
      <c r="C950" t="str">
        <f t="shared" si="87"/>
        <v>November</v>
      </c>
      <c r="D950" t="str">
        <f t="shared" si="88"/>
        <v>Saturday</v>
      </c>
      <c r="E950" t="str">
        <f t="shared" si="84"/>
        <v>03:40:00 PM</v>
      </c>
      <c r="F950" s="3">
        <v>42686.665972222225</v>
      </c>
      <c r="G950" s="4">
        <f t="shared" si="89"/>
        <v>0.66597222222480923</v>
      </c>
      <c r="H950" t="str">
        <f t="shared" si="85"/>
        <v>19 min</v>
      </c>
      <c r="I950" t="s">
        <v>2</v>
      </c>
      <c r="J950" t="s">
        <v>183</v>
      </c>
      <c r="K950" t="s">
        <v>184</v>
      </c>
      <c r="L950">
        <v>3.7</v>
      </c>
      <c r="M950" t="s">
        <v>8</v>
      </c>
      <c r="N950" t="str" cm="1">
        <f t="array" ref="N950">_xlfn.IFS(
    AND(HOUR(A950)&gt;=0, HOUR(A950)&lt;10), "Morning",
    AND(HOUR(A950)&gt;=10, HOUR(A950)&lt;15), "Afternoon",
    AND(HOUR(E950)&gt;=15, HOUR(E950)&lt;19), "Evening",
    AND(HOUR(E950)&gt;=19, HOUR(E950)&lt;=23), "Night"
)</f>
        <v>Evening</v>
      </c>
    </row>
    <row r="951" spans="1:14" x14ac:dyDescent="0.25">
      <c r="A951" s="3">
        <v>42687.370833333334</v>
      </c>
      <c r="B951" s="2">
        <f t="shared" si="86"/>
        <v>42687</v>
      </c>
      <c r="C951" t="str">
        <f t="shared" si="87"/>
        <v>November</v>
      </c>
      <c r="D951" t="str">
        <f t="shared" si="88"/>
        <v>Sunday</v>
      </c>
      <c r="E951" t="str">
        <f t="shared" si="84"/>
        <v>08:54:00 AM</v>
      </c>
      <c r="F951" s="3">
        <v>42687.376388888886</v>
      </c>
      <c r="G951" s="4">
        <f t="shared" si="89"/>
        <v>0.37638888888614019</v>
      </c>
      <c r="H951" t="str">
        <f t="shared" si="85"/>
        <v>8 min</v>
      </c>
      <c r="I951" t="s">
        <v>2</v>
      </c>
      <c r="J951" t="s">
        <v>245</v>
      </c>
      <c r="K951" t="s">
        <v>245</v>
      </c>
      <c r="L951">
        <v>2.2999999999999998</v>
      </c>
      <c r="M951" t="s">
        <v>52</v>
      </c>
      <c r="N951" t="str" cm="1">
        <f t="array" ref="N951">_xlfn.IFS(
    AND(HOUR(A951)&gt;=0, HOUR(A951)&lt;10), "Morning",
    AND(HOUR(A951)&gt;=10, HOUR(A951)&lt;15), "Afternoon",
    AND(HOUR(E951)&gt;=15, HOUR(E951)&lt;19), "Evening",
    AND(HOUR(E951)&gt;=19, HOUR(E951)&lt;=23), "Night"
)</f>
        <v>Morning</v>
      </c>
    </row>
    <row r="952" spans="1:14" x14ac:dyDescent="0.25">
      <c r="A952" s="3">
        <v>42687.393750000003</v>
      </c>
      <c r="B952" s="2">
        <f t="shared" si="86"/>
        <v>42687</v>
      </c>
      <c r="C952" t="str">
        <f t="shared" si="87"/>
        <v>November</v>
      </c>
      <c r="D952" t="str">
        <f t="shared" si="88"/>
        <v>Sunday</v>
      </c>
      <c r="E952" t="str">
        <f t="shared" si="84"/>
        <v>09:27:00 AM</v>
      </c>
      <c r="F952" s="3">
        <v>42687.411805555559</v>
      </c>
      <c r="G952" s="4">
        <f t="shared" si="89"/>
        <v>0.41180555555911269</v>
      </c>
      <c r="H952" t="str">
        <f t="shared" si="85"/>
        <v>26 min</v>
      </c>
      <c r="I952" t="s">
        <v>2</v>
      </c>
      <c r="J952" t="s">
        <v>245</v>
      </c>
      <c r="K952" t="s">
        <v>245</v>
      </c>
      <c r="L952">
        <v>2.6</v>
      </c>
      <c r="M952" t="s">
        <v>52</v>
      </c>
      <c r="N952" t="str" cm="1">
        <f t="array" ref="N952">_xlfn.IFS(
    AND(HOUR(A952)&gt;=0, HOUR(A952)&lt;10), "Morning",
    AND(HOUR(A952)&gt;=10, HOUR(A952)&lt;15), "Afternoon",
    AND(HOUR(E952)&gt;=15, HOUR(E952)&lt;19), "Evening",
    AND(HOUR(E952)&gt;=19, HOUR(E952)&lt;=23), "Night"
)</f>
        <v>Morning</v>
      </c>
    </row>
    <row r="953" spans="1:14" x14ac:dyDescent="0.25">
      <c r="A953" s="3">
        <v>42687.438194444447</v>
      </c>
      <c r="B953" s="2">
        <f t="shared" si="86"/>
        <v>42687</v>
      </c>
      <c r="C953" t="str">
        <f t="shared" si="87"/>
        <v>November</v>
      </c>
      <c r="D953" t="str">
        <f t="shared" si="88"/>
        <v>Sunday</v>
      </c>
      <c r="E953" t="str">
        <f t="shared" si="84"/>
        <v>10:31:00 AM</v>
      </c>
      <c r="F953" s="3">
        <v>42687.442361111112</v>
      </c>
      <c r="G953" s="4">
        <f t="shared" si="89"/>
        <v>0.44236111111240461</v>
      </c>
      <c r="H953" t="str">
        <f t="shared" si="85"/>
        <v>6 min</v>
      </c>
      <c r="I953" t="s">
        <v>2</v>
      </c>
      <c r="J953" t="s">
        <v>245</v>
      </c>
      <c r="K953" t="s">
        <v>231</v>
      </c>
      <c r="L953">
        <v>1.9</v>
      </c>
      <c r="M953" t="s">
        <v>52</v>
      </c>
      <c r="N953" t="str" cm="1">
        <f t="array" ref="N953">_xlfn.IFS(
    AND(HOUR(A953)&gt;=0, HOUR(A953)&lt;10), "Morning",
    AND(HOUR(A953)&gt;=10, HOUR(A953)&lt;15), "Afternoon",
    AND(HOUR(E953)&gt;=15, HOUR(E953)&lt;19), "Evening",
    AND(HOUR(E953)&gt;=19, HOUR(E953)&lt;=23), "Night"
)</f>
        <v>Afternoon</v>
      </c>
    </row>
    <row r="954" spans="1:14" x14ac:dyDescent="0.25">
      <c r="A954" s="3">
        <v>42687.461111111108</v>
      </c>
      <c r="B954" s="2">
        <f t="shared" si="86"/>
        <v>42687</v>
      </c>
      <c r="C954" t="str">
        <f t="shared" si="87"/>
        <v>November</v>
      </c>
      <c r="D954" t="str">
        <f t="shared" si="88"/>
        <v>Sunday</v>
      </c>
      <c r="E954" t="str">
        <f t="shared" si="84"/>
        <v>11:04:00 AM</v>
      </c>
      <c r="F954" s="3">
        <v>42687.469444444447</v>
      </c>
      <c r="G954" s="4">
        <f t="shared" si="89"/>
        <v>0.46944444444670808</v>
      </c>
      <c r="H954" t="str">
        <f t="shared" si="85"/>
        <v>12 min</v>
      </c>
      <c r="I954" t="s">
        <v>2</v>
      </c>
      <c r="J954" t="s">
        <v>231</v>
      </c>
      <c r="K954" t="s">
        <v>229</v>
      </c>
      <c r="L954">
        <v>2.1</v>
      </c>
      <c r="M954" t="s">
        <v>52</v>
      </c>
      <c r="N954" t="str" cm="1">
        <f t="array" ref="N954">_xlfn.IFS(
    AND(HOUR(A954)&gt;=0, HOUR(A954)&lt;10), "Morning",
    AND(HOUR(A954)&gt;=10, HOUR(A954)&lt;15), "Afternoon",
    AND(HOUR(E954)&gt;=15, HOUR(E954)&lt;19), "Evening",
    AND(HOUR(E954)&gt;=19, HOUR(E954)&lt;=23), "Night"
)</f>
        <v>Afternoon</v>
      </c>
    </row>
    <row r="955" spans="1:14" x14ac:dyDescent="0.25">
      <c r="A955" s="3">
        <v>42687.515277777777</v>
      </c>
      <c r="B955" s="2">
        <f t="shared" si="86"/>
        <v>42687</v>
      </c>
      <c r="C955" t="str">
        <f t="shared" si="87"/>
        <v>November</v>
      </c>
      <c r="D955" t="str">
        <f t="shared" si="88"/>
        <v>Sunday</v>
      </c>
      <c r="E955" t="str">
        <f t="shared" si="84"/>
        <v>12:22:00 PM</v>
      </c>
      <c r="F955" s="3">
        <v>42687.535416666666</v>
      </c>
      <c r="G955" s="4">
        <f t="shared" si="89"/>
        <v>0.53541666666569654</v>
      </c>
      <c r="H955" t="str">
        <f t="shared" si="85"/>
        <v>29 min</v>
      </c>
      <c r="I955" t="s">
        <v>2</v>
      </c>
      <c r="J955" t="s">
        <v>229</v>
      </c>
      <c r="K955" t="s">
        <v>231</v>
      </c>
      <c r="L955">
        <v>4</v>
      </c>
      <c r="M955" t="s">
        <v>10</v>
      </c>
      <c r="N955" t="str" cm="1">
        <f t="array" ref="N955">_xlfn.IFS(
    AND(HOUR(A955)&gt;=0, HOUR(A955)&lt;10), "Morning",
    AND(HOUR(A955)&gt;=10, HOUR(A955)&lt;15), "Afternoon",
    AND(HOUR(E955)&gt;=15, HOUR(E955)&lt;19), "Evening",
    AND(HOUR(E955)&gt;=19, HOUR(E955)&lt;=23), "Night"
)</f>
        <v>Afternoon</v>
      </c>
    </row>
    <row r="956" spans="1:14" x14ac:dyDescent="0.25">
      <c r="A956" s="3">
        <v>42687.545138888891</v>
      </c>
      <c r="B956" s="2">
        <f t="shared" si="86"/>
        <v>42687</v>
      </c>
      <c r="C956" t="str">
        <f t="shared" si="87"/>
        <v>November</v>
      </c>
      <c r="D956" t="str">
        <f t="shared" si="88"/>
        <v>Sunday</v>
      </c>
      <c r="E956" t="str">
        <f t="shared" si="84"/>
        <v>01:05:00 PM</v>
      </c>
      <c r="F956" s="3">
        <v>42687.549305555556</v>
      </c>
      <c r="G956" s="4">
        <f t="shared" si="89"/>
        <v>0.54930555555620231</v>
      </c>
      <c r="H956" t="str">
        <f t="shared" si="85"/>
        <v>6 min</v>
      </c>
      <c r="I956" t="s">
        <v>2</v>
      </c>
      <c r="J956" t="s">
        <v>231</v>
      </c>
      <c r="K956" t="s">
        <v>254</v>
      </c>
      <c r="L956">
        <v>0.9</v>
      </c>
      <c r="M956" t="s">
        <v>52</v>
      </c>
      <c r="N956" t="str" cm="1">
        <f t="array" ref="N956">_xlfn.IFS(
    AND(HOUR(A956)&gt;=0, HOUR(A956)&lt;10), "Morning",
    AND(HOUR(A956)&gt;=10, HOUR(A956)&lt;15), "Afternoon",
    AND(HOUR(E956)&gt;=15, HOUR(E956)&lt;19), "Evening",
    AND(HOUR(E956)&gt;=19, HOUR(E956)&lt;=23), "Night"
)</f>
        <v>Afternoon</v>
      </c>
    </row>
    <row r="957" spans="1:14" x14ac:dyDescent="0.25">
      <c r="A957" s="3">
        <v>42687.551388888889</v>
      </c>
      <c r="B957" s="2">
        <f t="shared" si="86"/>
        <v>42687</v>
      </c>
      <c r="C957" t="str">
        <f t="shared" si="87"/>
        <v>November</v>
      </c>
      <c r="D957" t="str">
        <f t="shared" si="88"/>
        <v>Sunday</v>
      </c>
      <c r="E957" t="str">
        <f t="shared" si="84"/>
        <v>01:14:00 PM</v>
      </c>
      <c r="F957" s="3">
        <v>42687.554166666669</v>
      </c>
      <c r="G957" s="4">
        <f t="shared" si="89"/>
        <v>0.55416666666860692</v>
      </c>
      <c r="H957" t="str">
        <f t="shared" si="85"/>
        <v>4 min</v>
      </c>
      <c r="I957" t="s">
        <v>2</v>
      </c>
      <c r="J957" t="s">
        <v>254</v>
      </c>
      <c r="K957" t="s">
        <v>231</v>
      </c>
      <c r="L957">
        <v>0.9</v>
      </c>
      <c r="M957" t="s">
        <v>52</v>
      </c>
      <c r="N957" t="str" cm="1">
        <f t="array" ref="N957">_xlfn.IFS(
    AND(HOUR(A957)&gt;=0, HOUR(A957)&lt;10), "Morning",
    AND(HOUR(A957)&gt;=10, HOUR(A957)&lt;15), "Afternoon",
    AND(HOUR(E957)&gt;=15, HOUR(E957)&lt;19), "Evening",
    AND(HOUR(E957)&gt;=19, HOUR(E957)&lt;=23), "Night"
)</f>
        <v>Afternoon</v>
      </c>
    </row>
    <row r="958" spans="1:14" x14ac:dyDescent="0.25">
      <c r="A958" s="3">
        <v>42687.607638888891</v>
      </c>
      <c r="B958" s="2">
        <f t="shared" si="86"/>
        <v>42687</v>
      </c>
      <c r="C958" t="str">
        <f t="shared" si="87"/>
        <v>November</v>
      </c>
      <c r="D958" t="str">
        <f t="shared" si="88"/>
        <v>Sunday</v>
      </c>
      <c r="E958" t="str">
        <f t="shared" si="84"/>
        <v>02:35:00 PM</v>
      </c>
      <c r="F958" s="3">
        <v>42687.615277777775</v>
      </c>
      <c r="G958" s="4">
        <f t="shared" si="89"/>
        <v>0.61527777777519077</v>
      </c>
      <c r="H958" t="str">
        <f t="shared" si="85"/>
        <v>11 min</v>
      </c>
      <c r="I958" t="s">
        <v>2</v>
      </c>
      <c r="J958" t="s">
        <v>231</v>
      </c>
      <c r="K958" t="s">
        <v>245</v>
      </c>
      <c r="L958">
        <v>2.4</v>
      </c>
      <c r="M958" t="s">
        <v>52</v>
      </c>
      <c r="N958" t="str" cm="1">
        <f t="array" ref="N958">_xlfn.IFS(
    AND(HOUR(A958)&gt;=0, HOUR(A958)&lt;10), "Morning",
    AND(HOUR(A958)&gt;=10, HOUR(A958)&lt;15), "Afternoon",
    AND(HOUR(E958)&gt;=15, HOUR(E958)&lt;19), "Evening",
    AND(HOUR(E958)&gt;=19, HOUR(E958)&lt;=23), "Night"
)</f>
        <v>Afternoon</v>
      </c>
    </row>
    <row r="959" spans="1:14" x14ac:dyDescent="0.25">
      <c r="A959" s="3">
        <v>42687.634722222225</v>
      </c>
      <c r="B959" s="2">
        <f t="shared" si="86"/>
        <v>42687</v>
      </c>
      <c r="C959" t="str">
        <f t="shared" si="87"/>
        <v>November</v>
      </c>
      <c r="D959" t="str">
        <f t="shared" si="88"/>
        <v>Sunday</v>
      </c>
      <c r="E959" t="str">
        <f t="shared" si="84"/>
        <v>03:14:00 PM</v>
      </c>
      <c r="F959" s="3">
        <v>42687.64166666667</v>
      </c>
      <c r="G959" s="4">
        <f t="shared" si="89"/>
        <v>0.64166666667006211</v>
      </c>
      <c r="H959" t="str">
        <f t="shared" si="85"/>
        <v>10 min</v>
      </c>
      <c r="I959" t="s">
        <v>2</v>
      </c>
      <c r="J959" t="s">
        <v>245</v>
      </c>
      <c r="K959" t="s">
        <v>231</v>
      </c>
      <c r="L959">
        <v>1.9</v>
      </c>
      <c r="M959" t="s">
        <v>52</v>
      </c>
      <c r="N959" t="str" cm="1">
        <f t="array" ref="N959">_xlfn.IFS(
    AND(HOUR(A959)&gt;=0, HOUR(A959)&lt;10), "Morning",
    AND(HOUR(A959)&gt;=10, HOUR(A959)&lt;15), "Afternoon",
    AND(HOUR(E959)&gt;=15, HOUR(E959)&lt;19), "Evening",
    AND(HOUR(E959)&gt;=19, HOUR(E959)&lt;=23), "Night"
)</f>
        <v>Evening</v>
      </c>
    </row>
    <row r="960" spans="1:14" x14ac:dyDescent="0.25">
      <c r="A960" s="3">
        <v>42687.657638888886</v>
      </c>
      <c r="B960" s="2">
        <f t="shared" si="86"/>
        <v>42687</v>
      </c>
      <c r="C960" t="str">
        <f t="shared" si="87"/>
        <v>November</v>
      </c>
      <c r="D960" t="str">
        <f t="shared" si="88"/>
        <v>Sunday</v>
      </c>
      <c r="E960" t="str">
        <f t="shared" si="84"/>
        <v>03:47:00 PM</v>
      </c>
      <c r="F960" s="3">
        <v>42687.665972222225</v>
      </c>
      <c r="G960" s="4">
        <f t="shared" si="89"/>
        <v>0.66597222222480923</v>
      </c>
      <c r="H960" t="str">
        <f t="shared" si="85"/>
        <v>12 min</v>
      </c>
      <c r="I960" t="s">
        <v>2</v>
      </c>
      <c r="J960" t="s">
        <v>231</v>
      </c>
      <c r="K960" t="s">
        <v>245</v>
      </c>
      <c r="L960">
        <v>1.9</v>
      </c>
      <c r="M960" t="s">
        <v>52</v>
      </c>
      <c r="N960" t="str" cm="1">
        <f t="array" ref="N960">_xlfn.IFS(
    AND(HOUR(A960)&gt;=0, HOUR(A960)&lt;10), "Morning",
    AND(HOUR(A960)&gt;=10, HOUR(A960)&lt;15), "Afternoon",
    AND(HOUR(E960)&gt;=15, HOUR(E960)&lt;19), "Evening",
    AND(HOUR(E960)&gt;=19, HOUR(E960)&lt;=23), "Night"
)</f>
        <v>Evening</v>
      </c>
    </row>
    <row r="961" spans="1:14" x14ac:dyDescent="0.25">
      <c r="A961" s="3">
        <v>42688.474999999999</v>
      </c>
      <c r="B961" s="2">
        <f t="shared" si="86"/>
        <v>42688</v>
      </c>
      <c r="C961" t="str">
        <f t="shared" si="87"/>
        <v>November</v>
      </c>
      <c r="D961" t="str">
        <f t="shared" si="88"/>
        <v>Monday</v>
      </c>
      <c r="E961" t="str">
        <f t="shared" si="84"/>
        <v>11:24:00 AM</v>
      </c>
      <c r="F961" s="3">
        <v>42688.509027777778</v>
      </c>
      <c r="G961" s="4">
        <f t="shared" si="89"/>
        <v>0.50902777777810115</v>
      </c>
      <c r="H961" t="str">
        <f t="shared" si="85"/>
        <v>49 min</v>
      </c>
      <c r="I961" t="s">
        <v>2</v>
      </c>
      <c r="J961" t="s">
        <v>184</v>
      </c>
      <c r="K961" t="s">
        <v>255</v>
      </c>
      <c r="L961">
        <v>44.6</v>
      </c>
      <c r="M961" t="s">
        <v>7</v>
      </c>
      <c r="N961" t="str" cm="1">
        <f t="array" ref="N961">_xlfn.IFS(
    AND(HOUR(A961)&gt;=0, HOUR(A961)&lt;10), "Morning",
    AND(HOUR(A961)&gt;=10, HOUR(A961)&lt;15), "Afternoon",
    AND(HOUR(E961)&gt;=15, HOUR(E961)&lt;19), "Evening",
    AND(HOUR(E961)&gt;=19, HOUR(E961)&lt;=23), "Night"
)</f>
        <v>Afternoon</v>
      </c>
    </row>
    <row r="962" spans="1:14" x14ac:dyDescent="0.25">
      <c r="A962" s="3">
        <v>42688.569444444445</v>
      </c>
      <c r="B962" s="2">
        <f t="shared" si="86"/>
        <v>42688</v>
      </c>
      <c r="C962" t="str">
        <f t="shared" si="87"/>
        <v>November</v>
      </c>
      <c r="D962" t="str">
        <f t="shared" si="88"/>
        <v>Monday</v>
      </c>
      <c r="E962" t="str">
        <f t="shared" ref="E962:E1025" si="90">TEXT(A962, "hh:mm:ss AM/PM")</f>
        <v>01:40:00 PM</v>
      </c>
      <c r="F962" s="3">
        <v>42688.606249999997</v>
      </c>
      <c r="G962" s="4">
        <f t="shared" si="89"/>
        <v>0.60624999999708962</v>
      </c>
      <c r="H962" t="str">
        <f t="shared" ref="H962:H1025" si="91">HOUR(IF(G962&lt;E962, G962+1-E962, G962-E962))*60 + MINUTE(IF(G962&lt;E962, G962+1-E962, G962-E962)) &amp; " min"</f>
        <v>53 min</v>
      </c>
      <c r="I962" t="s">
        <v>2</v>
      </c>
      <c r="J962" t="s">
        <v>255</v>
      </c>
      <c r="K962" t="s">
        <v>184</v>
      </c>
      <c r="L962">
        <v>43.6</v>
      </c>
      <c r="M962" t="s">
        <v>7</v>
      </c>
      <c r="N962" t="str" cm="1">
        <f t="array" ref="N962">_xlfn.IFS(
    AND(HOUR(A962)&gt;=0, HOUR(A962)&lt;10), "Morning",
    AND(HOUR(A962)&gt;=10, HOUR(A962)&lt;15), "Afternoon",
    AND(HOUR(E962)&gt;=15, HOUR(E962)&lt;19), "Evening",
    AND(HOUR(E962)&gt;=19, HOUR(E962)&lt;=23), "Night"
)</f>
        <v>Afternoon</v>
      </c>
    </row>
    <row r="963" spans="1:14" x14ac:dyDescent="0.25">
      <c r="A963" s="3">
        <v>42688.643750000003</v>
      </c>
      <c r="B963" s="2">
        <f t="shared" ref="B963:B1026" si="92">INT(A963)</f>
        <v>42688</v>
      </c>
      <c r="C963" t="str">
        <f t="shared" ref="C963:C1026" si="93">TEXT(B963, "mmmm")</f>
        <v>November</v>
      </c>
      <c r="D963" t="str">
        <f t="shared" ref="D963:D1026" si="94">TEXT(B963, "dddd")</f>
        <v>Monday</v>
      </c>
      <c r="E963" t="str">
        <f t="shared" si="90"/>
        <v>03:27:00 PM</v>
      </c>
      <c r="F963" s="3">
        <v>42688.65</v>
      </c>
      <c r="G963" s="4">
        <f t="shared" ref="G963:G1026" si="95">F963-INT(F963)</f>
        <v>0.65000000000145519</v>
      </c>
      <c r="H963" t="str">
        <f t="shared" si="91"/>
        <v>9 min</v>
      </c>
      <c r="I963" t="s">
        <v>2</v>
      </c>
      <c r="J963" t="s">
        <v>184</v>
      </c>
      <c r="K963" t="s">
        <v>183</v>
      </c>
      <c r="L963">
        <v>2.5</v>
      </c>
      <c r="M963" t="s">
        <v>52</v>
      </c>
      <c r="N963" t="str" cm="1">
        <f t="array" ref="N963">_xlfn.IFS(
    AND(HOUR(A963)&gt;=0, HOUR(A963)&lt;10), "Morning",
    AND(HOUR(A963)&gt;=10, HOUR(A963)&lt;15), "Afternoon",
    AND(HOUR(E963)&gt;=15, HOUR(E963)&lt;19), "Evening",
    AND(HOUR(E963)&gt;=19, HOUR(E963)&lt;=23), "Night"
)</f>
        <v>Evening</v>
      </c>
    </row>
    <row r="964" spans="1:14" x14ac:dyDescent="0.25">
      <c r="A964" s="3">
        <v>42688.84652777778</v>
      </c>
      <c r="B964" s="2">
        <f t="shared" si="92"/>
        <v>42688</v>
      </c>
      <c r="C964" t="str">
        <f t="shared" si="93"/>
        <v>November</v>
      </c>
      <c r="D964" t="str">
        <f t="shared" si="94"/>
        <v>Monday</v>
      </c>
      <c r="E964" t="str">
        <f t="shared" si="90"/>
        <v>08:19:00 PM</v>
      </c>
      <c r="F964" s="3">
        <v>42688.854166666664</v>
      </c>
      <c r="G964" s="4">
        <f t="shared" si="95"/>
        <v>0.85416666666424135</v>
      </c>
      <c r="H964" t="str">
        <f t="shared" si="91"/>
        <v>11 min</v>
      </c>
      <c r="I964" t="s">
        <v>2</v>
      </c>
      <c r="J964" t="s">
        <v>183</v>
      </c>
      <c r="K964" t="s">
        <v>184</v>
      </c>
      <c r="L964">
        <v>3.7</v>
      </c>
      <c r="M964" t="s">
        <v>8</v>
      </c>
      <c r="N964" t="str" cm="1">
        <f t="array" ref="N964">_xlfn.IFS(
    AND(HOUR(A964)&gt;=0, HOUR(A964)&lt;10), "Morning",
    AND(HOUR(A964)&gt;=10, HOUR(A964)&lt;15), "Afternoon",
    AND(HOUR(E964)&gt;=15, HOUR(E964)&lt;19), "Evening",
    AND(HOUR(E964)&gt;=19, HOUR(E964)&lt;=23), "Night"
)</f>
        <v>Night</v>
      </c>
    </row>
    <row r="965" spans="1:14" x14ac:dyDescent="0.25">
      <c r="A965" s="3">
        <v>42689.582638888889</v>
      </c>
      <c r="B965" s="2">
        <f t="shared" si="92"/>
        <v>42689</v>
      </c>
      <c r="C965" t="str">
        <f t="shared" si="93"/>
        <v>November</v>
      </c>
      <c r="D965" t="str">
        <f t="shared" si="94"/>
        <v>Tuesday</v>
      </c>
      <c r="E965" t="str">
        <f t="shared" si="90"/>
        <v>01:59:00 PM</v>
      </c>
      <c r="F965" s="3">
        <v>42689.587500000001</v>
      </c>
      <c r="G965" s="4">
        <f t="shared" si="95"/>
        <v>0.58750000000145519</v>
      </c>
      <c r="H965" t="str">
        <f t="shared" si="91"/>
        <v>7 min</v>
      </c>
      <c r="I965" t="s">
        <v>2</v>
      </c>
      <c r="J965" t="s">
        <v>184</v>
      </c>
      <c r="K965" t="s">
        <v>182</v>
      </c>
      <c r="L965">
        <v>5.0999999999999996</v>
      </c>
      <c r="M965" t="s">
        <v>52</v>
      </c>
      <c r="N965" t="str" cm="1">
        <f t="array" ref="N965">_xlfn.IFS(
    AND(HOUR(A965)&gt;=0, HOUR(A965)&lt;10), "Morning",
    AND(HOUR(A965)&gt;=10, HOUR(A965)&lt;15), "Afternoon",
    AND(HOUR(E965)&gt;=15, HOUR(E965)&lt;19), "Evening",
    AND(HOUR(E965)&gt;=19, HOUR(E965)&lt;=23), "Night"
)</f>
        <v>Afternoon</v>
      </c>
    </row>
    <row r="966" spans="1:14" x14ac:dyDescent="0.25">
      <c r="A966" s="3">
        <v>42689.589583333334</v>
      </c>
      <c r="B966" s="2">
        <f t="shared" si="92"/>
        <v>42689</v>
      </c>
      <c r="C966" t="str">
        <f t="shared" si="93"/>
        <v>November</v>
      </c>
      <c r="D966" t="str">
        <f t="shared" si="94"/>
        <v>Tuesday</v>
      </c>
      <c r="E966" t="str">
        <f t="shared" si="90"/>
        <v>02:09:00 PM</v>
      </c>
      <c r="F966" s="3">
        <v>42689.601388888892</v>
      </c>
      <c r="G966" s="4">
        <f t="shared" si="95"/>
        <v>0.60138888889196096</v>
      </c>
      <c r="H966" t="str">
        <f t="shared" si="91"/>
        <v>17 min</v>
      </c>
      <c r="I966" t="s">
        <v>2</v>
      </c>
      <c r="J966" t="s">
        <v>182</v>
      </c>
      <c r="K966" t="s">
        <v>160</v>
      </c>
      <c r="L966">
        <v>9.6999999999999993</v>
      </c>
      <c r="M966" t="s">
        <v>11</v>
      </c>
      <c r="N966" t="str" cm="1">
        <f t="array" ref="N966">_xlfn.IFS(
    AND(HOUR(A966)&gt;=0, HOUR(A966)&lt;10), "Morning",
    AND(HOUR(A966)&gt;=10, HOUR(A966)&lt;15), "Afternoon",
    AND(HOUR(E966)&gt;=15, HOUR(E966)&lt;19), "Evening",
    AND(HOUR(E966)&gt;=19, HOUR(E966)&lt;=23), "Night"
)</f>
        <v>Afternoon</v>
      </c>
    </row>
    <row r="967" spans="1:14" x14ac:dyDescent="0.25">
      <c r="A967" s="3">
        <v>42689.863888888889</v>
      </c>
      <c r="B967" s="2">
        <f t="shared" si="92"/>
        <v>42689</v>
      </c>
      <c r="C967" t="str">
        <f t="shared" si="93"/>
        <v>November</v>
      </c>
      <c r="D967" t="str">
        <f t="shared" si="94"/>
        <v>Tuesday</v>
      </c>
      <c r="E967" t="str">
        <f t="shared" si="90"/>
        <v>08:44:00 PM</v>
      </c>
      <c r="F967" s="3">
        <v>42689.875</v>
      </c>
      <c r="G967" s="4">
        <f t="shared" si="95"/>
        <v>0.875</v>
      </c>
      <c r="H967" t="str">
        <f t="shared" si="91"/>
        <v>16 min</v>
      </c>
      <c r="I967" t="s">
        <v>2</v>
      </c>
      <c r="J967" t="s">
        <v>160</v>
      </c>
      <c r="K967" t="s">
        <v>184</v>
      </c>
      <c r="L967">
        <v>11.8</v>
      </c>
      <c r="M967" t="s">
        <v>11</v>
      </c>
      <c r="N967" t="str" cm="1">
        <f t="array" ref="N967">_xlfn.IFS(
    AND(HOUR(A967)&gt;=0, HOUR(A967)&lt;10), "Morning",
    AND(HOUR(A967)&gt;=10, HOUR(A967)&lt;15), "Afternoon",
    AND(HOUR(E967)&gt;=15, HOUR(E967)&lt;19), "Evening",
    AND(HOUR(E967)&gt;=19, HOUR(E967)&lt;=23), "Night"
)</f>
        <v>Night</v>
      </c>
    </row>
    <row r="968" spans="1:14" x14ac:dyDescent="0.25">
      <c r="A968" s="3">
        <v>42690.847916666666</v>
      </c>
      <c r="B968" s="2">
        <f t="shared" si="92"/>
        <v>42690</v>
      </c>
      <c r="C968" t="str">
        <f t="shared" si="93"/>
        <v>November</v>
      </c>
      <c r="D968" t="str">
        <f t="shared" si="94"/>
        <v>Wednesday</v>
      </c>
      <c r="E968" t="str">
        <f t="shared" si="90"/>
        <v>08:21:00 PM</v>
      </c>
      <c r="F968" s="3">
        <v>42690.852083333331</v>
      </c>
      <c r="G968" s="4">
        <f t="shared" si="95"/>
        <v>0.85208333333139308</v>
      </c>
      <c r="H968" t="str">
        <f t="shared" si="91"/>
        <v>6 min</v>
      </c>
      <c r="I968" t="s">
        <v>2</v>
      </c>
      <c r="J968" t="s">
        <v>184</v>
      </c>
      <c r="K968" t="s">
        <v>256</v>
      </c>
      <c r="L968">
        <v>2.2999999999999998</v>
      </c>
      <c r="M968" t="s">
        <v>11</v>
      </c>
      <c r="N968" t="str" cm="1">
        <f t="array" ref="N968">_xlfn.IFS(
    AND(HOUR(A968)&gt;=0, HOUR(A968)&lt;10), "Morning",
    AND(HOUR(A968)&gt;=10, HOUR(A968)&lt;15), "Afternoon",
    AND(HOUR(E968)&gt;=15, HOUR(E968)&lt;19), "Evening",
    AND(HOUR(E968)&gt;=19, HOUR(E968)&lt;=23), "Night"
)</f>
        <v>Night</v>
      </c>
    </row>
    <row r="969" spans="1:14" x14ac:dyDescent="0.25">
      <c r="A969" s="3">
        <v>42690.952777777777</v>
      </c>
      <c r="B969" s="2">
        <f t="shared" si="92"/>
        <v>42690</v>
      </c>
      <c r="C969" t="str">
        <f t="shared" si="93"/>
        <v>November</v>
      </c>
      <c r="D969" t="str">
        <f t="shared" si="94"/>
        <v>Wednesday</v>
      </c>
      <c r="E969" t="str">
        <f t="shared" si="90"/>
        <v>10:52:00 PM</v>
      </c>
      <c r="F969" s="3">
        <v>42690.959722222222</v>
      </c>
      <c r="G969" s="4">
        <f t="shared" si="95"/>
        <v>0.95972222222189885</v>
      </c>
      <c r="H969" t="str">
        <f t="shared" si="91"/>
        <v>10 min</v>
      </c>
      <c r="I969" t="s">
        <v>2</v>
      </c>
      <c r="J969" t="s">
        <v>256</v>
      </c>
      <c r="K969" t="s">
        <v>184</v>
      </c>
      <c r="L969">
        <v>3.1</v>
      </c>
      <c r="M969" t="s">
        <v>9</v>
      </c>
      <c r="N969" t="str" cm="1">
        <f t="array" ref="N969">_xlfn.IFS(
    AND(HOUR(A969)&gt;=0, HOUR(A969)&lt;10), "Morning",
    AND(HOUR(A969)&gt;=10, HOUR(A969)&lt;15), "Afternoon",
    AND(HOUR(E969)&gt;=15, HOUR(E969)&lt;19), "Evening",
    AND(HOUR(E969)&gt;=19, HOUR(E969)&lt;=23), "Night"
)</f>
        <v>Night</v>
      </c>
    </row>
    <row r="970" spans="1:14" x14ac:dyDescent="0.25">
      <c r="A970" s="3">
        <v>42691.425694444442</v>
      </c>
      <c r="B970" s="2">
        <f t="shared" si="92"/>
        <v>42691</v>
      </c>
      <c r="C970" t="str">
        <f t="shared" si="93"/>
        <v>November</v>
      </c>
      <c r="D970" t="str">
        <f t="shared" si="94"/>
        <v>Thursday</v>
      </c>
      <c r="E970" t="str">
        <f t="shared" si="90"/>
        <v>10:13:00 AM</v>
      </c>
      <c r="F970" s="3">
        <v>42691.447222222225</v>
      </c>
      <c r="G970" s="4">
        <f t="shared" si="95"/>
        <v>0.44722222222480923</v>
      </c>
      <c r="H970" t="str">
        <f t="shared" si="91"/>
        <v>31 min</v>
      </c>
      <c r="I970" t="s">
        <v>2</v>
      </c>
      <c r="J970" t="s">
        <v>184</v>
      </c>
      <c r="K970" t="s">
        <v>182</v>
      </c>
      <c r="L970">
        <v>16.3</v>
      </c>
      <c r="M970" t="s">
        <v>7</v>
      </c>
      <c r="N970" t="str" cm="1">
        <f t="array" ref="N970">_xlfn.IFS(
    AND(HOUR(A970)&gt;=0, HOUR(A970)&lt;10), "Morning",
    AND(HOUR(A970)&gt;=10, HOUR(A970)&lt;15), "Afternoon",
    AND(HOUR(E970)&gt;=15, HOUR(E970)&lt;19), "Evening",
    AND(HOUR(E970)&gt;=19, HOUR(E970)&lt;=23), "Night"
)</f>
        <v>Afternoon</v>
      </c>
    </row>
    <row r="971" spans="1:14" x14ac:dyDescent="0.25">
      <c r="A971" s="3">
        <v>42692.839583333334</v>
      </c>
      <c r="B971" s="2">
        <f t="shared" si="92"/>
        <v>42692</v>
      </c>
      <c r="C971" t="str">
        <f t="shared" si="93"/>
        <v>November</v>
      </c>
      <c r="D971" t="str">
        <f t="shared" si="94"/>
        <v>Friday</v>
      </c>
      <c r="E971" t="str">
        <f t="shared" si="90"/>
        <v>08:09:00 PM</v>
      </c>
      <c r="F971" s="3">
        <v>42692.84652777778</v>
      </c>
      <c r="G971" s="4">
        <f t="shared" si="95"/>
        <v>0.84652777777955635</v>
      </c>
      <c r="H971" t="str">
        <f t="shared" si="91"/>
        <v>10 min</v>
      </c>
      <c r="I971" t="s">
        <v>2</v>
      </c>
      <c r="J971" t="s">
        <v>55</v>
      </c>
      <c r="K971" t="s">
        <v>56</v>
      </c>
      <c r="L971">
        <v>3.1</v>
      </c>
      <c r="M971" t="s">
        <v>9</v>
      </c>
      <c r="N971" t="str" cm="1">
        <f t="array" ref="N971">_xlfn.IFS(
    AND(HOUR(A971)&gt;=0, HOUR(A971)&lt;10), "Morning",
    AND(HOUR(A971)&gt;=10, HOUR(A971)&lt;15), "Afternoon",
    AND(HOUR(E971)&gt;=15, HOUR(E971)&lt;19), "Evening",
    AND(HOUR(E971)&gt;=19, HOUR(E971)&lt;=23), "Night"
)</f>
        <v>Night</v>
      </c>
    </row>
    <row r="972" spans="1:14" x14ac:dyDescent="0.25">
      <c r="A972" s="3">
        <v>42692.890972222223</v>
      </c>
      <c r="B972" s="2">
        <f t="shared" si="92"/>
        <v>42692</v>
      </c>
      <c r="C972" t="str">
        <f t="shared" si="93"/>
        <v>November</v>
      </c>
      <c r="D972" t="str">
        <f t="shared" si="94"/>
        <v>Friday</v>
      </c>
      <c r="E972" t="str">
        <f t="shared" si="90"/>
        <v>09:23:00 PM</v>
      </c>
      <c r="F972" s="3">
        <v>42692.898611111108</v>
      </c>
      <c r="G972" s="4">
        <f t="shared" si="95"/>
        <v>0.89861111110803904</v>
      </c>
      <c r="H972" t="str">
        <f t="shared" si="91"/>
        <v>11 min</v>
      </c>
      <c r="I972" t="s">
        <v>2</v>
      </c>
      <c r="J972" t="s">
        <v>56</v>
      </c>
      <c r="K972" t="s">
        <v>55</v>
      </c>
      <c r="L972">
        <v>5.2</v>
      </c>
      <c r="M972" t="s">
        <v>9</v>
      </c>
      <c r="N972" t="str" cm="1">
        <f t="array" ref="N972">_xlfn.IFS(
    AND(HOUR(A972)&gt;=0, HOUR(A972)&lt;10), "Morning",
    AND(HOUR(A972)&gt;=10, HOUR(A972)&lt;15), "Afternoon",
    AND(HOUR(E972)&gt;=15, HOUR(E972)&lt;19), "Evening",
    AND(HOUR(E972)&gt;=19, HOUR(E972)&lt;=23), "Night"
)</f>
        <v>Night</v>
      </c>
    </row>
    <row r="973" spans="1:14" x14ac:dyDescent="0.25">
      <c r="A973" s="3">
        <v>42692.913888888892</v>
      </c>
      <c r="B973" s="2">
        <f t="shared" si="92"/>
        <v>42692</v>
      </c>
      <c r="C973" t="str">
        <f t="shared" si="93"/>
        <v>November</v>
      </c>
      <c r="D973" t="str">
        <f t="shared" si="94"/>
        <v>Friday</v>
      </c>
      <c r="E973" t="str">
        <f t="shared" si="90"/>
        <v>09:56:00 PM</v>
      </c>
      <c r="F973" s="3">
        <v>42692.931250000001</v>
      </c>
      <c r="G973" s="4">
        <f t="shared" si="95"/>
        <v>0.93125000000145519</v>
      </c>
      <c r="H973" t="str">
        <f t="shared" si="91"/>
        <v>25 min</v>
      </c>
      <c r="I973" t="s">
        <v>2</v>
      </c>
      <c r="J973" t="s">
        <v>257</v>
      </c>
      <c r="K973" t="s">
        <v>77</v>
      </c>
      <c r="L973">
        <v>6.1</v>
      </c>
      <c r="M973" t="s">
        <v>10</v>
      </c>
      <c r="N973" t="str" cm="1">
        <f t="array" ref="N973">_xlfn.IFS(
    AND(HOUR(A973)&gt;=0, HOUR(A973)&lt;10), "Morning",
    AND(HOUR(A973)&gt;=10, HOUR(A973)&lt;15), "Afternoon",
    AND(HOUR(E973)&gt;=15, HOUR(E973)&lt;19), "Evening",
    AND(HOUR(E973)&gt;=19, HOUR(E973)&lt;=23), "Night"
)</f>
        <v>Night</v>
      </c>
    </row>
    <row r="974" spans="1:14" x14ac:dyDescent="0.25">
      <c r="A974" s="3">
        <v>42693.57708333333</v>
      </c>
      <c r="B974" s="2">
        <f t="shared" si="92"/>
        <v>42693</v>
      </c>
      <c r="C974" t="str">
        <f t="shared" si="93"/>
        <v>November</v>
      </c>
      <c r="D974" t="str">
        <f t="shared" si="94"/>
        <v>Saturday</v>
      </c>
      <c r="E974" t="str">
        <f t="shared" si="90"/>
        <v>01:51:00 PM</v>
      </c>
      <c r="F974" s="3">
        <v>42693.590277777781</v>
      </c>
      <c r="G974" s="4">
        <f t="shared" si="95"/>
        <v>0.59027777778101154</v>
      </c>
      <c r="H974" t="str">
        <f t="shared" si="91"/>
        <v>19 min</v>
      </c>
      <c r="I974" t="s">
        <v>2</v>
      </c>
      <c r="J974" t="s">
        <v>55</v>
      </c>
      <c r="K974" t="s">
        <v>75</v>
      </c>
      <c r="L974">
        <v>10.3</v>
      </c>
      <c r="M974" t="s">
        <v>10</v>
      </c>
      <c r="N974" t="str" cm="1">
        <f t="array" ref="N974">_xlfn.IFS(
    AND(HOUR(A974)&gt;=0, HOUR(A974)&lt;10), "Morning",
    AND(HOUR(A974)&gt;=10, HOUR(A974)&lt;15), "Afternoon",
    AND(HOUR(E974)&gt;=15, HOUR(E974)&lt;19), "Evening",
    AND(HOUR(E974)&gt;=19, HOUR(E974)&lt;=23), "Night"
)</f>
        <v>Afternoon</v>
      </c>
    </row>
    <row r="975" spans="1:14" x14ac:dyDescent="0.25">
      <c r="A975" s="3">
        <v>42693.604166666664</v>
      </c>
      <c r="B975" s="2">
        <f t="shared" si="92"/>
        <v>42693</v>
      </c>
      <c r="C975" t="str">
        <f t="shared" si="93"/>
        <v>November</v>
      </c>
      <c r="D975" t="str">
        <f t="shared" si="94"/>
        <v>Saturday</v>
      </c>
      <c r="E975" t="str">
        <f t="shared" si="90"/>
        <v>02:30:00 PM</v>
      </c>
      <c r="F975" s="3">
        <v>42693.618750000001</v>
      </c>
      <c r="G975" s="4">
        <f t="shared" si="95"/>
        <v>0.61875000000145519</v>
      </c>
      <c r="H975" t="str">
        <f t="shared" si="91"/>
        <v>21 min</v>
      </c>
      <c r="I975" t="s">
        <v>2</v>
      </c>
      <c r="J975" t="s">
        <v>75</v>
      </c>
      <c r="K975" t="s">
        <v>55</v>
      </c>
      <c r="L975">
        <v>10.5</v>
      </c>
      <c r="M975" t="s">
        <v>10</v>
      </c>
      <c r="N975" t="str" cm="1">
        <f t="array" ref="N975">_xlfn.IFS(
    AND(HOUR(A975)&gt;=0, HOUR(A975)&lt;10), "Morning",
    AND(HOUR(A975)&gt;=10, HOUR(A975)&lt;15), "Afternoon",
    AND(HOUR(E975)&gt;=15, HOUR(E975)&lt;19), "Evening",
    AND(HOUR(E975)&gt;=19, HOUR(E975)&lt;=23), "Night"
)</f>
        <v>Afternoon</v>
      </c>
    </row>
    <row r="976" spans="1:14" x14ac:dyDescent="0.25">
      <c r="A976" s="3">
        <v>42693.667361111111</v>
      </c>
      <c r="B976" s="2">
        <f t="shared" si="92"/>
        <v>42693</v>
      </c>
      <c r="C976" t="str">
        <f t="shared" si="93"/>
        <v>November</v>
      </c>
      <c r="D976" t="str">
        <f t="shared" si="94"/>
        <v>Saturday</v>
      </c>
      <c r="E976" t="str">
        <f t="shared" si="90"/>
        <v>04:01:00 PM</v>
      </c>
      <c r="F976" s="3">
        <v>42693.67083333333</v>
      </c>
      <c r="G976" s="4">
        <f t="shared" si="95"/>
        <v>0.67083333332993789</v>
      </c>
      <c r="H976" t="str">
        <f t="shared" si="91"/>
        <v>5 min</v>
      </c>
      <c r="I976" t="s">
        <v>2</v>
      </c>
      <c r="J976" t="s">
        <v>55</v>
      </c>
      <c r="K976" t="s">
        <v>55</v>
      </c>
      <c r="L976">
        <v>1.5</v>
      </c>
      <c r="M976" t="s">
        <v>52</v>
      </c>
      <c r="N976" t="str" cm="1">
        <f t="array" ref="N976">_xlfn.IFS(
    AND(HOUR(A976)&gt;=0, HOUR(A976)&lt;10), "Morning",
    AND(HOUR(A976)&gt;=10, HOUR(A976)&lt;15), "Afternoon",
    AND(HOUR(E976)&gt;=15, HOUR(E976)&lt;19), "Evening",
    AND(HOUR(E976)&gt;=19, HOUR(E976)&lt;=23), "Night"
)</f>
        <v>Evening</v>
      </c>
    </row>
    <row r="977" spans="1:14" x14ac:dyDescent="0.25">
      <c r="A977" s="3">
        <v>42693.685416666667</v>
      </c>
      <c r="B977" s="2">
        <f t="shared" si="92"/>
        <v>42693</v>
      </c>
      <c r="C977" t="str">
        <f t="shared" si="93"/>
        <v>November</v>
      </c>
      <c r="D977" t="str">
        <f t="shared" si="94"/>
        <v>Saturday</v>
      </c>
      <c r="E977" t="str">
        <f t="shared" si="90"/>
        <v>04:27:00 PM</v>
      </c>
      <c r="F977" s="3">
        <v>42693.695138888892</v>
      </c>
      <c r="G977" s="4">
        <f t="shared" si="95"/>
        <v>0.69513888889196096</v>
      </c>
      <c r="H977" t="str">
        <f t="shared" si="91"/>
        <v>14 min</v>
      </c>
      <c r="I977" t="s">
        <v>2</v>
      </c>
      <c r="J977" t="s">
        <v>55</v>
      </c>
      <c r="K977" t="s">
        <v>55</v>
      </c>
      <c r="L977">
        <v>1.8</v>
      </c>
      <c r="M977" t="s">
        <v>52</v>
      </c>
      <c r="N977" t="str" cm="1">
        <f t="array" ref="N977">_xlfn.IFS(
    AND(HOUR(A977)&gt;=0, HOUR(A977)&lt;10), "Morning",
    AND(HOUR(A977)&gt;=10, HOUR(A977)&lt;15), "Afternoon",
    AND(HOUR(E977)&gt;=15, HOUR(E977)&lt;19), "Evening",
    AND(HOUR(E977)&gt;=19, HOUR(E977)&lt;=23), "Night"
)</f>
        <v>Evening</v>
      </c>
    </row>
    <row r="978" spans="1:14" x14ac:dyDescent="0.25">
      <c r="A978" s="3">
        <v>42693.736805555556</v>
      </c>
      <c r="B978" s="2">
        <f t="shared" si="92"/>
        <v>42693</v>
      </c>
      <c r="C978" t="str">
        <f t="shared" si="93"/>
        <v>November</v>
      </c>
      <c r="D978" t="str">
        <f t="shared" si="94"/>
        <v>Saturday</v>
      </c>
      <c r="E978" t="str">
        <f t="shared" si="90"/>
        <v>05:41:00 PM</v>
      </c>
      <c r="F978" s="3">
        <v>42693.745833333334</v>
      </c>
      <c r="G978" s="4">
        <f t="shared" si="95"/>
        <v>0.74583333333430346</v>
      </c>
      <c r="H978" t="str">
        <f t="shared" si="91"/>
        <v>13 min</v>
      </c>
      <c r="I978" t="s">
        <v>2</v>
      </c>
      <c r="J978" t="s">
        <v>55</v>
      </c>
      <c r="K978" t="s">
        <v>87</v>
      </c>
      <c r="L978">
        <v>5.4</v>
      </c>
      <c r="M978" t="s">
        <v>8</v>
      </c>
      <c r="N978" t="str" cm="1">
        <f t="array" ref="N978">_xlfn.IFS(
    AND(HOUR(A978)&gt;=0, HOUR(A978)&lt;10), "Morning",
    AND(HOUR(A978)&gt;=10, HOUR(A978)&lt;15), "Afternoon",
    AND(HOUR(E978)&gt;=15, HOUR(E978)&lt;19), "Evening",
    AND(HOUR(E978)&gt;=19, HOUR(E978)&lt;=23), "Night"
)</f>
        <v>Evening</v>
      </c>
    </row>
    <row r="979" spans="1:14" x14ac:dyDescent="0.25">
      <c r="A979" s="3">
        <v>42693.884722222225</v>
      </c>
      <c r="B979" s="2">
        <f t="shared" si="92"/>
        <v>42693</v>
      </c>
      <c r="C979" t="str">
        <f t="shared" si="93"/>
        <v>November</v>
      </c>
      <c r="D979" t="str">
        <f t="shared" si="94"/>
        <v>Saturday</v>
      </c>
      <c r="E979" t="str">
        <f t="shared" si="90"/>
        <v>09:14:00 PM</v>
      </c>
      <c r="F979" s="3">
        <v>42693.899305555555</v>
      </c>
      <c r="G979" s="4">
        <f t="shared" si="95"/>
        <v>0.89930555555474712</v>
      </c>
      <c r="H979" t="str">
        <f t="shared" si="91"/>
        <v>21 min</v>
      </c>
      <c r="I979" t="s">
        <v>2</v>
      </c>
      <c r="J979" t="s">
        <v>87</v>
      </c>
      <c r="K979" t="s">
        <v>55</v>
      </c>
      <c r="L979">
        <v>5.4</v>
      </c>
      <c r="M979" t="s">
        <v>7</v>
      </c>
      <c r="N979" t="str" cm="1">
        <f t="array" ref="N979">_xlfn.IFS(
    AND(HOUR(A979)&gt;=0, HOUR(A979)&lt;10), "Morning",
    AND(HOUR(A979)&gt;=10, HOUR(A979)&lt;15), "Afternoon",
    AND(HOUR(E979)&gt;=15, HOUR(E979)&lt;19), "Evening",
    AND(HOUR(E979)&gt;=19, HOUR(E979)&lt;=23), "Night"
)</f>
        <v>Night</v>
      </c>
    </row>
    <row r="980" spans="1:14" x14ac:dyDescent="0.25">
      <c r="A980" s="3">
        <v>42694.435416666667</v>
      </c>
      <c r="B980" s="2">
        <f t="shared" si="92"/>
        <v>42694</v>
      </c>
      <c r="C980" t="str">
        <f t="shared" si="93"/>
        <v>November</v>
      </c>
      <c r="D980" t="str">
        <f t="shared" si="94"/>
        <v>Sunday</v>
      </c>
      <c r="E980" t="str">
        <f t="shared" si="90"/>
        <v>10:27:00 AM</v>
      </c>
      <c r="F980" s="3">
        <v>42694.480555555558</v>
      </c>
      <c r="G980" s="4">
        <f t="shared" si="95"/>
        <v>0.4805555555576575</v>
      </c>
      <c r="H980" t="str">
        <f t="shared" si="91"/>
        <v>65 min</v>
      </c>
      <c r="I980" t="s">
        <v>2</v>
      </c>
      <c r="J980" t="s">
        <v>55</v>
      </c>
      <c r="K980" t="s">
        <v>55</v>
      </c>
      <c r="L980">
        <v>39.200000000000003</v>
      </c>
      <c r="M980" t="s">
        <v>6</v>
      </c>
      <c r="N980" t="str" cm="1">
        <f t="array" ref="N980">_xlfn.IFS(
    AND(HOUR(A980)&gt;=0, HOUR(A980)&lt;10), "Morning",
    AND(HOUR(A980)&gt;=10, HOUR(A980)&lt;15), "Afternoon",
    AND(HOUR(E980)&gt;=15, HOUR(E980)&lt;19), "Evening",
    AND(HOUR(E980)&gt;=19, HOUR(E980)&lt;=23), "Night"
)</f>
        <v>Afternoon</v>
      </c>
    </row>
    <row r="981" spans="1:14" x14ac:dyDescent="0.25">
      <c r="A981" s="3">
        <v>42694.498611111114</v>
      </c>
      <c r="B981" s="2">
        <f t="shared" si="92"/>
        <v>42694</v>
      </c>
      <c r="C981" t="str">
        <f t="shared" si="93"/>
        <v>November</v>
      </c>
      <c r="D981" t="str">
        <f t="shared" si="94"/>
        <v>Sunday</v>
      </c>
      <c r="E981" t="str">
        <f t="shared" si="90"/>
        <v>11:58:00 AM</v>
      </c>
      <c r="F981" s="3">
        <v>42694.519444444442</v>
      </c>
      <c r="G981" s="4">
        <f t="shared" si="95"/>
        <v>0.5194444444423425</v>
      </c>
      <c r="H981" t="str">
        <f t="shared" si="91"/>
        <v>30 min</v>
      </c>
      <c r="I981" t="s">
        <v>2</v>
      </c>
      <c r="J981" t="s">
        <v>55</v>
      </c>
      <c r="K981" t="s">
        <v>55</v>
      </c>
      <c r="L981">
        <v>6.4</v>
      </c>
      <c r="M981" t="s">
        <v>7</v>
      </c>
      <c r="N981" t="str" cm="1">
        <f t="array" ref="N981">_xlfn.IFS(
    AND(HOUR(A981)&gt;=0, HOUR(A981)&lt;10), "Morning",
    AND(HOUR(A981)&gt;=10, HOUR(A981)&lt;15), "Afternoon",
    AND(HOUR(E981)&gt;=15, HOUR(E981)&lt;19), "Evening",
    AND(HOUR(E981)&gt;=19, HOUR(E981)&lt;=23), "Night"
)</f>
        <v>Afternoon</v>
      </c>
    </row>
    <row r="982" spans="1:14" x14ac:dyDescent="0.25">
      <c r="A982" s="3">
        <v>42694.623611111114</v>
      </c>
      <c r="B982" s="2">
        <f t="shared" si="92"/>
        <v>42694</v>
      </c>
      <c r="C982" t="str">
        <f t="shared" si="93"/>
        <v>November</v>
      </c>
      <c r="D982" t="str">
        <f t="shared" si="94"/>
        <v>Sunday</v>
      </c>
      <c r="E982" t="str">
        <f t="shared" si="90"/>
        <v>02:58:00 PM</v>
      </c>
      <c r="F982" s="3">
        <v>42694.629861111112</v>
      </c>
      <c r="G982" s="4">
        <f t="shared" si="95"/>
        <v>0.62986111111240461</v>
      </c>
      <c r="H982" t="str">
        <f t="shared" si="91"/>
        <v>9 min</v>
      </c>
      <c r="I982" t="s">
        <v>2</v>
      </c>
      <c r="J982" t="s">
        <v>55</v>
      </c>
      <c r="K982" t="s">
        <v>55</v>
      </c>
      <c r="L982">
        <v>2.7</v>
      </c>
      <c r="M982" t="s">
        <v>10</v>
      </c>
      <c r="N982" t="str" cm="1">
        <f t="array" ref="N982">_xlfn.IFS(
    AND(HOUR(A982)&gt;=0, HOUR(A982)&lt;10), "Morning",
    AND(HOUR(A982)&gt;=10, HOUR(A982)&lt;15), "Afternoon",
    AND(HOUR(E982)&gt;=15, HOUR(E982)&lt;19), "Evening",
    AND(HOUR(E982)&gt;=19, HOUR(E982)&lt;=23), "Night"
)</f>
        <v>Afternoon</v>
      </c>
    </row>
    <row r="983" spans="1:14" x14ac:dyDescent="0.25">
      <c r="A983" s="3">
        <v>42694.739583333336</v>
      </c>
      <c r="B983" s="2">
        <f t="shared" si="92"/>
        <v>42694</v>
      </c>
      <c r="C983" t="str">
        <f t="shared" si="93"/>
        <v>November</v>
      </c>
      <c r="D983" t="str">
        <f t="shared" si="94"/>
        <v>Sunday</v>
      </c>
      <c r="E983" t="str">
        <f t="shared" si="90"/>
        <v>05:45:00 PM</v>
      </c>
      <c r="F983" s="3">
        <v>42694.775694444441</v>
      </c>
      <c r="G983" s="4">
        <f t="shared" si="95"/>
        <v>0.77569444444088731</v>
      </c>
      <c r="H983" t="str">
        <f t="shared" si="91"/>
        <v>52 min</v>
      </c>
      <c r="I983" t="s">
        <v>2</v>
      </c>
      <c r="J983" t="s">
        <v>55</v>
      </c>
      <c r="K983" t="s">
        <v>55</v>
      </c>
      <c r="L983">
        <v>18.5</v>
      </c>
      <c r="M983" t="s">
        <v>8</v>
      </c>
      <c r="N983" t="str" cm="1">
        <f t="array" ref="N983">_xlfn.IFS(
    AND(HOUR(A983)&gt;=0, HOUR(A983)&lt;10), "Morning",
    AND(HOUR(A983)&gt;=10, HOUR(A983)&lt;15), "Afternoon",
    AND(HOUR(E983)&gt;=15, HOUR(E983)&lt;19), "Evening",
    AND(HOUR(E983)&gt;=19, HOUR(E983)&lt;=23), "Night"
)</f>
        <v>Evening</v>
      </c>
    </row>
    <row r="984" spans="1:14" x14ac:dyDescent="0.25">
      <c r="A984" s="3">
        <v>42695.567361111112</v>
      </c>
      <c r="B984" s="2">
        <f t="shared" si="92"/>
        <v>42695</v>
      </c>
      <c r="C984" t="str">
        <f t="shared" si="93"/>
        <v>November</v>
      </c>
      <c r="D984" t="str">
        <f t="shared" si="94"/>
        <v>Monday</v>
      </c>
      <c r="E984" t="str">
        <f t="shared" si="90"/>
        <v>01:37:00 PM</v>
      </c>
      <c r="F984" s="3">
        <v>42695.575694444444</v>
      </c>
      <c r="G984" s="4">
        <f t="shared" si="95"/>
        <v>0.57569444444379769</v>
      </c>
      <c r="H984" t="str">
        <f t="shared" si="91"/>
        <v>12 min</v>
      </c>
      <c r="I984" t="s">
        <v>2</v>
      </c>
      <c r="J984" t="s">
        <v>55</v>
      </c>
      <c r="K984" t="s">
        <v>55</v>
      </c>
      <c r="L984">
        <v>2.5</v>
      </c>
      <c r="M984" t="s">
        <v>9</v>
      </c>
      <c r="N984" t="str" cm="1">
        <f t="array" ref="N984">_xlfn.IFS(
    AND(HOUR(A984)&gt;=0, HOUR(A984)&lt;10), "Morning",
    AND(HOUR(A984)&gt;=10, HOUR(A984)&lt;15), "Afternoon",
    AND(HOUR(E984)&gt;=15, HOUR(E984)&lt;19), "Evening",
    AND(HOUR(E984)&gt;=19, HOUR(E984)&lt;=23), "Night"
)</f>
        <v>Afternoon</v>
      </c>
    </row>
    <row r="985" spans="1:14" x14ac:dyDescent="0.25">
      <c r="A985" s="3">
        <v>42695.606944444444</v>
      </c>
      <c r="B985" s="2">
        <f t="shared" si="92"/>
        <v>42695</v>
      </c>
      <c r="C985" t="str">
        <f t="shared" si="93"/>
        <v>November</v>
      </c>
      <c r="D985" t="str">
        <f t="shared" si="94"/>
        <v>Monday</v>
      </c>
      <c r="E985" t="str">
        <f t="shared" si="90"/>
        <v>02:34:00 PM</v>
      </c>
      <c r="F985" s="3">
        <v>42695.613888888889</v>
      </c>
      <c r="G985" s="4">
        <f t="shared" si="95"/>
        <v>0.61388888888905058</v>
      </c>
      <c r="H985" t="str">
        <f t="shared" si="91"/>
        <v>10 min</v>
      </c>
      <c r="I985" t="s">
        <v>2</v>
      </c>
      <c r="J985" t="s">
        <v>55</v>
      </c>
      <c r="K985" t="s">
        <v>55</v>
      </c>
      <c r="L985">
        <v>2.1</v>
      </c>
      <c r="M985" t="s">
        <v>9</v>
      </c>
      <c r="N985" t="str" cm="1">
        <f t="array" ref="N985">_xlfn.IFS(
    AND(HOUR(A985)&gt;=0, HOUR(A985)&lt;10), "Morning",
    AND(HOUR(A985)&gt;=10, HOUR(A985)&lt;15), "Afternoon",
    AND(HOUR(E985)&gt;=15, HOUR(E985)&lt;19), "Evening",
    AND(HOUR(E985)&gt;=19, HOUR(E985)&lt;=23), "Night"
)</f>
        <v>Afternoon</v>
      </c>
    </row>
    <row r="986" spans="1:14" x14ac:dyDescent="0.25">
      <c r="A986" s="3">
        <v>42695.743055555555</v>
      </c>
      <c r="B986" s="2">
        <f t="shared" si="92"/>
        <v>42695</v>
      </c>
      <c r="C986" t="str">
        <f t="shared" si="93"/>
        <v>November</v>
      </c>
      <c r="D986" t="str">
        <f t="shared" si="94"/>
        <v>Monday</v>
      </c>
      <c r="E986" t="str">
        <f t="shared" si="90"/>
        <v>05:50:00 PM</v>
      </c>
      <c r="F986" s="3">
        <v>42695.75277777778</v>
      </c>
      <c r="G986" s="4">
        <f t="shared" si="95"/>
        <v>0.75277777777955635</v>
      </c>
      <c r="H986" t="str">
        <f t="shared" si="91"/>
        <v>14 min</v>
      </c>
      <c r="I986" t="s">
        <v>2</v>
      </c>
      <c r="J986" t="s">
        <v>55</v>
      </c>
      <c r="K986" t="s">
        <v>102</v>
      </c>
      <c r="L986">
        <v>6.7</v>
      </c>
      <c r="M986" t="s">
        <v>8</v>
      </c>
      <c r="N986" t="str" cm="1">
        <f t="array" ref="N986">_xlfn.IFS(
    AND(HOUR(A986)&gt;=0, HOUR(A986)&lt;10), "Morning",
    AND(HOUR(A986)&gt;=10, HOUR(A986)&lt;15), "Afternoon",
    AND(HOUR(E986)&gt;=15, HOUR(E986)&lt;19), "Evening",
    AND(HOUR(E986)&gt;=19, HOUR(E986)&lt;=23), "Night"
)</f>
        <v>Evening</v>
      </c>
    </row>
    <row r="987" spans="1:14" x14ac:dyDescent="0.25">
      <c r="A987" s="3">
        <v>42695.762499999997</v>
      </c>
      <c r="B987" s="2">
        <f t="shared" si="92"/>
        <v>42695</v>
      </c>
      <c r="C987" t="str">
        <f t="shared" si="93"/>
        <v>November</v>
      </c>
      <c r="D987" t="str">
        <f t="shared" si="94"/>
        <v>Monday</v>
      </c>
      <c r="E987" t="str">
        <f t="shared" si="90"/>
        <v>06:18:00 PM</v>
      </c>
      <c r="F987" s="3">
        <v>42695.768750000003</v>
      </c>
      <c r="G987" s="4">
        <f t="shared" si="95"/>
        <v>0.76875000000291038</v>
      </c>
      <c r="H987" t="str">
        <f t="shared" si="91"/>
        <v>9 min</v>
      </c>
      <c r="I987" t="s">
        <v>2</v>
      </c>
      <c r="J987" t="s">
        <v>102</v>
      </c>
      <c r="K987" t="s">
        <v>56</v>
      </c>
      <c r="L987">
        <v>3.5</v>
      </c>
      <c r="M987" t="s">
        <v>9</v>
      </c>
      <c r="N987" t="str" cm="1">
        <f t="array" ref="N987">_xlfn.IFS(
    AND(HOUR(A987)&gt;=0, HOUR(A987)&lt;10), "Morning",
    AND(HOUR(A987)&gt;=10, HOUR(A987)&lt;15), "Afternoon",
    AND(HOUR(E987)&gt;=15, HOUR(E987)&lt;19), "Evening",
    AND(HOUR(E987)&gt;=19, HOUR(E987)&lt;=23), "Night"
)</f>
        <v>Evening</v>
      </c>
    </row>
    <row r="988" spans="1:14" x14ac:dyDescent="0.25">
      <c r="A988" s="3">
        <v>42695.779861111114</v>
      </c>
      <c r="B988" s="2">
        <f t="shared" si="92"/>
        <v>42695</v>
      </c>
      <c r="C988" t="str">
        <f t="shared" si="93"/>
        <v>November</v>
      </c>
      <c r="D988" t="str">
        <f t="shared" si="94"/>
        <v>Monday</v>
      </c>
      <c r="E988" t="str">
        <f t="shared" si="90"/>
        <v>06:43:00 PM</v>
      </c>
      <c r="F988" s="3">
        <v>42695.785416666666</v>
      </c>
      <c r="G988" s="4">
        <f t="shared" si="95"/>
        <v>0.78541666666569654</v>
      </c>
      <c r="H988" t="str">
        <f t="shared" si="91"/>
        <v>8 min</v>
      </c>
      <c r="I988" t="s">
        <v>2</v>
      </c>
      <c r="J988" t="s">
        <v>56</v>
      </c>
      <c r="K988" t="s">
        <v>55</v>
      </c>
      <c r="L988">
        <v>3.4</v>
      </c>
      <c r="M988" t="s">
        <v>8</v>
      </c>
      <c r="N988" t="str" cm="1">
        <f t="array" ref="N988">_xlfn.IFS(
    AND(HOUR(A988)&gt;=0, HOUR(A988)&lt;10), "Morning",
    AND(HOUR(A988)&gt;=10, HOUR(A988)&lt;15), "Afternoon",
    AND(HOUR(E988)&gt;=15, HOUR(E988)&lt;19), "Evening",
    AND(HOUR(E988)&gt;=19, HOUR(E988)&lt;=23), "Night"
)</f>
        <v>Evening</v>
      </c>
    </row>
    <row r="989" spans="1:14" x14ac:dyDescent="0.25">
      <c r="A989" s="3">
        <v>42696.633333333331</v>
      </c>
      <c r="B989" s="2">
        <f t="shared" si="92"/>
        <v>42696</v>
      </c>
      <c r="C989" t="str">
        <f t="shared" si="93"/>
        <v>November</v>
      </c>
      <c r="D989" t="str">
        <f t="shared" si="94"/>
        <v>Tuesday</v>
      </c>
      <c r="E989" t="str">
        <f t="shared" si="90"/>
        <v>03:12:00 PM</v>
      </c>
      <c r="F989" s="3">
        <v>42696.643750000003</v>
      </c>
      <c r="G989" s="4">
        <f t="shared" si="95"/>
        <v>0.64375000000291038</v>
      </c>
      <c r="H989" t="str">
        <f t="shared" si="91"/>
        <v>15 min</v>
      </c>
      <c r="I989" t="s">
        <v>2</v>
      </c>
      <c r="J989" t="s">
        <v>55</v>
      </c>
      <c r="K989" t="s">
        <v>55</v>
      </c>
      <c r="L989">
        <v>5.5</v>
      </c>
      <c r="M989" t="s">
        <v>10</v>
      </c>
      <c r="N989" t="str" cm="1">
        <f t="array" ref="N989">_xlfn.IFS(
    AND(HOUR(A989)&gt;=0, HOUR(A989)&lt;10), "Morning",
    AND(HOUR(A989)&gt;=10, HOUR(A989)&lt;15), "Afternoon",
    AND(HOUR(E989)&gt;=15, HOUR(E989)&lt;19), "Evening",
    AND(HOUR(E989)&gt;=19, HOUR(E989)&lt;=23), "Night"
)</f>
        <v>Evening</v>
      </c>
    </row>
    <row r="990" spans="1:14" x14ac:dyDescent="0.25">
      <c r="A990" s="3">
        <v>42696.646527777775</v>
      </c>
      <c r="B990" s="2">
        <f t="shared" si="92"/>
        <v>42696</v>
      </c>
      <c r="C990" t="str">
        <f t="shared" si="93"/>
        <v>November</v>
      </c>
      <c r="D990" t="str">
        <f t="shared" si="94"/>
        <v>Tuesday</v>
      </c>
      <c r="E990" t="str">
        <f t="shared" si="90"/>
        <v>03:31:00 PM</v>
      </c>
      <c r="F990" s="3">
        <v>42696.655555555553</v>
      </c>
      <c r="G990" s="4">
        <f t="shared" si="95"/>
        <v>0.65555555555329192</v>
      </c>
      <c r="H990" t="str">
        <f t="shared" si="91"/>
        <v>13 min</v>
      </c>
      <c r="I990" t="s">
        <v>2</v>
      </c>
      <c r="J990" t="s">
        <v>55</v>
      </c>
      <c r="K990" t="s">
        <v>55</v>
      </c>
      <c r="L990">
        <v>4.0999999999999996</v>
      </c>
      <c r="M990" t="s">
        <v>10</v>
      </c>
      <c r="N990" t="str" cm="1">
        <f t="array" ref="N990">_xlfn.IFS(
    AND(HOUR(A990)&gt;=0, HOUR(A990)&lt;10), "Morning",
    AND(HOUR(A990)&gt;=10, HOUR(A990)&lt;15), "Afternoon",
    AND(HOUR(E990)&gt;=15, HOUR(E990)&lt;19), "Evening",
    AND(HOUR(E990)&gt;=19, HOUR(E990)&lt;=23), "Night"
)</f>
        <v>Evening</v>
      </c>
    </row>
    <row r="991" spans="1:14" x14ac:dyDescent="0.25">
      <c r="A991" s="3">
        <v>42696.660416666666</v>
      </c>
      <c r="B991" s="2">
        <f t="shared" si="92"/>
        <v>42696</v>
      </c>
      <c r="C991" t="str">
        <f t="shared" si="93"/>
        <v>November</v>
      </c>
      <c r="D991" t="str">
        <f t="shared" si="94"/>
        <v>Tuesday</v>
      </c>
      <c r="E991" t="str">
        <f t="shared" si="90"/>
        <v>03:51:00 PM</v>
      </c>
      <c r="F991" s="3">
        <v>42696.696527777778</v>
      </c>
      <c r="G991" s="4">
        <f t="shared" si="95"/>
        <v>0.69652777777810115</v>
      </c>
      <c r="H991" t="str">
        <f t="shared" si="91"/>
        <v>52 min</v>
      </c>
      <c r="I991" t="s">
        <v>2</v>
      </c>
      <c r="J991" t="s">
        <v>55</v>
      </c>
      <c r="K991" t="s">
        <v>55</v>
      </c>
      <c r="L991">
        <v>12.7</v>
      </c>
      <c r="M991" t="s">
        <v>7</v>
      </c>
      <c r="N991" t="str" cm="1">
        <f t="array" ref="N991">_xlfn.IFS(
    AND(HOUR(A991)&gt;=0, HOUR(A991)&lt;10), "Morning",
    AND(HOUR(A991)&gt;=10, HOUR(A991)&lt;15), "Afternoon",
    AND(HOUR(E991)&gt;=15, HOUR(E991)&lt;19), "Evening",
    AND(HOUR(E991)&gt;=19, HOUR(E991)&lt;=23), "Night"
)</f>
        <v>Evening</v>
      </c>
    </row>
    <row r="992" spans="1:14" x14ac:dyDescent="0.25">
      <c r="A992" s="3">
        <v>42696.762499999997</v>
      </c>
      <c r="B992" s="2">
        <f t="shared" si="92"/>
        <v>42696</v>
      </c>
      <c r="C992" t="str">
        <f t="shared" si="93"/>
        <v>November</v>
      </c>
      <c r="D992" t="str">
        <f t="shared" si="94"/>
        <v>Tuesday</v>
      </c>
      <c r="E992" t="str">
        <f t="shared" si="90"/>
        <v>06:18:00 PM</v>
      </c>
      <c r="F992" s="3">
        <v>42696.769444444442</v>
      </c>
      <c r="G992" s="4">
        <f t="shared" si="95"/>
        <v>0.7694444444423425</v>
      </c>
      <c r="H992" t="str">
        <f t="shared" si="91"/>
        <v>10 min</v>
      </c>
      <c r="I992" t="s">
        <v>2</v>
      </c>
      <c r="J992" t="s">
        <v>55</v>
      </c>
      <c r="K992" t="s">
        <v>56</v>
      </c>
      <c r="L992">
        <v>3</v>
      </c>
      <c r="M992" t="s">
        <v>9</v>
      </c>
      <c r="N992" t="str" cm="1">
        <f t="array" ref="N992">_xlfn.IFS(
    AND(HOUR(A992)&gt;=0, HOUR(A992)&lt;10), "Morning",
    AND(HOUR(A992)&gt;=10, HOUR(A992)&lt;15), "Afternoon",
    AND(HOUR(E992)&gt;=15, HOUR(E992)&lt;19), "Evening",
    AND(HOUR(E992)&gt;=19, HOUR(E992)&lt;=23), "Night"
)</f>
        <v>Evening</v>
      </c>
    </row>
    <row r="993" spans="1:14" x14ac:dyDescent="0.25">
      <c r="A993" s="3">
        <v>42696.876388888886</v>
      </c>
      <c r="B993" s="2">
        <f t="shared" si="92"/>
        <v>42696</v>
      </c>
      <c r="C993" t="str">
        <f t="shared" si="93"/>
        <v>November</v>
      </c>
      <c r="D993" t="str">
        <f t="shared" si="94"/>
        <v>Tuesday</v>
      </c>
      <c r="E993" t="str">
        <f t="shared" si="90"/>
        <v>09:02:00 PM</v>
      </c>
      <c r="F993" s="3">
        <v>42696.884722222225</v>
      </c>
      <c r="G993" s="4">
        <f t="shared" si="95"/>
        <v>0.88472222222480923</v>
      </c>
      <c r="H993" t="str">
        <f t="shared" si="91"/>
        <v>12 min</v>
      </c>
      <c r="I993" t="s">
        <v>2</v>
      </c>
      <c r="J993" t="s">
        <v>56</v>
      </c>
      <c r="K993" t="s">
        <v>55</v>
      </c>
      <c r="L993">
        <v>3.5</v>
      </c>
      <c r="M993" t="s">
        <v>7</v>
      </c>
      <c r="N993" t="str" cm="1">
        <f t="array" ref="N993">_xlfn.IFS(
    AND(HOUR(A993)&gt;=0, HOUR(A993)&lt;10), "Morning",
    AND(HOUR(A993)&gt;=10, HOUR(A993)&lt;15), "Afternoon",
    AND(HOUR(E993)&gt;=15, HOUR(E993)&lt;19), "Evening",
    AND(HOUR(E993)&gt;=19, HOUR(E993)&lt;=23), "Night"
)</f>
        <v>Night</v>
      </c>
    </row>
    <row r="994" spans="1:14" x14ac:dyDescent="0.25">
      <c r="A994" s="3">
        <v>42697.648611111108</v>
      </c>
      <c r="B994" s="2">
        <f t="shared" si="92"/>
        <v>42697</v>
      </c>
      <c r="C994" t="str">
        <f t="shared" si="93"/>
        <v>November</v>
      </c>
      <c r="D994" t="str">
        <f t="shared" si="94"/>
        <v>Wednesday</v>
      </c>
      <c r="E994" t="str">
        <f t="shared" si="90"/>
        <v>03:34:00 PM</v>
      </c>
      <c r="F994" s="3">
        <v>42697.659722222219</v>
      </c>
      <c r="G994" s="4">
        <f t="shared" si="95"/>
        <v>0.65972222221898846</v>
      </c>
      <c r="H994" t="str">
        <f t="shared" si="91"/>
        <v>16 min</v>
      </c>
      <c r="I994" t="s">
        <v>2</v>
      </c>
      <c r="J994" t="s">
        <v>55</v>
      </c>
      <c r="K994" t="s">
        <v>55</v>
      </c>
      <c r="L994">
        <v>5.9</v>
      </c>
      <c r="M994" t="s">
        <v>9</v>
      </c>
      <c r="N994" t="str" cm="1">
        <f t="array" ref="N994">_xlfn.IFS(
    AND(HOUR(A994)&gt;=0, HOUR(A994)&lt;10), "Morning",
    AND(HOUR(A994)&gt;=10, HOUR(A994)&lt;15), "Afternoon",
    AND(HOUR(E994)&gt;=15, HOUR(E994)&lt;19), "Evening",
    AND(HOUR(E994)&gt;=19, HOUR(E994)&lt;=23), "Night"
)</f>
        <v>Evening</v>
      </c>
    </row>
    <row r="995" spans="1:14" x14ac:dyDescent="0.25">
      <c r="A995" s="3">
        <v>42697.679166666669</v>
      </c>
      <c r="B995" s="2">
        <f t="shared" si="92"/>
        <v>42697</v>
      </c>
      <c r="C995" t="str">
        <f t="shared" si="93"/>
        <v>November</v>
      </c>
      <c r="D995" t="str">
        <f t="shared" si="94"/>
        <v>Wednesday</v>
      </c>
      <c r="E995" t="str">
        <f t="shared" si="90"/>
        <v>04:18:00 PM</v>
      </c>
      <c r="F995" s="3">
        <v>42697.686805555553</v>
      </c>
      <c r="G995" s="4">
        <f t="shared" si="95"/>
        <v>0.68680555555329192</v>
      </c>
      <c r="H995" t="str">
        <f t="shared" si="91"/>
        <v>11 min</v>
      </c>
      <c r="I995" t="s">
        <v>2</v>
      </c>
      <c r="J995" t="s">
        <v>55</v>
      </c>
      <c r="K995" t="s">
        <v>55</v>
      </c>
      <c r="L995">
        <v>1.9</v>
      </c>
      <c r="M995" t="s">
        <v>52</v>
      </c>
      <c r="N995" t="str" cm="1">
        <f t="array" ref="N995">_xlfn.IFS(
    AND(HOUR(A995)&gt;=0, HOUR(A995)&lt;10), "Morning",
    AND(HOUR(A995)&gt;=10, HOUR(A995)&lt;15), "Afternoon",
    AND(HOUR(E995)&gt;=15, HOUR(E995)&lt;19), "Evening",
    AND(HOUR(E995)&gt;=19, HOUR(E995)&lt;=23), "Night"
)</f>
        <v>Evening</v>
      </c>
    </row>
    <row r="996" spans="1:14" x14ac:dyDescent="0.25">
      <c r="A996" s="3">
        <v>42697.700694444444</v>
      </c>
      <c r="B996" s="2">
        <f t="shared" si="92"/>
        <v>42697</v>
      </c>
      <c r="C996" t="str">
        <f t="shared" si="93"/>
        <v>November</v>
      </c>
      <c r="D996" t="str">
        <f t="shared" si="94"/>
        <v>Wednesday</v>
      </c>
      <c r="E996" t="str">
        <f t="shared" si="90"/>
        <v>04:49:00 PM</v>
      </c>
      <c r="F996" s="3">
        <v>42697.708333333336</v>
      </c>
      <c r="G996" s="4">
        <f t="shared" si="95"/>
        <v>0.70833333333575865</v>
      </c>
      <c r="H996" t="str">
        <f t="shared" si="91"/>
        <v>11 min</v>
      </c>
      <c r="I996" t="s">
        <v>2</v>
      </c>
      <c r="J996" t="s">
        <v>55</v>
      </c>
      <c r="K996" t="s">
        <v>55</v>
      </c>
      <c r="L996">
        <v>3.3</v>
      </c>
      <c r="M996" t="s">
        <v>52</v>
      </c>
      <c r="N996" t="str" cm="1">
        <f t="array" ref="N996">_xlfn.IFS(
    AND(HOUR(A996)&gt;=0, HOUR(A996)&lt;10), "Morning",
    AND(HOUR(A996)&gt;=10, HOUR(A996)&lt;15), "Afternoon",
    AND(HOUR(E996)&gt;=15, HOUR(E996)&lt;19), "Evening",
    AND(HOUR(E996)&gt;=19, HOUR(E996)&lt;=23), "Night"
)</f>
        <v>Evening</v>
      </c>
    </row>
    <row r="997" spans="1:14" x14ac:dyDescent="0.25">
      <c r="A997" s="3">
        <v>42697.775694444441</v>
      </c>
      <c r="B997" s="2">
        <f t="shared" si="92"/>
        <v>42697</v>
      </c>
      <c r="C997" t="str">
        <f t="shared" si="93"/>
        <v>November</v>
      </c>
      <c r="D997" t="str">
        <f t="shared" si="94"/>
        <v>Wednesday</v>
      </c>
      <c r="E997" t="str">
        <f t="shared" si="90"/>
        <v>06:37:00 PM</v>
      </c>
      <c r="F997" s="3">
        <v>42697.782638888886</v>
      </c>
      <c r="G997" s="4">
        <f t="shared" si="95"/>
        <v>0.78263888888614019</v>
      </c>
      <c r="H997" t="str">
        <f t="shared" si="91"/>
        <v>10 min</v>
      </c>
      <c r="I997" t="s">
        <v>2</v>
      </c>
      <c r="J997" t="s">
        <v>55</v>
      </c>
      <c r="K997" t="s">
        <v>55</v>
      </c>
      <c r="L997">
        <v>1.3</v>
      </c>
      <c r="M997" t="s">
        <v>52</v>
      </c>
      <c r="N997" t="str" cm="1">
        <f t="array" ref="N997">_xlfn.IFS(
    AND(HOUR(A997)&gt;=0, HOUR(A997)&lt;10), "Morning",
    AND(HOUR(A997)&gt;=10, HOUR(A997)&lt;15), "Afternoon",
    AND(HOUR(E997)&gt;=15, HOUR(E997)&lt;19), "Evening",
    AND(HOUR(E997)&gt;=19, HOUR(E997)&lt;=23), "Night"
)</f>
        <v>Evening</v>
      </c>
    </row>
    <row r="998" spans="1:14" x14ac:dyDescent="0.25">
      <c r="A998" s="3">
        <v>42699.490972222222</v>
      </c>
      <c r="B998" s="2">
        <f t="shared" si="92"/>
        <v>42699</v>
      </c>
      <c r="C998" t="str">
        <f t="shared" si="93"/>
        <v>November</v>
      </c>
      <c r="D998" t="str">
        <f t="shared" si="94"/>
        <v>Friday</v>
      </c>
      <c r="E998" t="str">
        <f t="shared" si="90"/>
        <v>11:47:00 AM</v>
      </c>
      <c r="F998" s="3">
        <v>42699.50277777778</v>
      </c>
      <c r="G998" s="4">
        <f t="shared" si="95"/>
        <v>0.50277777777955635</v>
      </c>
      <c r="H998" t="str">
        <f t="shared" si="91"/>
        <v>17 min</v>
      </c>
      <c r="I998" t="s">
        <v>2</v>
      </c>
      <c r="J998" t="s">
        <v>55</v>
      </c>
      <c r="K998" t="s">
        <v>75</v>
      </c>
      <c r="L998">
        <v>10.3</v>
      </c>
      <c r="M998" t="s">
        <v>52</v>
      </c>
      <c r="N998" t="str" cm="1">
        <f t="array" ref="N998">_xlfn.IFS(
    AND(HOUR(A998)&gt;=0, HOUR(A998)&lt;10), "Morning",
    AND(HOUR(A998)&gt;=10, HOUR(A998)&lt;15), "Afternoon",
    AND(HOUR(E998)&gt;=15, HOUR(E998)&lt;19), "Evening",
    AND(HOUR(E998)&gt;=19, HOUR(E998)&lt;=23), "Night"
)</f>
        <v>Afternoon</v>
      </c>
    </row>
    <row r="999" spans="1:14" x14ac:dyDescent="0.25">
      <c r="A999" s="3">
        <v>42699.550694444442</v>
      </c>
      <c r="B999" s="2">
        <f t="shared" si="92"/>
        <v>42699</v>
      </c>
      <c r="C999" t="str">
        <f t="shared" si="93"/>
        <v>November</v>
      </c>
      <c r="D999" t="str">
        <f t="shared" si="94"/>
        <v>Friday</v>
      </c>
      <c r="E999" t="str">
        <f t="shared" si="90"/>
        <v>01:13:00 PM</v>
      </c>
      <c r="F999" s="3">
        <v>42699.563194444447</v>
      </c>
      <c r="G999" s="4">
        <f t="shared" si="95"/>
        <v>0.56319444444670808</v>
      </c>
      <c r="H999" t="str">
        <f t="shared" si="91"/>
        <v>18 min</v>
      </c>
      <c r="I999" t="s">
        <v>2</v>
      </c>
      <c r="J999" t="s">
        <v>75</v>
      </c>
      <c r="K999" t="s">
        <v>55</v>
      </c>
      <c r="L999">
        <v>11.1</v>
      </c>
      <c r="M999" t="s">
        <v>10</v>
      </c>
      <c r="N999" t="str" cm="1">
        <f t="array" ref="N999">_xlfn.IFS(
    AND(HOUR(A999)&gt;=0, HOUR(A999)&lt;10), "Morning",
    AND(HOUR(A999)&gt;=10, HOUR(A999)&lt;15), "Afternoon",
    AND(HOUR(E999)&gt;=15, HOUR(E999)&lt;19), "Evening",
    AND(HOUR(E999)&gt;=19, HOUR(E999)&lt;=23), "Night"
)</f>
        <v>Afternoon</v>
      </c>
    </row>
    <row r="1000" spans="1:14" x14ac:dyDescent="0.25">
      <c r="A1000" s="3">
        <v>42700.662499999999</v>
      </c>
      <c r="B1000" s="2">
        <f t="shared" si="92"/>
        <v>42700</v>
      </c>
      <c r="C1000" t="str">
        <f t="shared" si="93"/>
        <v>November</v>
      </c>
      <c r="D1000" t="str">
        <f t="shared" si="94"/>
        <v>Saturday</v>
      </c>
      <c r="E1000" t="str">
        <f t="shared" si="90"/>
        <v>03:54:00 PM</v>
      </c>
      <c r="F1000" s="3">
        <v>42700.665972222225</v>
      </c>
      <c r="G1000" s="4">
        <f t="shared" si="95"/>
        <v>0.66597222222480923</v>
      </c>
      <c r="H1000" t="str">
        <f t="shared" si="91"/>
        <v>5 min</v>
      </c>
      <c r="I1000" t="s">
        <v>2</v>
      </c>
      <c r="J1000" t="s">
        <v>55</v>
      </c>
      <c r="K1000" t="s">
        <v>55</v>
      </c>
      <c r="L1000">
        <v>1.4</v>
      </c>
      <c r="M1000" t="s">
        <v>52</v>
      </c>
      <c r="N1000" t="str" cm="1">
        <f t="array" ref="N1000">_xlfn.IFS(
    AND(HOUR(A1000)&gt;=0, HOUR(A1000)&lt;10), "Morning",
    AND(HOUR(A1000)&gt;=10, HOUR(A1000)&lt;15), "Afternoon",
    AND(HOUR(E1000)&gt;=15, HOUR(E1000)&lt;19), "Evening",
    AND(HOUR(E1000)&gt;=19, HOUR(E1000)&lt;=23), "Night"
)</f>
        <v>Evening</v>
      </c>
    </row>
    <row r="1001" spans="1:14" x14ac:dyDescent="0.25">
      <c r="A1001" s="3">
        <v>42700.708333333336</v>
      </c>
      <c r="B1001" s="2">
        <f t="shared" si="92"/>
        <v>42700</v>
      </c>
      <c r="C1001" t="str">
        <f t="shared" si="93"/>
        <v>November</v>
      </c>
      <c r="D1001" t="str">
        <f t="shared" si="94"/>
        <v>Saturday</v>
      </c>
      <c r="E1001" t="str">
        <f t="shared" si="90"/>
        <v>05:00:00 PM</v>
      </c>
      <c r="F1001" s="3">
        <v>42700.716666666667</v>
      </c>
      <c r="G1001" s="4">
        <f t="shared" si="95"/>
        <v>0.71666666666715173</v>
      </c>
      <c r="H1001" t="str">
        <f t="shared" si="91"/>
        <v>12 min</v>
      </c>
      <c r="I1001" t="s">
        <v>2</v>
      </c>
      <c r="J1001" t="s">
        <v>55</v>
      </c>
      <c r="K1001" t="s">
        <v>87</v>
      </c>
      <c r="L1001">
        <v>5.0999999999999996</v>
      </c>
      <c r="M1001" t="s">
        <v>10</v>
      </c>
      <c r="N1001" t="str" cm="1">
        <f t="array" ref="N1001">_xlfn.IFS(
    AND(HOUR(A1001)&gt;=0, HOUR(A1001)&lt;10), "Morning",
    AND(HOUR(A1001)&gt;=10, HOUR(A1001)&lt;15), "Afternoon",
    AND(HOUR(E1001)&gt;=15, HOUR(E1001)&lt;19), "Evening",
    AND(HOUR(E1001)&gt;=19, HOUR(E1001)&lt;=23), "Night"
)</f>
        <v>Evening</v>
      </c>
    </row>
    <row r="1002" spans="1:14" x14ac:dyDescent="0.25">
      <c r="A1002" s="3">
        <v>42700.73333333333</v>
      </c>
      <c r="B1002" s="2">
        <f t="shared" si="92"/>
        <v>42700</v>
      </c>
      <c r="C1002" t="str">
        <f t="shared" si="93"/>
        <v>November</v>
      </c>
      <c r="D1002" t="str">
        <f t="shared" si="94"/>
        <v>Saturday</v>
      </c>
      <c r="E1002" t="str">
        <f t="shared" si="90"/>
        <v>05:36:00 PM</v>
      </c>
      <c r="F1002" s="3">
        <v>42700.74722222222</v>
      </c>
      <c r="G1002" s="4">
        <f t="shared" si="95"/>
        <v>0.74722222222044365</v>
      </c>
      <c r="H1002" t="str">
        <f t="shared" si="91"/>
        <v>20 min</v>
      </c>
      <c r="I1002" t="s">
        <v>2</v>
      </c>
      <c r="J1002" t="s">
        <v>87</v>
      </c>
      <c r="K1002" t="s">
        <v>149</v>
      </c>
      <c r="L1002">
        <v>9</v>
      </c>
      <c r="M1002" t="s">
        <v>10</v>
      </c>
      <c r="N1002" t="str" cm="1">
        <f t="array" ref="N1002">_xlfn.IFS(
    AND(HOUR(A1002)&gt;=0, HOUR(A1002)&lt;10), "Morning",
    AND(HOUR(A1002)&gt;=10, HOUR(A1002)&lt;15), "Afternoon",
    AND(HOUR(E1002)&gt;=15, HOUR(E1002)&lt;19), "Evening",
    AND(HOUR(E1002)&gt;=19, HOUR(E1002)&lt;=23), "Night"
)</f>
        <v>Evening</v>
      </c>
    </row>
    <row r="1003" spans="1:14" x14ac:dyDescent="0.25">
      <c r="A1003" s="3">
        <v>42700.770138888889</v>
      </c>
      <c r="B1003" s="2">
        <f t="shared" si="92"/>
        <v>42700</v>
      </c>
      <c r="C1003" t="str">
        <f t="shared" si="93"/>
        <v>November</v>
      </c>
      <c r="D1003" t="str">
        <f t="shared" si="94"/>
        <v>Saturday</v>
      </c>
      <c r="E1003" t="str">
        <f t="shared" si="90"/>
        <v>06:29:00 PM</v>
      </c>
      <c r="F1003" s="3">
        <v>42700.794444444444</v>
      </c>
      <c r="G1003" s="4">
        <f t="shared" si="95"/>
        <v>0.79444444444379769</v>
      </c>
      <c r="H1003" t="str">
        <f t="shared" si="91"/>
        <v>35 min</v>
      </c>
      <c r="I1003" t="s">
        <v>2</v>
      </c>
      <c r="J1003" t="s">
        <v>149</v>
      </c>
      <c r="K1003" t="s">
        <v>55</v>
      </c>
      <c r="L1003">
        <v>13.3</v>
      </c>
      <c r="M1003" t="s">
        <v>6</v>
      </c>
      <c r="N1003" t="str" cm="1">
        <f t="array" ref="N1003">_xlfn.IFS(
    AND(HOUR(A1003)&gt;=0, HOUR(A1003)&lt;10), "Morning",
    AND(HOUR(A1003)&gt;=10, HOUR(A1003)&lt;15), "Afternoon",
    AND(HOUR(E1003)&gt;=15, HOUR(E1003)&lt;19), "Evening",
    AND(HOUR(E1003)&gt;=19, HOUR(E1003)&lt;=23), "Night"
)</f>
        <v>Evening</v>
      </c>
    </row>
    <row r="1004" spans="1:14" x14ac:dyDescent="0.25">
      <c r="A1004" s="3">
        <v>42700.824305555558</v>
      </c>
      <c r="B1004" s="2">
        <f t="shared" si="92"/>
        <v>42700</v>
      </c>
      <c r="C1004" t="str">
        <f t="shared" si="93"/>
        <v>November</v>
      </c>
      <c r="D1004" t="str">
        <f t="shared" si="94"/>
        <v>Saturday</v>
      </c>
      <c r="E1004" t="str">
        <f t="shared" si="90"/>
        <v>07:47:00 PM</v>
      </c>
      <c r="F1004" s="3">
        <v>42700.82916666667</v>
      </c>
      <c r="G1004" s="4">
        <f t="shared" si="95"/>
        <v>0.82916666667006211</v>
      </c>
      <c r="H1004" t="str">
        <f t="shared" si="91"/>
        <v>7 min</v>
      </c>
      <c r="I1004" t="s">
        <v>2</v>
      </c>
      <c r="J1004" t="s">
        <v>55</v>
      </c>
      <c r="K1004" t="s">
        <v>55</v>
      </c>
      <c r="L1004">
        <v>2.5</v>
      </c>
      <c r="M1004" t="s">
        <v>8</v>
      </c>
      <c r="N1004" t="str" cm="1">
        <f t="array" ref="N1004">_xlfn.IFS(
    AND(HOUR(A1004)&gt;=0, HOUR(A1004)&lt;10), "Morning",
    AND(HOUR(A1004)&gt;=10, HOUR(A1004)&lt;15), "Afternoon",
    AND(HOUR(E1004)&gt;=15, HOUR(E1004)&lt;19), "Evening",
    AND(HOUR(E1004)&gt;=19, HOUR(E1004)&lt;=23), "Night"
)</f>
        <v>Night</v>
      </c>
    </row>
    <row r="1005" spans="1:14" x14ac:dyDescent="0.25">
      <c r="A1005" s="3">
        <v>42701.665972222225</v>
      </c>
      <c r="B1005" s="2">
        <f t="shared" si="92"/>
        <v>42701</v>
      </c>
      <c r="C1005" t="str">
        <f t="shared" si="93"/>
        <v>November</v>
      </c>
      <c r="D1005" t="str">
        <f t="shared" si="94"/>
        <v>Sunday</v>
      </c>
      <c r="E1005" t="str">
        <f t="shared" si="90"/>
        <v>03:59:00 PM</v>
      </c>
      <c r="F1005" s="3">
        <v>42701.67083333333</v>
      </c>
      <c r="G1005" s="4">
        <f t="shared" si="95"/>
        <v>0.67083333332993789</v>
      </c>
      <c r="H1005" t="str">
        <f t="shared" si="91"/>
        <v>7 min</v>
      </c>
      <c r="I1005" t="s">
        <v>2</v>
      </c>
      <c r="J1005" t="s">
        <v>55</v>
      </c>
      <c r="K1005" t="s">
        <v>56</v>
      </c>
      <c r="L1005">
        <v>3.3</v>
      </c>
      <c r="M1005" t="s">
        <v>9</v>
      </c>
      <c r="N1005" t="str" cm="1">
        <f t="array" ref="N1005">_xlfn.IFS(
    AND(HOUR(A1005)&gt;=0, HOUR(A1005)&lt;10), "Morning",
    AND(HOUR(A1005)&gt;=10, HOUR(A1005)&lt;15), "Afternoon",
    AND(HOUR(E1005)&gt;=15, HOUR(E1005)&lt;19), "Evening",
    AND(HOUR(E1005)&gt;=19, HOUR(E1005)&lt;=23), "Night"
)</f>
        <v>Evening</v>
      </c>
    </row>
    <row r="1006" spans="1:14" x14ac:dyDescent="0.25">
      <c r="A1006" s="3">
        <v>42701.788194444445</v>
      </c>
      <c r="B1006" s="2">
        <f t="shared" si="92"/>
        <v>42701</v>
      </c>
      <c r="C1006" t="str">
        <f t="shared" si="93"/>
        <v>November</v>
      </c>
      <c r="D1006" t="str">
        <f t="shared" si="94"/>
        <v>Sunday</v>
      </c>
      <c r="E1006" t="str">
        <f t="shared" si="90"/>
        <v>06:55:00 PM</v>
      </c>
      <c r="F1006" s="3">
        <v>42701.79791666667</v>
      </c>
      <c r="G1006" s="4">
        <f t="shared" si="95"/>
        <v>0.79791666667006211</v>
      </c>
      <c r="H1006" t="str">
        <f t="shared" si="91"/>
        <v>14 min</v>
      </c>
      <c r="I1006" t="s">
        <v>2</v>
      </c>
      <c r="J1006" t="s">
        <v>56</v>
      </c>
      <c r="K1006" t="s">
        <v>55</v>
      </c>
      <c r="L1006">
        <v>2.9</v>
      </c>
      <c r="M1006" t="s">
        <v>52</v>
      </c>
      <c r="N1006" t="str" cm="1">
        <f t="array" ref="N1006">_xlfn.IFS(
    AND(HOUR(A1006)&gt;=0, HOUR(A1006)&lt;10), "Morning",
    AND(HOUR(A1006)&gt;=10, HOUR(A1006)&lt;15), "Afternoon",
    AND(HOUR(E1006)&gt;=15, HOUR(E1006)&lt;19), "Evening",
    AND(HOUR(E1006)&gt;=19, HOUR(E1006)&lt;=23), "Night"
)</f>
        <v>Evening</v>
      </c>
    </row>
    <row r="1007" spans="1:14" x14ac:dyDescent="0.25">
      <c r="A1007" s="3">
        <v>42704.460416666669</v>
      </c>
      <c r="B1007" s="2">
        <f t="shared" si="92"/>
        <v>42704</v>
      </c>
      <c r="C1007" t="str">
        <f t="shared" si="93"/>
        <v>November</v>
      </c>
      <c r="D1007" t="str">
        <f t="shared" si="94"/>
        <v>Wednesday</v>
      </c>
      <c r="E1007" t="str">
        <f t="shared" si="90"/>
        <v>11:03:00 AM</v>
      </c>
      <c r="F1007" s="3">
        <v>42704.481944444444</v>
      </c>
      <c r="G1007" s="4">
        <f t="shared" si="95"/>
        <v>0.48194444444379769</v>
      </c>
      <c r="H1007" t="str">
        <f t="shared" si="91"/>
        <v>31 min</v>
      </c>
      <c r="I1007" t="s">
        <v>2</v>
      </c>
      <c r="J1007" t="s">
        <v>55</v>
      </c>
      <c r="K1007" t="s">
        <v>79</v>
      </c>
      <c r="L1007">
        <v>8.5</v>
      </c>
      <c r="M1007" t="s">
        <v>7</v>
      </c>
      <c r="N1007" t="str" cm="1">
        <f t="array" ref="N1007">_xlfn.IFS(
    AND(HOUR(A1007)&gt;=0, HOUR(A1007)&lt;10), "Morning",
    AND(HOUR(A1007)&gt;=10, HOUR(A1007)&lt;15), "Afternoon",
    AND(HOUR(E1007)&gt;=15, HOUR(E1007)&lt;19), "Evening",
    AND(HOUR(E1007)&gt;=19, HOUR(E1007)&lt;=23), "Night"
)</f>
        <v>Afternoon</v>
      </c>
    </row>
    <row r="1008" spans="1:14" x14ac:dyDescent="0.25">
      <c r="A1008" s="3">
        <v>42704.495138888888</v>
      </c>
      <c r="B1008" s="2">
        <f t="shared" si="92"/>
        <v>42704</v>
      </c>
      <c r="C1008" t="str">
        <f t="shared" si="93"/>
        <v>November</v>
      </c>
      <c r="D1008" t="str">
        <f t="shared" si="94"/>
        <v>Wednesday</v>
      </c>
      <c r="E1008" t="str">
        <f t="shared" si="90"/>
        <v>11:53:00 AM</v>
      </c>
      <c r="F1008" s="3">
        <v>42704.524305555555</v>
      </c>
      <c r="G1008" s="4">
        <f t="shared" si="95"/>
        <v>0.52430555555474712</v>
      </c>
      <c r="H1008" t="str">
        <f t="shared" si="91"/>
        <v>42 min</v>
      </c>
      <c r="I1008" t="s">
        <v>2</v>
      </c>
      <c r="J1008" t="s">
        <v>79</v>
      </c>
      <c r="K1008" t="s">
        <v>56</v>
      </c>
      <c r="L1008">
        <v>6.7</v>
      </c>
      <c r="M1008" t="s">
        <v>11</v>
      </c>
      <c r="N1008" t="str" cm="1">
        <f t="array" ref="N1008">_xlfn.IFS(
    AND(HOUR(A1008)&gt;=0, HOUR(A1008)&lt;10), "Morning",
    AND(HOUR(A1008)&gt;=10, HOUR(A1008)&lt;15), "Afternoon",
    AND(HOUR(E1008)&gt;=15, HOUR(E1008)&lt;19), "Evening",
    AND(HOUR(E1008)&gt;=19, HOUR(E1008)&lt;=23), "Night"
)</f>
        <v>Afternoon</v>
      </c>
    </row>
    <row r="1009" spans="1:14" x14ac:dyDescent="0.25">
      <c r="A1009" s="3">
        <v>42704.529861111114</v>
      </c>
      <c r="B1009" s="2">
        <f t="shared" si="92"/>
        <v>42704</v>
      </c>
      <c r="C1009" t="str">
        <f t="shared" si="93"/>
        <v>November</v>
      </c>
      <c r="D1009" t="str">
        <f t="shared" si="94"/>
        <v>Wednesday</v>
      </c>
      <c r="E1009" t="str">
        <f t="shared" si="90"/>
        <v>12:43:00 PM</v>
      </c>
      <c r="F1009" s="3">
        <v>42704.536805555559</v>
      </c>
      <c r="G1009" s="4">
        <f t="shared" si="95"/>
        <v>0.53680555555911269</v>
      </c>
      <c r="H1009" t="str">
        <f t="shared" si="91"/>
        <v>10 min</v>
      </c>
      <c r="I1009" t="s">
        <v>2</v>
      </c>
      <c r="J1009" t="s">
        <v>56</v>
      </c>
      <c r="K1009" t="s">
        <v>55</v>
      </c>
      <c r="L1009">
        <v>3.1</v>
      </c>
      <c r="M1009" t="s">
        <v>52</v>
      </c>
      <c r="N1009" t="str" cm="1">
        <f t="array" ref="N1009">_xlfn.IFS(
    AND(HOUR(A1009)&gt;=0, HOUR(A1009)&lt;10), "Morning",
    AND(HOUR(A1009)&gt;=10, HOUR(A1009)&lt;15), "Afternoon",
    AND(HOUR(E1009)&gt;=15, HOUR(E1009)&lt;19), "Evening",
    AND(HOUR(E1009)&gt;=19, HOUR(E1009)&lt;=23), "Night"
)</f>
        <v>Afternoon</v>
      </c>
    </row>
    <row r="1010" spans="1:14" x14ac:dyDescent="0.25">
      <c r="A1010" s="3">
        <v>42705.322222222225</v>
      </c>
      <c r="B1010" s="2">
        <f t="shared" si="92"/>
        <v>42705</v>
      </c>
      <c r="C1010" t="str">
        <f t="shared" si="93"/>
        <v>December</v>
      </c>
      <c r="D1010" t="str">
        <f t="shared" si="94"/>
        <v>Thursday</v>
      </c>
      <c r="E1010" t="str">
        <f t="shared" si="90"/>
        <v>07:44:00 AM</v>
      </c>
      <c r="F1010" s="3">
        <v>42705.332638888889</v>
      </c>
      <c r="G1010" s="4">
        <f t="shared" si="95"/>
        <v>0.33263888888905058</v>
      </c>
      <c r="H1010" t="str">
        <f t="shared" si="91"/>
        <v>15 min</v>
      </c>
      <c r="I1010" t="s">
        <v>2</v>
      </c>
      <c r="J1010" t="s">
        <v>55</v>
      </c>
      <c r="K1010" t="s">
        <v>55</v>
      </c>
      <c r="L1010">
        <v>5.5</v>
      </c>
      <c r="M1010" t="s">
        <v>10</v>
      </c>
      <c r="N1010" t="str" cm="1">
        <f t="array" ref="N1010">_xlfn.IFS(
    AND(HOUR(A1010)&gt;=0, HOUR(A1010)&lt;10), "Morning",
    AND(HOUR(A1010)&gt;=10, HOUR(A1010)&lt;15), "Afternoon",
    AND(HOUR(E1010)&gt;=15, HOUR(E1010)&lt;19), "Evening",
    AND(HOUR(E1010)&gt;=19, HOUR(E1010)&lt;=23), "Night"
)</f>
        <v>Morning</v>
      </c>
    </row>
    <row r="1011" spans="1:14" x14ac:dyDescent="0.25">
      <c r="A1011" s="3">
        <v>42705.359027777777</v>
      </c>
      <c r="B1011" s="2">
        <f t="shared" si="92"/>
        <v>42705</v>
      </c>
      <c r="C1011" t="str">
        <f t="shared" si="93"/>
        <v>December</v>
      </c>
      <c r="D1011" t="str">
        <f t="shared" si="94"/>
        <v>Thursday</v>
      </c>
      <c r="E1011" t="str">
        <f t="shared" si="90"/>
        <v>08:37:00 AM</v>
      </c>
      <c r="F1011" s="3">
        <v>42705.370138888888</v>
      </c>
      <c r="G1011" s="4">
        <f t="shared" si="95"/>
        <v>0.37013888888759539</v>
      </c>
      <c r="H1011" t="str">
        <f t="shared" si="91"/>
        <v>16 min</v>
      </c>
      <c r="I1011" t="s">
        <v>2</v>
      </c>
      <c r="J1011" t="s">
        <v>55</v>
      </c>
      <c r="K1011" t="s">
        <v>55</v>
      </c>
      <c r="L1011">
        <v>5.5</v>
      </c>
      <c r="M1011" t="s">
        <v>8</v>
      </c>
      <c r="N1011" t="str" cm="1">
        <f t="array" ref="N1011">_xlfn.IFS(
    AND(HOUR(A1011)&gt;=0, HOUR(A1011)&lt;10), "Morning",
    AND(HOUR(A1011)&gt;=10, HOUR(A1011)&lt;15), "Afternoon",
    AND(HOUR(E1011)&gt;=15, HOUR(E1011)&lt;19), "Evening",
    AND(HOUR(E1011)&gt;=19, HOUR(E1011)&lt;=23), "Night"
)</f>
        <v>Morning</v>
      </c>
    </row>
    <row r="1012" spans="1:14" x14ac:dyDescent="0.25">
      <c r="A1012" s="3">
        <v>42705.75</v>
      </c>
      <c r="B1012" s="2">
        <f t="shared" si="92"/>
        <v>42705</v>
      </c>
      <c r="C1012" t="str">
        <f t="shared" si="93"/>
        <v>December</v>
      </c>
      <c r="D1012" t="str">
        <f t="shared" si="94"/>
        <v>Thursday</v>
      </c>
      <c r="E1012" t="str">
        <f t="shared" si="90"/>
        <v>06:00:00 PM</v>
      </c>
      <c r="F1012" s="3">
        <v>42705.758333333331</v>
      </c>
      <c r="G1012" s="4">
        <f t="shared" si="95"/>
        <v>0.75833333333139308</v>
      </c>
      <c r="H1012" t="str">
        <f t="shared" si="91"/>
        <v>12 min</v>
      </c>
      <c r="I1012" t="s">
        <v>2</v>
      </c>
      <c r="J1012" t="s">
        <v>55</v>
      </c>
      <c r="K1012" t="s">
        <v>56</v>
      </c>
      <c r="L1012">
        <v>2.9</v>
      </c>
      <c r="M1012" t="s">
        <v>9</v>
      </c>
      <c r="N1012" t="str" cm="1">
        <f t="array" ref="N1012">_xlfn.IFS(
    AND(HOUR(A1012)&gt;=0, HOUR(A1012)&lt;10), "Morning",
    AND(HOUR(A1012)&gt;=10, HOUR(A1012)&lt;15), "Afternoon",
    AND(HOUR(E1012)&gt;=15, HOUR(E1012)&lt;19), "Evening",
    AND(HOUR(E1012)&gt;=19, HOUR(E1012)&lt;=23), "Night"
)</f>
        <v>Evening</v>
      </c>
    </row>
    <row r="1013" spans="1:14" x14ac:dyDescent="0.25">
      <c r="A1013" s="3">
        <v>42705.85833333333</v>
      </c>
      <c r="B1013" s="2">
        <f t="shared" si="92"/>
        <v>42705</v>
      </c>
      <c r="C1013" t="str">
        <f t="shared" si="93"/>
        <v>December</v>
      </c>
      <c r="D1013" t="str">
        <f t="shared" si="94"/>
        <v>Thursday</v>
      </c>
      <c r="E1013" t="str">
        <f t="shared" si="90"/>
        <v>08:36:00 PM</v>
      </c>
      <c r="F1013" s="3">
        <v>42705.865277777775</v>
      </c>
      <c r="G1013" s="4">
        <f t="shared" si="95"/>
        <v>0.86527777777519077</v>
      </c>
      <c r="H1013" t="str">
        <f t="shared" si="91"/>
        <v>10 min</v>
      </c>
      <c r="I1013" t="s">
        <v>2</v>
      </c>
      <c r="J1013" t="s">
        <v>56</v>
      </c>
      <c r="K1013" t="s">
        <v>55</v>
      </c>
      <c r="L1013">
        <v>2.9</v>
      </c>
      <c r="M1013" t="s">
        <v>7</v>
      </c>
      <c r="N1013" t="str" cm="1">
        <f t="array" ref="N1013">_xlfn.IFS(
    AND(HOUR(A1013)&gt;=0, HOUR(A1013)&lt;10), "Morning",
    AND(HOUR(A1013)&gt;=10, HOUR(A1013)&lt;15), "Afternoon",
    AND(HOUR(E1013)&gt;=15, HOUR(E1013)&lt;19), "Evening",
    AND(HOUR(E1013)&gt;=19, HOUR(E1013)&lt;=23), "Night"
)</f>
        <v>Night</v>
      </c>
    </row>
    <row r="1014" spans="1:14" x14ac:dyDescent="0.25">
      <c r="A1014" s="3">
        <v>42706.508333333331</v>
      </c>
      <c r="B1014" s="2">
        <f t="shared" si="92"/>
        <v>42706</v>
      </c>
      <c r="C1014" t="str">
        <f t="shared" si="93"/>
        <v>December</v>
      </c>
      <c r="D1014" t="str">
        <f t="shared" si="94"/>
        <v>Friday</v>
      </c>
      <c r="E1014" t="str">
        <f t="shared" si="90"/>
        <v>12:12:00 PM</v>
      </c>
      <c r="F1014" s="3">
        <v>42706.515972222223</v>
      </c>
      <c r="G1014" s="4">
        <f t="shared" si="95"/>
        <v>0.51597222222335404</v>
      </c>
      <c r="H1014" t="str">
        <f t="shared" si="91"/>
        <v>11 min</v>
      </c>
      <c r="I1014" t="s">
        <v>2</v>
      </c>
      <c r="J1014" t="s">
        <v>55</v>
      </c>
      <c r="K1014" t="s">
        <v>87</v>
      </c>
      <c r="L1014">
        <v>5.0999999999999996</v>
      </c>
      <c r="M1014" t="s">
        <v>9</v>
      </c>
      <c r="N1014" t="str" cm="1">
        <f t="array" ref="N1014">_xlfn.IFS(
    AND(HOUR(A1014)&gt;=0, HOUR(A1014)&lt;10), "Morning",
    AND(HOUR(A1014)&gt;=10, HOUR(A1014)&lt;15), "Afternoon",
    AND(HOUR(E1014)&gt;=15, HOUR(E1014)&lt;19), "Evening",
    AND(HOUR(E1014)&gt;=19, HOUR(E1014)&lt;=23), "Night"
)</f>
        <v>Afternoon</v>
      </c>
    </row>
    <row r="1015" spans="1:14" x14ac:dyDescent="0.25">
      <c r="A1015" s="3">
        <v>42706.546527777777</v>
      </c>
      <c r="B1015" s="2">
        <f t="shared" si="92"/>
        <v>42706</v>
      </c>
      <c r="C1015" t="str">
        <f t="shared" si="93"/>
        <v>December</v>
      </c>
      <c r="D1015" t="str">
        <f t="shared" si="94"/>
        <v>Friday</v>
      </c>
      <c r="E1015" t="str">
        <f t="shared" si="90"/>
        <v>01:07:00 PM</v>
      </c>
      <c r="F1015" s="3">
        <v>42706.556944444441</v>
      </c>
      <c r="G1015" s="4">
        <f t="shared" si="95"/>
        <v>0.55694444444088731</v>
      </c>
      <c r="H1015" t="str">
        <f t="shared" si="91"/>
        <v>15 min</v>
      </c>
      <c r="I1015" t="s">
        <v>2</v>
      </c>
      <c r="J1015" t="s">
        <v>87</v>
      </c>
      <c r="K1015" t="s">
        <v>55</v>
      </c>
      <c r="L1015">
        <v>5.3</v>
      </c>
      <c r="M1015" t="s">
        <v>7</v>
      </c>
      <c r="N1015" t="str" cm="1">
        <f t="array" ref="N1015">_xlfn.IFS(
    AND(HOUR(A1015)&gt;=0, HOUR(A1015)&lt;10), "Morning",
    AND(HOUR(A1015)&gt;=10, HOUR(A1015)&lt;15), "Afternoon",
    AND(HOUR(E1015)&gt;=15, HOUR(E1015)&lt;19), "Evening",
    AND(HOUR(E1015)&gt;=19, HOUR(E1015)&lt;=23), "Night"
)</f>
        <v>Afternoon</v>
      </c>
    </row>
    <row r="1016" spans="1:14" x14ac:dyDescent="0.25">
      <c r="A1016" s="3">
        <v>42706.861805555556</v>
      </c>
      <c r="B1016" s="2">
        <f t="shared" si="92"/>
        <v>42706</v>
      </c>
      <c r="C1016" t="str">
        <f t="shared" si="93"/>
        <v>December</v>
      </c>
      <c r="D1016" t="str">
        <f t="shared" si="94"/>
        <v>Friday</v>
      </c>
      <c r="E1016" t="str">
        <f t="shared" si="90"/>
        <v>08:41:00 PM</v>
      </c>
      <c r="F1016" s="3">
        <v>42706.866666666669</v>
      </c>
      <c r="G1016" s="4">
        <f t="shared" si="95"/>
        <v>0.86666666666860692</v>
      </c>
      <c r="H1016" t="str">
        <f t="shared" si="91"/>
        <v>7 min</v>
      </c>
      <c r="I1016" t="s">
        <v>2</v>
      </c>
      <c r="J1016" t="s">
        <v>55</v>
      </c>
      <c r="K1016" t="s">
        <v>56</v>
      </c>
      <c r="L1016">
        <v>3.3</v>
      </c>
      <c r="M1016" t="s">
        <v>9</v>
      </c>
      <c r="N1016" t="str" cm="1">
        <f t="array" ref="N1016">_xlfn.IFS(
    AND(HOUR(A1016)&gt;=0, HOUR(A1016)&lt;10), "Morning",
    AND(HOUR(A1016)&gt;=10, HOUR(A1016)&lt;15), "Afternoon",
    AND(HOUR(E1016)&gt;=15, HOUR(E1016)&lt;19), "Evening",
    AND(HOUR(E1016)&gt;=19, HOUR(E1016)&lt;=23), "Night"
)</f>
        <v>Night</v>
      </c>
    </row>
    <row r="1017" spans="1:14" x14ac:dyDescent="0.25">
      <c r="A1017" s="3">
        <v>42706.957638888889</v>
      </c>
      <c r="B1017" s="2">
        <f t="shared" si="92"/>
        <v>42706</v>
      </c>
      <c r="C1017" t="str">
        <f t="shared" si="93"/>
        <v>December</v>
      </c>
      <c r="D1017" t="str">
        <f t="shared" si="94"/>
        <v>Friday</v>
      </c>
      <c r="E1017" t="str">
        <f t="shared" si="90"/>
        <v>10:59:00 PM</v>
      </c>
      <c r="F1017" s="3">
        <v>42706.963194444441</v>
      </c>
      <c r="G1017" s="4">
        <f t="shared" si="95"/>
        <v>0.96319444444088731</v>
      </c>
      <c r="H1017" t="str">
        <f t="shared" si="91"/>
        <v>8 min</v>
      </c>
      <c r="I1017" t="s">
        <v>2</v>
      </c>
      <c r="J1017" t="s">
        <v>56</v>
      </c>
      <c r="K1017" t="s">
        <v>55</v>
      </c>
      <c r="L1017">
        <v>3</v>
      </c>
      <c r="M1017" t="s">
        <v>7</v>
      </c>
      <c r="N1017" t="str" cm="1">
        <f t="array" ref="N1017">_xlfn.IFS(
    AND(HOUR(A1017)&gt;=0, HOUR(A1017)&lt;10), "Morning",
    AND(HOUR(A1017)&gt;=10, HOUR(A1017)&lt;15), "Afternoon",
    AND(HOUR(E1017)&gt;=15, HOUR(E1017)&lt;19), "Evening",
    AND(HOUR(E1017)&gt;=19, HOUR(E1017)&lt;=23), "Night"
)</f>
        <v>Night</v>
      </c>
    </row>
    <row r="1018" spans="1:14" x14ac:dyDescent="0.25">
      <c r="A1018" s="3">
        <v>42707.774305555555</v>
      </c>
      <c r="B1018" s="2">
        <f t="shared" si="92"/>
        <v>42707</v>
      </c>
      <c r="C1018" t="str">
        <f t="shared" si="93"/>
        <v>December</v>
      </c>
      <c r="D1018" t="str">
        <f t="shared" si="94"/>
        <v>Saturday</v>
      </c>
      <c r="E1018" t="str">
        <f t="shared" si="90"/>
        <v>06:35:00 PM</v>
      </c>
      <c r="F1018" s="3">
        <v>42707.788888888892</v>
      </c>
      <c r="G1018" s="4">
        <f t="shared" si="95"/>
        <v>0.78888888889196096</v>
      </c>
      <c r="H1018" t="str">
        <f t="shared" si="91"/>
        <v>21 min</v>
      </c>
      <c r="I1018" t="s">
        <v>2</v>
      </c>
      <c r="J1018" t="s">
        <v>55</v>
      </c>
      <c r="K1018" t="s">
        <v>258</v>
      </c>
      <c r="L1018">
        <v>6.6</v>
      </c>
      <c r="M1018" t="s">
        <v>8</v>
      </c>
      <c r="N1018" t="str" cm="1">
        <f t="array" ref="N1018">_xlfn.IFS(
    AND(HOUR(A1018)&gt;=0, HOUR(A1018)&lt;10), "Morning",
    AND(HOUR(A1018)&gt;=10, HOUR(A1018)&lt;15), "Afternoon",
    AND(HOUR(E1018)&gt;=15, HOUR(E1018)&lt;19), "Evening",
    AND(HOUR(E1018)&gt;=19, HOUR(E1018)&lt;=23), "Night"
)</f>
        <v>Evening</v>
      </c>
    </row>
    <row r="1019" spans="1:14" x14ac:dyDescent="0.25">
      <c r="A1019" s="3">
        <v>42707.797222222223</v>
      </c>
      <c r="B1019" s="2">
        <f t="shared" si="92"/>
        <v>42707</v>
      </c>
      <c r="C1019" t="str">
        <f t="shared" si="93"/>
        <v>December</v>
      </c>
      <c r="D1019" t="str">
        <f t="shared" si="94"/>
        <v>Saturday</v>
      </c>
      <c r="E1019" t="str">
        <f t="shared" si="90"/>
        <v>07:08:00 PM</v>
      </c>
      <c r="F1019" s="3">
        <v>42707.802083333336</v>
      </c>
      <c r="G1019" s="4">
        <f t="shared" si="95"/>
        <v>0.80208333333575865</v>
      </c>
      <c r="H1019" t="str">
        <f t="shared" si="91"/>
        <v>7 min</v>
      </c>
      <c r="I1019" t="s">
        <v>2</v>
      </c>
      <c r="J1019" t="s">
        <v>258</v>
      </c>
      <c r="K1019" t="s">
        <v>56</v>
      </c>
      <c r="L1019">
        <v>1.8</v>
      </c>
      <c r="M1019" t="s">
        <v>52</v>
      </c>
      <c r="N1019" t="str" cm="1">
        <f t="array" ref="N1019">_xlfn.IFS(
    AND(HOUR(A1019)&gt;=0, HOUR(A1019)&lt;10), "Morning",
    AND(HOUR(A1019)&gt;=10, HOUR(A1019)&lt;15), "Afternoon",
    AND(HOUR(E1019)&gt;=15, HOUR(E1019)&lt;19), "Evening",
    AND(HOUR(E1019)&gt;=19, HOUR(E1019)&lt;=23), "Night"
)</f>
        <v>Night</v>
      </c>
    </row>
    <row r="1020" spans="1:14" x14ac:dyDescent="0.25">
      <c r="A1020" s="3">
        <v>42707.854861111111</v>
      </c>
      <c r="B1020" s="2">
        <f t="shared" si="92"/>
        <v>42707</v>
      </c>
      <c r="C1020" t="str">
        <f t="shared" si="93"/>
        <v>December</v>
      </c>
      <c r="D1020" t="str">
        <f t="shared" si="94"/>
        <v>Saturday</v>
      </c>
      <c r="E1020" t="str">
        <f t="shared" si="90"/>
        <v>08:31:00 PM</v>
      </c>
      <c r="F1020" s="3">
        <v>42707.861805555556</v>
      </c>
      <c r="G1020" s="4">
        <f t="shared" si="95"/>
        <v>0.86180555555620231</v>
      </c>
      <c r="H1020" t="str">
        <f t="shared" si="91"/>
        <v>10 min</v>
      </c>
      <c r="I1020" t="s">
        <v>2</v>
      </c>
      <c r="J1020" t="s">
        <v>56</v>
      </c>
      <c r="K1020" t="s">
        <v>55</v>
      </c>
      <c r="L1020">
        <v>3</v>
      </c>
      <c r="M1020" t="s">
        <v>7</v>
      </c>
      <c r="N1020" t="str" cm="1">
        <f t="array" ref="N1020">_xlfn.IFS(
    AND(HOUR(A1020)&gt;=0, HOUR(A1020)&lt;10), "Morning",
    AND(HOUR(A1020)&gt;=10, HOUR(A1020)&lt;15), "Afternoon",
    AND(HOUR(E1020)&gt;=15, HOUR(E1020)&lt;19), "Evening",
    AND(HOUR(E1020)&gt;=19, HOUR(E1020)&lt;=23), "Night"
)</f>
        <v>Night</v>
      </c>
    </row>
    <row r="1021" spans="1:14" x14ac:dyDescent="0.25">
      <c r="A1021" s="3">
        <v>42708.788888888892</v>
      </c>
      <c r="B1021" s="2">
        <f t="shared" si="92"/>
        <v>42708</v>
      </c>
      <c r="C1021" t="str">
        <f t="shared" si="93"/>
        <v>December</v>
      </c>
      <c r="D1021" t="str">
        <f t="shared" si="94"/>
        <v>Sunday</v>
      </c>
      <c r="E1021" t="str">
        <f t="shared" si="90"/>
        <v>06:56:00 PM</v>
      </c>
      <c r="F1021" s="3">
        <v>42708.793749999997</v>
      </c>
      <c r="G1021" s="4">
        <f t="shared" si="95"/>
        <v>0.79374999999708962</v>
      </c>
      <c r="H1021" t="str">
        <f t="shared" si="91"/>
        <v>7 min</v>
      </c>
      <c r="I1021" t="s">
        <v>2</v>
      </c>
      <c r="J1021" t="s">
        <v>55</v>
      </c>
      <c r="K1021" t="s">
        <v>56</v>
      </c>
      <c r="L1021">
        <v>2.9</v>
      </c>
      <c r="M1021" t="s">
        <v>9</v>
      </c>
      <c r="N1021" t="str" cm="1">
        <f t="array" ref="N1021">_xlfn.IFS(
    AND(HOUR(A1021)&gt;=0, HOUR(A1021)&lt;10), "Morning",
    AND(HOUR(A1021)&gt;=10, HOUR(A1021)&lt;15), "Afternoon",
    AND(HOUR(E1021)&gt;=15, HOUR(E1021)&lt;19), "Evening",
    AND(HOUR(E1021)&gt;=19, HOUR(E1021)&lt;=23), "Night"
)</f>
        <v>Evening</v>
      </c>
    </row>
    <row r="1022" spans="1:14" x14ac:dyDescent="0.25">
      <c r="A1022" s="3">
        <v>42708.849305555559</v>
      </c>
      <c r="B1022" s="2">
        <f t="shared" si="92"/>
        <v>42708</v>
      </c>
      <c r="C1022" t="str">
        <f t="shared" si="93"/>
        <v>December</v>
      </c>
      <c r="D1022" t="str">
        <f t="shared" si="94"/>
        <v>Sunday</v>
      </c>
      <c r="E1022" t="str">
        <f t="shared" si="90"/>
        <v>08:23:00 PM</v>
      </c>
      <c r="F1022" s="3">
        <v>42708.856944444444</v>
      </c>
      <c r="G1022" s="4">
        <f t="shared" si="95"/>
        <v>0.85694444444379769</v>
      </c>
      <c r="H1022" t="str">
        <f t="shared" si="91"/>
        <v>11 min</v>
      </c>
      <c r="I1022" t="s">
        <v>2</v>
      </c>
      <c r="J1022" t="s">
        <v>56</v>
      </c>
      <c r="K1022" t="s">
        <v>55</v>
      </c>
      <c r="L1022">
        <v>3.4</v>
      </c>
      <c r="M1022" t="s">
        <v>7</v>
      </c>
      <c r="N1022" t="str" cm="1">
        <f t="array" ref="N1022">_xlfn.IFS(
    AND(HOUR(A1022)&gt;=0, HOUR(A1022)&lt;10), "Morning",
    AND(HOUR(A1022)&gt;=10, HOUR(A1022)&lt;15), "Afternoon",
    AND(HOUR(E1022)&gt;=15, HOUR(E1022)&lt;19), "Evening",
    AND(HOUR(E1022)&gt;=19, HOUR(E1022)&lt;=23), "Night"
)</f>
        <v>Night</v>
      </c>
    </row>
    <row r="1023" spans="1:14" x14ac:dyDescent="0.25">
      <c r="A1023" s="3">
        <v>42709.75277777778</v>
      </c>
      <c r="B1023" s="2">
        <f t="shared" si="92"/>
        <v>42709</v>
      </c>
      <c r="C1023" t="str">
        <f t="shared" si="93"/>
        <v>December</v>
      </c>
      <c r="D1023" t="str">
        <f t="shared" si="94"/>
        <v>Monday</v>
      </c>
      <c r="E1023" t="str">
        <f t="shared" si="90"/>
        <v>06:04:00 PM</v>
      </c>
      <c r="F1023" s="3">
        <v>42709.761805555558</v>
      </c>
      <c r="G1023" s="4">
        <f t="shared" si="95"/>
        <v>0.7618055555576575</v>
      </c>
      <c r="H1023" t="str">
        <f t="shared" si="91"/>
        <v>13 min</v>
      </c>
      <c r="I1023" t="s">
        <v>2</v>
      </c>
      <c r="J1023" t="s">
        <v>55</v>
      </c>
      <c r="K1023" t="s">
        <v>55</v>
      </c>
      <c r="L1023">
        <v>4.0999999999999996</v>
      </c>
      <c r="M1023" t="s">
        <v>52</v>
      </c>
      <c r="N1023" t="str" cm="1">
        <f t="array" ref="N1023">_xlfn.IFS(
    AND(HOUR(A1023)&gt;=0, HOUR(A1023)&lt;10), "Morning",
    AND(HOUR(A1023)&gt;=10, HOUR(A1023)&lt;15), "Afternoon",
    AND(HOUR(E1023)&gt;=15, HOUR(E1023)&lt;19), "Evening",
    AND(HOUR(E1023)&gt;=19, HOUR(E1023)&lt;=23), "Night"
)</f>
        <v>Evening</v>
      </c>
    </row>
    <row r="1024" spans="1:14" x14ac:dyDescent="0.25">
      <c r="A1024" s="3">
        <v>42709.806944444441</v>
      </c>
      <c r="B1024" s="2">
        <f t="shared" si="92"/>
        <v>42709</v>
      </c>
      <c r="C1024" t="str">
        <f t="shared" si="93"/>
        <v>December</v>
      </c>
      <c r="D1024" t="str">
        <f t="shared" si="94"/>
        <v>Monday</v>
      </c>
      <c r="E1024" t="str">
        <f t="shared" si="90"/>
        <v>07:22:00 PM</v>
      </c>
      <c r="F1024" s="3">
        <v>42709.817361111112</v>
      </c>
      <c r="G1024" s="4">
        <f t="shared" si="95"/>
        <v>0.81736111111240461</v>
      </c>
      <c r="H1024" t="str">
        <f t="shared" si="91"/>
        <v>15 min</v>
      </c>
      <c r="I1024" t="s">
        <v>2</v>
      </c>
      <c r="J1024" t="s">
        <v>55</v>
      </c>
      <c r="K1024" t="s">
        <v>55</v>
      </c>
      <c r="L1024">
        <v>3.8</v>
      </c>
      <c r="M1024" t="s">
        <v>9</v>
      </c>
      <c r="N1024" t="str" cm="1">
        <f t="array" ref="N1024">_xlfn.IFS(
    AND(HOUR(A1024)&gt;=0, HOUR(A1024)&lt;10), "Morning",
    AND(HOUR(A1024)&gt;=10, HOUR(A1024)&lt;15), "Afternoon",
    AND(HOUR(E1024)&gt;=15, HOUR(E1024)&lt;19), "Evening",
    AND(HOUR(E1024)&gt;=19, HOUR(E1024)&lt;=23), "Night"
)</f>
        <v>Night</v>
      </c>
    </row>
    <row r="1025" spans="1:14" x14ac:dyDescent="0.25">
      <c r="A1025" s="3">
        <v>42711.502083333333</v>
      </c>
      <c r="B1025" s="2">
        <f t="shared" si="92"/>
        <v>42711</v>
      </c>
      <c r="C1025" t="str">
        <f t="shared" si="93"/>
        <v>December</v>
      </c>
      <c r="D1025" t="str">
        <f t="shared" si="94"/>
        <v>Wednesday</v>
      </c>
      <c r="E1025" t="str">
        <f t="shared" si="90"/>
        <v>12:03:00 PM</v>
      </c>
      <c r="F1025" s="3">
        <v>42711.522222222222</v>
      </c>
      <c r="G1025" s="4">
        <f t="shared" si="95"/>
        <v>0.52222222222189885</v>
      </c>
      <c r="H1025" t="str">
        <f t="shared" si="91"/>
        <v>29 min</v>
      </c>
      <c r="I1025" t="s">
        <v>2</v>
      </c>
      <c r="J1025" t="s">
        <v>55</v>
      </c>
      <c r="K1025" t="s">
        <v>55</v>
      </c>
      <c r="L1025">
        <v>6.6</v>
      </c>
      <c r="M1025" t="s">
        <v>10</v>
      </c>
      <c r="N1025" t="str" cm="1">
        <f t="array" ref="N1025">_xlfn.IFS(
    AND(HOUR(A1025)&gt;=0, HOUR(A1025)&lt;10), "Morning",
    AND(HOUR(A1025)&gt;=10, HOUR(A1025)&lt;15), "Afternoon",
    AND(HOUR(E1025)&gt;=15, HOUR(E1025)&lt;19), "Evening",
    AND(HOUR(E1025)&gt;=19, HOUR(E1025)&lt;=23), "Night"
)</f>
        <v>Afternoon</v>
      </c>
    </row>
    <row r="1026" spans="1:14" x14ac:dyDescent="0.25">
      <c r="A1026" s="3">
        <v>42711.524305555555</v>
      </c>
      <c r="B1026" s="2">
        <f t="shared" si="92"/>
        <v>42711</v>
      </c>
      <c r="C1026" t="str">
        <f t="shared" si="93"/>
        <v>December</v>
      </c>
      <c r="D1026" t="str">
        <f t="shared" si="94"/>
        <v>Wednesday</v>
      </c>
      <c r="E1026" t="str">
        <f t="shared" ref="E1026:E1089" si="96">TEXT(A1026, "hh:mm:ss AM/PM")</f>
        <v>12:35:00 PM</v>
      </c>
      <c r="F1026" s="3">
        <v>42711.531944444447</v>
      </c>
      <c r="G1026" s="4">
        <f t="shared" si="95"/>
        <v>0.53194444444670808</v>
      </c>
      <c r="H1026" t="str">
        <f t="shared" ref="H1026:H1089" si="97">HOUR(IF(G1026&lt;E1026, G1026+1-E1026, G1026-E1026))*60 + MINUTE(IF(G1026&lt;E1026, G1026+1-E1026, G1026-E1026)) &amp; " min"</f>
        <v>11 min</v>
      </c>
      <c r="I1026" t="s">
        <v>2</v>
      </c>
      <c r="J1026" t="s">
        <v>55</v>
      </c>
      <c r="K1026" t="s">
        <v>55</v>
      </c>
      <c r="L1026">
        <v>4</v>
      </c>
      <c r="M1026" t="s">
        <v>10</v>
      </c>
      <c r="N1026" t="str" cm="1">
        <f t="array" ref="N1026">_xlfn.IFS(
    AND(HOUR(A1026)&gt;=0, HOUR(A1026)&lt;10), "Morning",
    AND(HOUR(A1026)&gt;=10, HOUR(A1026)&lt;15), "Afternoon",
    AND(HOUR(E1026)&gt;=15, HOUR(E1026)&lt;19), "Evening",
    AND(HOUR(E1026)&gt;=19, HOUR(E1026)&lt;=23), "Night"
)</f>
        <v>Afternoon</v>
      </c>
    </row>
    <row r="1027" spans="1:14" x14ac:dyDescent="0.25">
      <c r="A1027" s="3">
        <v>42711.828472222223</v>
      </c>
      <c r="B1027" s="2">
        <f t="shared" ref="B1027:B1090" si="98">INT(A1027)</f>
        <v>42711</v>
      </c>
      <c r="C1027" t="str">
        <f t="shared" ref="C1027:C1090" si="99">TEXT(B1027, "mmmm")</f>
        <v>December</v>
      </c>
      <c r="D1027" t="str">
        <f t="shared" ref="D1027:D1090" si="100">TEXT(B1027, "dddd")</f>
        <v>Wednesday</v>
      </c>
      <c r="E1027" t="str">
        <f t="shared" si="96"/>
        <v>07:53:00 PM</v>
      </c>
      <c r="F1027" s="3">
        <v>42711.842361111114</v>
      </c>
      <c r="G1027" s="4">
        <f t="shared" ref="G1027:G1090" si="101">F1027-INT(F1027)</f>
        <v>0.84236111111385981</v>
      </c>
      <c r="H1027" t="str">
        <f t="shared" si="97"/>
        <v>20 min</v>
      </c>
      <c r="I1027" t="s">
        <v>2</v>
      </c>
      <c r="J1027" t="s">
        <v>55</v>
      </c>
      <c r="K1027" t="s">
        <v>55</v>
      </c>
      <c r="L1027">
        <v>7</v>
      </c>
      <c r="M1027" t="s">
        <v>7</v>
      </c>
      <c r="N1027" t="str" cm="1">
        <f t="array" ref="N1027">_xlfn.IFS(
    AND(HOUR(A1027)&gt;=0, HOUR(A1027)&lt;10), "Morning",
    AND(HOUR(A1027)&gt;=10, HOUR(A1027)&lt;15), "Afternoon",
    AND(HOUR(E1027)&gt;=15, HOUR(E1027)&lt;19), "Evening",
    AND(HOUR(E1027)&gt;=19, HOUR(E1027)&lt;=23), "Night"
)</f>
        <v>Night</v>
      </c>
    </row>
    <row r="1028" spans="1:14" x14ac:dyDescent="0.25">
      <c r="A1028" s="3">
        <v>42711.884027777778</v>
      </c>
      <c r="B1028" s="2">
        <f t="shared" si="98"/>
        <v>42711</v>
      </c>
      <c r="C1028" t="str">
        <f t="shared" si="99"/>
        <v>December</v>
      </c>
      <c r="D1028" t="str">
        <f t="shared" si="100"/>
        <v>Wednesday</v>
      </c>
      <c r="E1028" t="str">
        <f t="shared" si="96"/>
        <v>09:13:00 PM</v>
      </c>
      <c r="F1028" s="3">
        <v>42711.909722222219</v>
      </c>
      <c r="G1028" s="4">
        <f t="shared" si="101"/>
        <v>0.90972222221898846</v>
      </c>
      <c r="H1028" t="str">
        <f t="shared" si="97"/>
        <v>37 min</v>
      </c>
      <c r="I1028" t="s">
        <v>2</v>
      </c>
      <c r="J1028" t="s">
        <v>55</v>
      </c>
      <c r="K1028" t="s">
        <v>55</v>
      </c>
      <c r="L1028">
        <v>6.9</v>
      </c>
      <c r="M1028" t="s">
        <v>9</v>
      </c>
      <c r="N1028" t="str" cm="1">
        <f t="array" ref="N1028">_xlfn.IFS(
    AND(HOUR(A1028)&gt;=0, HOUR(A1028)&lt;10), "Morning",
    AND(HOUR(A1028)&gt;=10, HOUR(A1028)&lt;15), "Afternoon",
    AND(HOUR(E1028)&gt;=15, HOUR(E1028)&lt;19), "Evening",
    AND(HOUR(E1028)&gt;=19, HOUR(E1028)&lt;=23), "Night"
)</f>
        <v>Night</v>
      </c>
    </row>
    <row r="1029" spans="1:14" x14ac:dyDescent="0.25">
      <c r="A1029" s="3">
        <v>42712.59652777778</v>
      </c>
      <c r="B1029" s="2">
        <f t="shared" si="98"/>
        <v>42712</v>
      </c>
      <c r="C1029" t="str">
        <f t="shared" si="99"/>
        <v>December</v>
      </c>
      <c r="D1029" t="str">
        <f t="shared" si="100"/>
        <v>Thursday</v>
      </c>
      <c r="E1029" t="str">
        <f t="shared" si="96"/>
        <v>02:19:00 PM</v>
      </c>
      <c r="F1029" s="3">
        <v>42712.605555555558</v>
      </c>
      <c r="G1029" s="4">
        <f t="shared" si="101"/>
        <v>0.6055555555576575</v>
      </c>
      <c r="H1029" t="str">
        <f t="shared" si="97"/>
        <v>13 min</v>
      </c>
      <c r="I1029" t="s">
        <v>2</v>
      </c>
      <c r="J1029" t="s">
        <v>55</v>
      </c>
      <c r="K1029" t="s">
        <v>55</v>
      </c>
      <c r="L1029">
        <v>3.4</v>
      </c>
      <c r="M1029" t="s">
        <v>8</v>
      </c>
      <c r="N1029" t="str" cm="1">
        <f t="array" ref="N1029">_xlfn.IFS(
    AND(HOUR(A1029)&gt;=0, HOUR(A1029)&lt;10), "Morning",
    AND(HOUR(A1029)&gt;=10, HOUR(A1029)&lt;15), "Afternoon",
    AND(HOUR(E1029)&gt;=15, HOUR(E1029)&lt;19), "Evening",
    AND(HOUR(E1029)&gt;=19, HOUR(E1029)&lt;=23), "Night"
)</f>
        <v>Afternoon</v>
      </c>
    </row>
    <row r="1030" spans="1:14" x14ac:dyDescent="0.25">
      <c r="A1030" s="3">
        <v>42712.620138888888</v>
      </c>
      <c r="B1030" s="2">
        <f t="shared" si="98"/>
        <v>42712</v>
      </c>
      <c r="C1030" t="str">
        <f t="shared" si="99"/>
        <v>December</v>
      </c>
      <c r="D1030" t="str">
        <f t="shared" si="100"/>
        <v>Thursday</v>
      </c>
      <c r="E1030" t="str">
        <f t="shared" si="96"/>
        <v>02:53:00 PM</v>
      </c>
      <c r="F1030" s="3">
        <v>42712.626388888886</v>
      </c>
      <c r="G1030" s="4">
        <f t="shared" si="101"/>
        <v>0.62638888888614019</v>
      </c>
      <c r="H1030" t="str">
        <f t="shared" si="97"/>
        <v>9 min</v>
      </c>
      <c r="I1030" t="s">
        <v>2</v>
      </c>
      <c r="J1030" t="s">
        <v>55</v>
      </c>
      <c r="K1030" t="s">
        <v>55</v>
      </c>
      <c r="L1030">
        <v>3.4</v>
      </c>
      <c r="M1030" t="s">
        <v>8</v>
      </c>
      <c r="N1030" t="str" cm="1">
        <f t="array" ref="N1030">_xlfn.IFS(
    AND(HOUR(A1030)&gt;=0, HOUR(A1030)&lt;10), "Morning",
    AND(HOUR(A1030)&gt;=10, HOUR(A1030)&lt;15), "Afternoon",
    AND(HOUR(E1030)&gt;=15, HOUR(E1030)&lt;19), "Evening",
    AND(HOUR(E1030)&gt;=19, HOUR(E1030)&lt;=23), "Night"
)</f>
        <v>Afternoon</v>
      </c>
    </row>
    <row r="1031" spans="1:14" x14ac:dyDescent="0.25">
      <c r="A1031" s="3">
        <v>42712.806944444441</v>
      </c>
      <c r="B1031" s="2">
        <f t="shared" si="98"/>
        <v>42712</v>
      </c>
      <c r="C1031" t="str">
        <f t="shared" si="99"/>
        <v>December</v>
      </c>
      <c r="D1031" t="str">
        <f t="shared" si="100"/>
        <v>Thursday</v>
      </c>
      <c r="E1031" t="str">
        <f t="shared" si="96"/>
        <v>07:22:00 PM</v>
      </c>
      <c r="F1031" s="3">
        <v>42712.810416666667</v>
      </c>
      <c r="G1031" s="4">
        <f t="shared" si="101"/>
        <v>0.81041666666715173</v>
      </c>
      <c r="H1031" t="str">
        <f t="shared" si="97"/>
        <v>5 min</v>
      </c>
      <c r="I1031" t="s">
        <v>2</v>
      </c>
      <c r="J1031" t="s">
        <v>55</v>
      </c>
      <c r="K1031" t="s">
        <v>55</v>
      </c>
      <c r="L1031">
        <v>2</v>
      </c>
      <c r="M1031" t="s">
        <v>10</v>
      </c>
      <c r="N1031" t="str" cm="1">
        <f t="array" ref="N1031">_xlfn.IFS(
    AND(HOUR(A1031)&gt;=0, HOUR(A1031)&lt;10), "Morning",
    AND(HOUR(A1031)&gt;=10, HOUR(A1031)&lt;15), "Afternoon",
    AND(HOUR(E1031)&gt;=15, HOUR(E1031)&lt;19), "Evening",
    AND(HOUR(E1031)&gt;=19, HOUR(E1031)&lt;=23), "Night"
)</f>
        <v>Night</v>
      </c>
    </row>
    <row r="1032" spans="1:14" x14ac:dyDescent="0.25">
      <c r="A1032" s="3">
        <v>42712.893055555556</v>
      </c>
      <c r="B1032" s="2">
        <f t="shared" si="98"/>
        <v>42712</v>
      </c>
      <c r="C1032" t="str">
        <f t="shared" si="99"/>
        <v>December</v>
      </c>
      <c r="D1032" t="str">
        <f t="shared" si="100"/>
        <v>Thursday</v>
      </c>
      <c r="E1032" t="str">
        <f t="shared" si="96"/>
        <v>09:26:00 PM</v>
      </c>
      <c r="F1032" s="3">
        <v>42712.896527777775</v>
      </c>
      <c r="G1032" s="4">
        <f t="shared" si="101"/>
        <v>0.89652777777519077</v>
      </c>
      <c r="H1032" t="str">
        <f t="shared" si="97"/>
        <v>5 min</v>
      </c>
      <c r="I1032" t="s">
        <v>2</v>
      </c>
      <c r="J1032" t="s">
        <v>55</v>
      </c>
      <c r="K1032" t="s">
        <v>55</v>
      </c>
      <c r="L1032">
        <v>2</v>
      </c>
      <c r="M1032" t="s">
        <v>8</v>
      </c>
      <c r="N1032" t="str" cm="1">
        <f t="array" ref="N1032">_xlfn.IFS(
    AND(HOUR(A1032)&gt;=0, HOUR(A1032)&lt;10), "Morning",
    AND(HOUR(A1032)&gt;=10, HOUR(A1032)&lt;15), "Afternoon",
    AND(HOUR(E1032)&gt;=15, HOUR(E1032)&lt;19), "Evening",
    AND(HOUR(E1032)&gt;=19, HOUR(E1032)&lt;=23), "Night"
)</f>
        <v>Night</v>
      </c>
    </row>
    <row r="1033" spans="1:14" x14ac:dyDescent="0.25">
      <c r="A1033" s="3">
        <v>42713.506249999999</v>
      </c>
      <c r="B1033" s="2">
        <f t="shared" si="98"/>
        <v>42713</v>
      </c>
      <c r="C1033" t="str">
        <f t="shared" si="99"/>
        <v>December</v>
      </c>
      <c r="D1033" t="str">
        <f t="shared" si="100"/>
        <v>Friday</v>
      </c>
      <c r="E1033" t="str">
        <f t="shared" si="96"/>
        <v>12:09:00 PM</v>
      </c>
      <c r="F1033" s="3">
        <v>42713.51666666667</v>
      </c>
      <c r="G1033" s="4">
        <f t="shared" si="101"/>
        <v>0.51666666667006211</v>
      </c>
      <c r="H1033" t="str">
        <f t="shared" si="97"/>
        <v>15 min</v>
      </c>
      <c r="I1033" t="s">
        <v>2</v>
      </c>
      <c r="J1033" t="s">
        <v>55</v>
      </c>
      <c r="K1033" t="s">
        <v>87</v>
      </c>
      <c r="L1033">
        <v>5.0999999999999996</v>
      </c>
      <c r="M1033" t="s">
        <v>8</v>
      </c>
      <c r="N1033" t="str" cm="1">
        <f t="array" ref="N1033">_xlfn.IFS(
    AND(HOUR(A1033)&gt;=0, HOUR(A1033)&lt;10), "Morning",
    AND(HOUR(A1033)&gt;=10, HOUR(A1033)&lt;15), "Afternoon",
    AND(HOUR(E1033)&gt;=15, HOUR(E1033)&lt;19), "Evening",
    AND(HOUR(E1033)&gt;=19, HOUR(E1033)&lt;=23), "Night"
)</f>
        <v>Afternoon</v>
      </c>
    </row>
    <row r="1034" spans="1:14" x14ac:dyDescent="0.25">
      <c r="A1034" s="3">
        <v>42713.552083333336</v>
      </c>
      <c r="B1034" s="2">
        <f t="shared" si="98"/>
        <v>42713</v>
      </c>
      <c r="C1034" t="str">
        <f t="shared" si="99"/>
        <v>December</v>
      </c>
      <c r="D1034" t="str">
        <f t="shared" si="100"/>
        <v>Friday</v>
      </c>
      <c r="E1034" t="str">
        <f t="shared" si="96"/>
        <v>01:15:00 PM</v>
      </c>
      <c r="F1034" s="3">
        <v>42713.571527777778</v>
      </c>
      <c r="G1034" s="4">
        <f t="shared" si="101"/>
        <v>0.57152777777810115</v>
      </c>
      <c r="H1034" t="str">
        <f t="shared" si="97"/>
        <v>28 min</v>
      </c>
      <c r="I1034" t="s">
        <v>2</v>
      </c>
      <c r="J1034" t="s">
        <v>87</v>
      </c>
      <c r="K1034" t="s">
        <v>55</v>
      </c>
      <c r="L1034">
        <v>8.8000000000000007</v>
      </c>
      <c r="M1034" t="s">
        <v>11</v>
      </c>
      <c r="N1034" t="str" cm="1">
        <f t="array" ref="N1034">_xlfn.IFS(
    AND(HOUR(A1034)&gt;=0, HOUR(A1034)&lt;10), "Morning",
    AND(HOUR(A1034)&gt;=10, HOUR(A1034)&lt;15), "Afternoon",
    AND(HOUR(E1034)&gt;=15, HOUR(E1034)&lt;19), "Evening",
    AND(HOUR(E1034)&gt;=19, HOUR(E1034)&lt;=23), "Night"
)</f>
        <v>Afternoon</v>
      </c>
    </row>
    <row r="1035" spans="1:14" x14ac:dyDescent="0.25">
      <c r="A1035" s="3">
        <v>42713.84097222222</v>
      </c>
      <c r="B1035" s="2">
        <f t="shared" si="98"/>
        <v>42713</v>
      </c>
      <c r="C1035" t="str">
        <f t="shared" si="99"/>
        <v>December</v>
      </c>
      <c r="D1035" t="str">
        <f t="shared" si="100"/>
        <v>Friday</v>
      </c>
      <c r="E1035" t="str">
        <f t="shared" si="96"/>
        <v>08:11:00 PM</v>
      </c>
      <c r="F1035" s="3">
        <v>42713.856944444444</v>
      </c>
      <c r="G1035" s="4">
        <f t="shared" si="101"/>
        <v>0.85694444444379769</v>
      </c>
      <c r="H1035" t="str">
        <f t="shared" si="97"/>
        <v>23 min</v>
      </c>
      <c r="I1035" t="s">
        <v>2</v>
      </c>
      <c r="J1035" t="s">
        <v>55</v>
      </c>
      <c r="K1035" t="s">
        <v>55</v>
      </c>
      <c r="L1035">
        <v>5.6</v>
      </c>
      <c r="M1035" t="s">
        <v>10</v>
      </c>
      <c r="N1035" t="str" cm="1">
        <f t="array" ref="N1035">_xlfn.IFS(
    AND(HOUR(A1035)&gt;=0, HOUR(A1035)&lt;10), "Morning",
    AND(HOUR(A1035)&gt;=10, HOUR(A1035)&lt;15), "Afternoon",
    AND(HOUR(E1035)&gt;=15, HOUR(E1035)&lt;19), "Evening",
    AND(HOUR(E1035)&gt;=19, HOUR(E1035)&lt;=23), "Night"
)</f>
        <v>Night</v>
      </c>
    </row>
    <row r="1036" spans="1:14" x14ac:dyDescent="0.25">
      <c r="A1036" s="3">
        <v>42713.918749999997</v>
      </c>
      <c r="B1036" s="2">
        <f t="shared" si="98"/>
        <v>42713</v>
      </c>
      <c r="C1036" t="str">
        <f t="shared" si="99"/>
        <v>December</v>
      </c>
      <c r="D1036" t="str">
        <f t="shared" si="100"/>
        <v>Friday</v>
      </c>
      <c r="E1036" t="str">
        <f t="shared" si="96"/>
        <v>10:03:00 PM</v>
      </c>
      <c r="F1036" s="3">
        <v>42713.956250000003</v>
      </c>
      <c r="G1036" s="4">
        <f t="shared" si="101"/>
        <v>0.95625000000291038</v>
      </c>
      <c r="H1036" t="str">
        <f t="shared" si="97"/>
        <v>54 min</v>
      </c>
      <c r="I1036" t="s">
        <v>2</v>
      </c>
      <c r="J1036" t="s">
        <v>55</v>
      </c>
      <c r="K1036" t="s">
        <v>55</v>
      </c>
      <c r="L1036">
        <v>18.899999999999999</v>
      </c>
      <c r="M1036" t="s">
        <v>7</v>
      </c>
      <c r="N1036" t="str" cm="1">
        <f t="array" ref="N1036">_xlfn.IFS(
    AND(HOUR(A1036)&gt;=0, HOUR(A1036)&lt;10), "Morning",
    AND(HOUR(A1036)&gt;=10, HOUR(A1036)&lt;15), "Afternoon",
    AND(HOUR(E1036)&gt;=15, HOUR(E1036)&lt;19), "Evening",
    AND(HOUR(E1036)&gt;=19, HOUR(E1036)&lt;=23), "Night"
)</f>
        <v>Night</v>
      </c>
    </row>
    <row r="1037" spans="1:14" x14ac:dyDescent="0.25">
      <c r="A1037" s="3">
        <v>42714.529861111114</v>
      </c>
      <c r="B1037" s="2">
        <f t="shared" si="98"/>
        <v>42714</v>
      </c>
      <c r="C1037" t="str">
        <f t="shared" si="99"/>
        <v>December</v>
      </c>
      <c r="D1037" t="str">
        <f t="shared" si="100"/>
        <v>Saturday</v>
      </c>
      <c r="E1037" t="str">
        <f t="shared" si="96"/>
        <v>12:43:00 PM</v>
      </c>
      <c r="F1037" s="3">
        <v>42714.552777777775</v>
      </c>
      <c r="G1037" s="4">
        <f t="shared" si="101"/>
        <v>0.55277777777519077</v>
      </c>
      <c r="H1037" t="str">
        <f t="shared" si="97"/>
        <v>33 min</v>
      </c>
      <c r="I1037" t="s">
        <v>2</v>
      </c>
      <c r="J1037" t="s">
        <v>55</v>
      </c>
      <c r="K1037" t="s">
        <v>259</v>
      </c>
      <c r="L1037">
        <v>15.6</v>
      </c>
      <c r="M1037" t="s">
        <v>10</v>
      </c>
      <c r="N1037" t="str" cm="1">
        <f t="array" ref="N1037">_xlfn.IFS(
    AND(HOUR(A1037)&gt;=0, HOUR(A1037)&lt;10), "Morning",
    AND(HOUR(A1037)&gt;=10, HOUR(A1037)&lt;15), "Afternoon",
    AND(HOUR(E1037)&gt;=15, HOUR(E1037)&lt;19), "Evening",
    AND(HOUR(E1037)&gt;=19, HOUR(E1037)&lt;=23), "Night"
)</f>
        <v>Afternoon</v>
      </c>
    </row>
    <row r="1038" spans="1:14" x14ac:dyDescent="0.25">
      <c r="A1038" s="3">
        <v>42714.612500000003</v>
      </c>
      <c r="B1038" s="2">
        <f t="shared" si="98"/>
        <v>42714</v>
      </c>
      <c r="C1038" t="str">
        <f t="shared" si="99"/>
        <v>December</v>
      </c>
      <c r="D1038" t="str">
        <f t="shared" si="100"/>
        <v>Saturday</v>
      </c>
      <c r="E1038" t="str">
        <f t="shared" si="96"/>
        <v>02:42:00 PM</v>
      </c>
      <c r="F1038" s="3">
        <v>42714.637499999997</v>
      </c>
      <c r="G1038" s="4">
        <f t="shared" si="101"/>
        <v>0.63749999999708962</v>
      </c>
      <c r="H1038" t="str">
        <f t="shared" si="97"/>
        <v>36 min</v>
      </c>
      <c r="I1038" t="s">
        <v>2</v>
      </c>
      <c r="J1038" t="s">
        <v>259</v>
      </c>
      <c r="K1038" t="s">
        <v>55</v>
      </c>
      <c r="L1038">
        <v>15.6</v>
      </c>
      <c r="M1038" t="s">
        <v>8</v>
      </c>
      <c r="N1038" t="str" cm="1">
        <f t="array" ref="N1038">_xlfn.IFS(
    AND(HOUR(A1038)&gt;=0, HOUR(A1038)&lt;10), "Morning",
    AND(HOUR(A1038)&gt;=10, HOUR(A1038)&lt;15), "Afternoon",
    AND(HOUR(E1038)&gt;=15, HOUR(E1038)&lt;19), "Evening",
    AND(HOUR(E1038)&gt;=19, HOUR(E1038)&lt;=23), "Night"
)</f>
        <v>Afternoon</v>
      </c>
    </row>
    <row r="1039" spans="1:14" x14ac:dyDescent="0.25">
      <c r="A1039" s="3">
        <v>42714.761805555558</v>
      </c>
      <c r="B1039" s="2">
        <f t="shared" si="98"/>
        <v>42714</v>
      </c>
      <c r="C1039" t="str">
        <f t="shared" si="99"/>
        <v>December</v>
      </c>
      <c r="D1039" t="str">
        <f t="shared" si="100"/>
        <v>Saturday</v>
      </c>
      <c r="E1039" t="str">
        <f t="shared" si="96"/>
        <v>06:17:00 PM</v>
      </c>
      <c r="F1039" s="3">
        <v>42714.768750000003</v>
      </c>
      <c r="G1039" s="4">
        <f t="shared" si="101"/>
        <v>0.76875000000291038</v>
      </c>
      <c r="H1039" t="str">
        <f t="shared" si="97"/>
        <v>10 min</v>
      </c>
      <c r="I1039" t="s">
        <v>2</v>
      </c>
      <c r="J1039" t="s">
        <v>55</v>
      </c>
      <c r="K1039" t="s">
        <v>56</v>
      </c>
      <c r="L1039">
        <v>3</v>
      </c>
      <c r="M1039" t="s">
        <v>9</v>
      </c>
      <c r="N1039" t="str" cm="1">
        <f t="array" ref="N1039">_xlfn.IFS(
    AND(HOUR(A1039)&gt;=0, HOUR(A1039)&lt;10), "Morning",
    AND(HOUR(A1039)&gt;=10, HOUR(A1039)&lt;15), "Afternoon",
    AND(HOUR(E1039)&gt;=15, HOUR(E1039)&lt;19), "Evening",
    AND(HOUR(E1039)&gt;=19, HOUR(E1039)&lt;=23), "Night"
)</f>
        <v>Evening</v>
      </c>
    </row>
    <row r="1040" spans="1:14" x14ac:dyDescent="0.25">
      <c r="A1040" s="3">
        <v>42714.92291666667</v>
      </c>
      <c r="B1040" s="2">
        <f t="shared" si="98"/>
        <v>42714</v>
      </c>
      <c r="C1040" t="str">
        <f t="shared" si="99"/>
        <v>December</v>
      </c>
      <c r="D1040" t="str">
        <f t="shared" si="100"/>
        <v>Saturday</v>
      </c>
      <c r="E1040" t="str">
        <f t="shared" si="96"/>
        <v>10:09:00 PM</v>
      </c>
      <c r="F1040" s="3">
        <v>42714.931250000001</v>
      </c>
      <c r="G1040" s="4">
        <f t="shared" si="101"/>
        <v>0.93125000000145519</v>
      </c>
      <c r="H1040" t="str">
        <f t="shared" si="97"/>
        <v>12 min</v>
      </c>
      <c r="I1040" t="s">
        <v>2</v>
      </c>
      <c r="J1040" t="s">
        <v>56</v>
      </c>
      <c r="K1040" t="s">
        <v>55</v>
      </c>
      <c r="L1040">
        <v>3.1</v>
      </c>
      <c r="M1040" t="s">
        <v>7</v>
      </c>
      <c r="N1040" t="str" cm="1">
        <f t="array" ref="N1040">_xlfn.IFS(
    AND(HOUR(A1040)&gt;=0, HOUR(A1040)&lt;10), "Morning",
    AND(HOUR(A1040)&gt;=10, HOUR(A1040)&lt;15), "Afternoon",
    AND(HOUR(E1040)&gt;=15, HOUR(E1040)&lt;19), "Evening",
    AND(HOUR(E1040)&gt;=19, HOUR(E1040)&lt;=23), "Night"
)</f>
        <v>Night</v>
      </c>
    </row>
    <row r="1041" spans="1:14" x14ac:dyDescent="0.25">
      <c r="A1041" s="3">
        <v>42715.67083333333</v>
      </c>
      <c r="B1041" s="2">
        <f t="shared" si="98"/>
        <v>42715</v>
      </c>
      <c r="C1041" t="str">
        <f t="shared" si="99"/>
        <v>December</v>
      </c>
      <c r="D1041" t="str">
        <f t="shared" si="100"/>
        <v>Sunday</v>
      </c>
      <c r="E1041" t="str">
        <f t="shared" si="96"/>
        <v>04:06:00 PM</v>
      </c>
      <c r="F1041" s="3">
        <v>42715.677777777775</v>
      </c>
      <c r="G1041" s="4">
        <f t="shared" si="101"/>
        <v>0.67777777777519077</v>
      </c>
      <c r="H1041" t="str">
        <f t="shared" si="97"/>
        <v>10 min</v>
      </c>
      <c r="I1041" t="s">
        <v>2</v>
      </c>
      <c r="J1041" t="s">
        <v>55</v>
      </c>
      <c r="K1041" t="s">
        <v>56</v>
      </c>
      <c r="L1041">
        <v>3</v>
      </c>
      <c r="M1041" t="s">
        <v>9</v>
      </c>
      <c r="N1041" t="str" cm="1">
        <f t="array" ref="N1041">_xlfn.IFS(
    AND(HOUR(A1041)&gt;=0, HOUR(A1041)&lt;10), "Morning",
    AND(HOUR(A1041)&gt;=10, HOUR(A1041)&lt;15), "Afternoon",
    AND(HOUR(E1041)&gt;=15, HOUR(E1041)&lt;19), "Evening",
    AND(HOUR(E1041)&gt;=19, HOUR(E1041)&lt;=23), "Night"
)</f>
        <v>Evening</v>
      </c>
    </row>
    <row r="1042" spans="1:14" x14ac:dyDescent="0.25">
      <c r="A1042" s="3">
        <v>42715.795138888891</v>
      </c>
      <c r="B1042" s="2">
        <f t="shared" si="98"/>
        <v>42715</v>
      </c>
      <c r="C1042" t="str">
        <f t="shared" si="99"/>
        <v>December</v>
      </c>
      <c r="D1042" t="str">
        <f t="shared" si="100"/>
        <v>Sunday</v>
      </c>
      <c r="E1042" t="str">
        <f t="shared" si="96"/>
        <v>07:05:00 PM</v>
      </c>
      <c r="F1042" s="3">
        <v>42715.802083333336</v>
      </c>
      <c r="G1042" s="4">
        <f t="shared" si="101"/>
        <v>0.80208333333575865</v>
      </c>
      <c r="H1042" t="str">
        <f t="shared" si="97"/>
        <v>10 min</v>
      </c>
      <c r="I1042" t="s">
        <v>2</v>
      </c>
      <c r="J1042" t="s">
        <v>56</v>
      </c>
      <c r="K1042" t="s">
        <v>55</v>
      </c>
      <c r="L1042">
        <v>4.8</v>
      </c>
      <c r="M1042" t="s">
        <v>8</v>
      </c>
      <c r="N1042" t="str" cm="1">
        <f t="array" ref="N1042">_xlfn.IFS(
    AND(HOUR(A1042)&gt;=0, HOUR(A1042)&lt;10), "Morning",
    AND(HOUR(A1042)&gt;=10, HOUR(A1042)&lt;15), "Afternoon",
    AND(HOUR(E1042)&gt;=15, HOUR(E1042)&lt;19), "Evening",
    AND(HOUR(E1042)&gt;=19, HOUR(E1042)&lt;=23), "Night"
)</f>
        <v>Night</v>
      </c>
    </row>
    <row r="1043" spans="1:14" x14ac:dyDescent="0.25">
      <c r="A1043" s="3">
        <v>42715.908333333333</v>
      </c>
      <c r="B1043" s="2">
        <f t="shared" si="98"/>
        <v>42715</v>
      </c>
      <c r="C1043" t="str">
        <f t="shared" si="99"/>
        <v>December</v>
      </c>
      <c r="D1043" t="str">
        <f t="shared" si="100"/>
        <v>Sunday</v>
      </c>
      <c r="E1043" t="str">
        <f t="shared" si="96"/>
        <v>09:48:00 PM</v>
      </c>
      <c r="F1043" s="3">
        <v>42715.913888888892</v>
      </c>
      <c r="G1043" s="4">
        <f t="shared" si="101"/>
        <v>0.91388888889196096</v>
      </c>
      <c r="H1043" t="str">
        <f t="shared" si="97"/>
        <v>8 min</v>
      </c>
      <c r="I1043" t="s">
        <v>2</v>
      </c>
      <c r="J1043" t="s">
        <v>55</v>
      </c>
      <c r="K1043" t="s">
        <v>55</v>
      </c>
      <c r="L1043">
        <v>2.1</v>
      </c>
      <c r="M1043" t="s">
        <v>8</v>
      </c>
      <c r="N1043" t="str" cm="1">
        <f t="array" ref="N1043">_xlfn.IFS(
    AND(HOUR(A1043)&gt;=0, HOUR(A1043)&lt;10), "Morning",
    AND(HOUR(A1043)&gt;=10, HOUR(A1043)&lt;15), "Afternoon",
    AND(HOUR(E1043)&gt;=15, HOUR(E1043)&lt;19), "Evening",
    AND(HOUR(E1043)&gt;=19, HOUR(E1043)&lt;=23), "Night"
)</f>
        <v>Night</v>
      </c>
    </row>
    <row r="1044" spans="1:14" x14ac:dyDescent="0.25">
      <c r="A1044" s="3">
        <v>42716.556944444441</v>
      </c>
      <c r="B1044" s="2">
        <f t="shared" si="98"/>
        <v>42716</v>
      </c>
      <c r="C1044" t="str">
        <f t="shared" si="99"/>
        <v>December</v>
      </c>
      <c r="D1044" t="str">
        <f t="shared" si="100"/>
        <v>Monday</v>
      </c>
      <c r="E1044" t="str">
        <f t="shared" si="96"/>
        <v>01:22:00 PM</v>
      </c>
      <c r="F1044" s="3">
        <v>42716.563888888886</v>
      </c>
      <c r="G1044" s="4">
        <f t="shared" si="101"/>
        <v>0.56388888888614019</v>
      </c>
      <c r="H1044" t="str">
        <f t="shared" si="97"/>
        <v>10 min</v>
      </c>
      <c r="I1044" t="s">
        <v>2</v>
      </c>
      <c r="J1044" t="s">
        <v>55</v>
      </c>
      <c r="K1044" t="s">
        <v>55</v>
      </c>
      <c r="L1044">
        <v>3.1</v>
      </c>
      <c r="M1044" t="s">
        <v>8</v>
      </c>
      <c r="N1044" t="str" cm="1">
        <f t="array" ref="N1044">_xlfn.IFS(
    AND(HOUR(A1044)&gt;=0, HOUR(A1044)&lt;10), "Morning",
    AND(HOUR(A1044)&gt;=10, HOUR(A1044)&lt;15), "Afternoon",
    AND(HOUR(E1044)&gt;=15, HOUR(E1044)&lt;19), "Evening",
    AND(HOUR(E1044)&gt;=19, HOUR(E1044)&lt;=23), "Night"
)</f>
        <v>Afternoon</v>
      </c>
    </row>
    <row r="1045" spans="1:14" x14ac:dyDescent="0.25">
      <c r="A1045" s="3">
        <v>42716.566666666666</v>
      </c>
      <c r="B1045" s="2">
        <f t="shared" si="98"/>
        <v>42716</v>
      </c>
      <c r="C1045" t="str">
        <f t="shared" si="99"/>
        <v>December</v>
      </c>
      <c r="D1045" t="str">
        <f t="shared" si="100"/>
        <v>Monday</v>
      </c>
      <c r="E1045" t="str">
        <f t="shared" si="96"/>
        <v>01:36:00 PM</v>
      </c>
      <c r="F1045" s="3">
        <v>42716.57708333333</v>
      </c>
      <c r="G1045" s="4">
        <f t="shared" si="101"/>
        <v>0.57708333332993789</v>
      </c>
      <c r="H1045" t="str">
        <f t="shared" si="97"/>
        <v>15 min</v>
      </c>
      <c r="I1045" t="s">
        <v>2</v>
      </c>
      <c r="J1045" t="s">
        <v>55</v>
      </c>
      <c r="K1045" t="s">
        <v>87</v>
      </c>
      <c r="L1045">
        <v>4.4000000000000004</v>
      </c>
      <c r="M1045" t="s">
        <v>9</v>
      </c>
      <c r="N1045" t="str" cm="1">
        <f t="array" ref="N1045">_xlfn.IFS(
    AND(HOUR(A1045)&gt;=0, HOUR(A1045)&lt;10), "Morning",
    AND(HOUR(A1045)&gt;=10, HOUR(A1045)&lt;15), "Afternoon",
    AND(HOUR(E1045)&gt;=15, HOUR(E1045)&lt;19), "Evening",
    AND(HOUR(E1045)&gt;=19, HOUR(E1045)&lt;=23), "Night"
)</f>
        <v>Afternoon</v>
      </c>
    </row>
    <row r="1046" spans="1:14" x14ac:dyDescent="0.25">
      <c r="A1046" s="3">
        <v>42716.601388888892</v>
      </c>
      <c r="B1046" s="2">
        <f t="shared" si="98"/>
        <v>42716</v>
      </c>
      <c r="C1046" t="str">
        <f t="shared" si="99"/>
        <v>December</v>
      </c>
      <c r="D1046" t="str">
        <f t="shared" si="100"/>
        <v>Monday</v>
      </c>
      <c r="E1046" t="str">
        <f t="shared" si="96"/>
        <v>02:26:00 PM</v>
      </c>
      <c r="F1046" s="3">
        <v>42716.61041666667</v>
      </c>
      <c r="G1046" s="4">
        <f t="shared" si="101"/>
        <v>0.61041666667006211</v>
      </c>
      <c r="H1046" t="str">
        <f t="shared" si="97"/>
        <v>13 min</v>
      </c>
      <c r="I1046" t="s">
        <v>2</v>
      </c>
      <c r="J1046" t="s">
        <v>87</v>
      </c>
      <c r="K1046" t="s">
        <v>55</v>
      </c>
      <c r="L1046">
        <v>4.7</v>
      </c>
      <c r="M1046" t="s">
        <v>7</v>
      </c>
      <c r="N1046" t="str" cm="1">
        <f t="array" ref="N1046">_xlfn.IFS(
    AND(HOUR(A1046)&gt;=0, HOUR(A1046)&lt;10), "Morning",
    AND(HOUR(A1046)&gt;=10, HOUR(A1046)&lt;15), "Afternoon",
    AND(HOUR(E1046)&gt;=15, HOUR(E1046)&lt;19), "Evening",
    AND(HOUR(E1046)&gt;=19, HOUR(E1046)&lt;=23), "Night"
)</f>
        <v>Afternoon</v>
      </c>
    </row>
    <row r="1047" spans="1:14" x14ac:dyDescent="0.25">
      <c r="A1047" s="3">
        <v>42716.743750000001</v>
      </c>
      <c r="B1047" s="2">
        <f t="shared" si="98"/>
        <v>42716</v>
      </c>
      <c r="C1047" t="str">
        <f t="shared" si="99"/>
        <v>December</v>
      </c>
      <c r="D1047" t="str">
        <f t="shared" si="100"/>
        <v>Monday</v>
      </c>
      <c r="E1047" t="str">
        <f t="shared" si="96"/>
        <v>05:51:00 PM</v>
      </c>
      <c r="F1047" s="3">
        <v>42716.750694444447</v>
      </c>
      <c r="G1047" s="4">
        <f t="shared" si="101"/>
        <v>0.75069444444670808</v>
      </c>
      <c r="H1047" t="str">
        <f t="shared" si="97"/>
        <v>10 min</v>
      </c>
      <c r="I1047" t="s">
        <v>2</v>
      </c>
      <c r="J1047" t="s">
        <v>55</v>
      </c>
      <c r="K1047" t="s">
        <v>56</v>
      </c>
      <c r="L1047">
        <v>3</v>
      </c>
      <c r="M1047" t="s">
        <v>9</v>
      </c>
      <c r="N1047" t="str" cm="1">
        <f t="array" ref="N1047">_xlfn.IFS(
    AND(HOUR(A1047)&gt;=0, HOUR(A1047)&lt;10), "Morning",
    AND(HOUR(A1047)&gt;=10, HOUR(A1047)&lt;15), "Afternoon",
    AND(HOUR(E1047)&gt;=15, HOUR(E1047)&lt;19), "Evening",
    AND(HOUR(E1047)&gt;=19, HOUR(E1047)&lt;=23), "Night"
)</f>
        <v>Evening</v>
      </c>
    </row>
    <row r="1048" spans="1:14" x14ac:dyDescent="0.25">
      <c r="A1048" s="3">
        <v>42716.866666666669</v>
      </c>
      <c r="B1048" s="2">
        <f t="shared" si="98"/>
        <v>42716</v>
      </c>
      <c r="C1048" t="str">
        <f t="shared" si="99"/>
        <v>December</v>
      </c>
      <c r="D1048" t="str">
        <f t="shared" si="100"/>
        <v>Monday</v>
      </c>
      <c r="E1048" t="str">
        <f t="shared" si="96"/>
        <v>08:48:00 PM</v>
      </c>
      <c r="F1048" s="3">
        <v>42716.872916666667</v>
      </c>
      <c r="G1048" s="4">
        <f t="shared" si="101"/>
        <v>0.87291666666715173</v>
      </c>
      <c r="H1048" t="str">
        <f t="shared" si="97"/>
        <v>9 min</v>
      </c>
      <c r="I1048" t="s">
        <v>2</v>
      </c>
      <c r="J1048" t="s">
        <v>56</v>
      </c>
      <c r="K1048" t="s">
        <v>55</v>
      </c>
      <c r="L1048">
        <v>3</v>
      </c>
      <c r="M1048" t="s">
        <v>7</v>
      </c>
      <c r="N1048" t="str" cm="1">
        <f t="array" ref="N1048">_xlfn.IFS(
    AND(HOUR(A1048)&gt;=0, HOUR(A1048)&lt;10), "Morning",
    AND(HOUR(A1048)&gt;=10, HOUR(A1048)&lt;15), "Afternoon",
    AND(HOUR(E1048)&gt;=15, HOUR(E1048)&lt;19), "Evening",
    AND(HOUR(E1048)&gt;=19, HOUR(E1048)&lt;=23), "Night"
)</f>
        <v>Night</v>
      </c>
    </row>
    <row r="1049" spans="1:14" x14ac:dyDescent="0.25">
      <c r="A1049" s="3">
        <v>42717.763194444444</v>
      </c>
      <c r="B1049" s="2">
        <f t="shared" si="98"/>
        <v>42717</v>
      </c>
      <c r="C1049" t="str">
        <f t="shared" si="99"/>
        <v>December</v>
      </c>
      <c r="D1049" t="str">
        <f t="shared" si="100"/>
        <v>Tuesday</v>
      </c>
      <c r="E1049" t="str">
        <f t="shared" si="96"/>
        <v>06:19:00 PM</v>
      </c>
      <c r="F1049" s="3">
        <v>42717.770138888889</v>
      </c>
      <c r="G1049" s="4">
        <f t="shared" si="101"/>
        <v>0.77013888888905058</v>
      </c>
      <c r="H1049" t="str">
        <f t="shared" si="97"/>
        <v>10 min</v>
      </c>
      <c r="I1049" t="s">
        <v>2</v>
      </c>
      <c r="J1049" t="s">
        <v>55</v>
      </c>
      <c r="K1049" t="s">
        <v>55</v>
      </c>
      <c r="L1049">
        <v>4.2</v>
      </c>
      <c r="M1049" t="s">
        <v>8</v>
      </c>
      <c r="N1049" t="str" cm="1">
        <f t="array" ref="N1049">_xlfn.IFS(
    AND(HOUR(A1049)&gt;=0, HOUR(A1049)&lt;10), "Morning",
    AND(HOUR(A1049)&gt;=10, HOUR(A1049)&lt;15), "Afternoon",
    AND(HOUR(E1049)&gt;=15, HOUR(E1049)&lt;19), "Evening",
    AND(HOUR(E1049)&gt;=19, HOUR(E1049)&lt;=23), "Night"
)</f>
        <v>Evening</v>
      </c>
    </row>
    <row r="1050" spans="1:14" x14ac:dyDescent="0.25">
      <c r="A1050" s="3">
        <v>42717.847222222219</v>
      </c>
      <c r="B1050" s="2">
        <f t="shared" si="98"/>
        <v>42717</v>
      </c>
      <c r="C1050" t="str">
        <f t="shared" si="99"/>
        <v>December</v>
      </c>
      <c r="D1050" t="str">
        <f t="shared" si="100"/>
        <v>Tuesday</v>
      </c>
      <c r="E1050" t="str">
        <f t="shared" si="96"/>
        <v>08:20:00 PM</v>
      </c>
      <c r="F1050" s="3">
        <v>42717.853472222225</v>
      </c>
      <c r="G1050" s="4">
        <f t="shared" si="101"/>
        <v>0.85347222222480923</v>
      </c>
      <c r="H1050" t="str">
        <f t="shared" si="97"/>
        <v>9 min</v>
      </c>
      <c r="I1050" t="s">
        <v>2</v>
      </c>
      <c r="J1050" t="s">
        <v>55</v>
      </c>
      <c r="K1050" t="s">
        <v>55</v>
      </c>
      <c r="L1050">
        <v>4.0999999999999996</v>
      </c>
      <c r="M1050" t="s">
        <v>9</v>
      </c>
      <c r="N1050" t="str" cm="1">
        <f t="array" ref="N1050">_xlfn.IFS(
    AND(HOUR(A1050)&gt;=0, HOUR(A1050)&lt;10), "Morning",
    AND(HOUR(A1050)&gt;=10, HOUR(A1050)&lt;15), "Afternoon",
    AND(HOUR(E1050)&gt;=15, HOUR(E1050)&lt;19), "Evening",
    AND(HOUR(E1050)&gt;=19, HOUR(E1050)&lt;=23), "Night"
)</f>
        <v>Night</v>
      </c>
    </row>
    <row r="1051" spans="1:14" x14ac:dyDescent="0.25">
      <c r="A1051" s="3">
        <v>42718.702777777777</v>
      </c>
      <c r="B1051" s="2">
        <f t="shared" si="98"/>
        <v>42718</v>
      </c>
      <c r="C1051" t="str">
        <f t="shared" si="99"/>
        <v>December</v>
      </c>
      <c r="D1051" t="str">
        <f t="shared" si="100"/>
        <v>Wednesday</v>
      </c>
      <c r="E1051" t="str">
        <f t="shared" si="96"/>
        <v>04:52:00 PM</v>
      </c>
      <c r="F1051" s="3">
        <v>42718.715277777781</v>
      </c>
      <c r="G1051" s="4">
        <f t="shared" si="101"/>
        <v>0.71527777778101154</v>
      </c>
      <c r="H1051" t="str">
        <f t="shared" si="97"/>
        <v>18 min</v>
      </c>
      <c r="I1051" t="s">
        <v>2</v>
      </c>
      <c r="J1051" t="s">
        <v>55</v>
      </c>
      <c r="K1051" t="s">
        <v>55</v>
      </c>
      <c r="L1051">
        <v>3.4</v>
      </c>
      <c r="M1051" t="s">
        <v>52</v>
      </c>
      <c r="N1051" t="str" cm="1">
        <f t="array" ref="N1051">_xlfn.IFS(
    AND(HOUR(A1051)&gt;=0, HOUR(A1051)&lt;10), "Morning",
    AND(HOUR(A1051)&gt;=10, HOUR(A1051)&lt;15), "Afternoon",
    AND(HOUR(E1051)&gt;=15, HOUR(E1051)&lt;19), "Evening",
    AND(HOUR(E1051)&gt;=19, HOUR(E1051)&lt;=23), "Night"
)</f>
        <v>Evening</v>
      </c>
    </row>
    <row r="1052" spans="1:14" x14ac:dyDescent="0.25">
      <c r="A1052" s="3">
        <v>42718.723611111112</v>
      </c>
      <c r="B1052" s="2">
        <f t="shared" si="98"/>
        <v>42718</v>
      </c>
      <c r="C1052" t="str">
        <f t="shared" si="99"/>
        <v>December</v>
      </c>
      <c r="D1052" t="str">
        <f t="shared" si="100"/>
        <v>Wednesday</v>
      </c>
      <c r="E1052" t="str">
        <f t="shared" si="96"/>
        <v>05:22:00 PM</v>
      </c>
      <c r="F1052" s="3">
        <v>42718.731944444444</v>
      </c>
      <c r="G1052" s="4">
        <f t="shared" si="101"/>
        <v>0.73194444444379769</v>
      </c>
      <c r="H1052" t="str">
        <f t="shared" si="97"/>
        <v>12 min</v>
      </c>
      <c r="I1052" t="s">
        <v>2</v>
      </c>
      <c r="J1052" t="s">
        <v>55</v>
      </c>
      <c r="K1052" t="s">
        <v>55</v>
      </c>
      <c r="L1052">
        <v>3.3</v>
      </c>
      <c r="M1052" t="s">
        <v>52</v>
      </c>
      <c r="N1052" t="str" cm="1">
        <f t="array" ref="N1052">_xlfn.IFS(
    AND(HOUR(A1052)&gt;=0, HOUR(A1052)&lt;10), "Morning",
    AND(HOUR(A1052)&gt;=10, HOUR(A1052)&lt;15), "Afternoon",
    AND(HOUR(E1052)&gt;=15, HOUR(E1052)&lt;19), "Evening",
    AND(HOUR(E1052)&gt;=19, HOUR(E1052)&lt;=23), "Night"
)</f>
        <v>Evening</v>
      </c>
    </row>
    <row r="1053" spans="1:14" x14ac:dyDescent="0.25">
      <c r="A1053" s="3">
        <v>42718.743055555555</v>
      </c>
      <c r="B1053" s="2">
        <f t="shared" si="98"/>
        <v>42718</v>
      </c>
      <c r="C1053" t="str">
        <f t="shared" si="99"/>
        <v>December</v>
      </c>
      <c r="D1053" t="str">
        <f t="shared" si="100"/>
        <v>Wednesday</v>
      </c>
      <c r="E1053" t="str">
        <f t="shared" si="96"/>
        <v>05:50:00 PM</v>
      </c>
      <c r="F1053" s="3">
        <v>42718.75</v>
      </c>
      <c r="G1053" s="4">
        <f t="shared" si="101"/>
        <v>0.75</v>
      </c>
      <c r="H1053" t="str">
        <f t="shared" si="97"/>
        <v>10 min</v>
      </c>
      <c r="I1053" t="s">
        <v>2</v>
      </c>
      <c r="J1053" t="s">
        <v>55</v>
      </c>
      <c r="K1053" t="s">
        <v>56</v>
      </c>
      <c r="L1053">
        <v>3</v>
      </c>
      <c r="M1053" t="s">
        <v>9</v>
      </c>
      <c r="N1053" t="str" cm="1">
        <f t="array" ref="N1053">_xlfn.IFS(
    AND(HOUR(A1053)&gt;=0, HOUR(A1053)&lt;10), "Morning",
    AND(HOUR(A1053)&gt;=10, HOUR(A1053)&lt;15), "Afternoon",
    AND(HOUR(E1053)&gt;=15, HOUR(E1053)&lt;19), "Evening",
    AND(HOUR(E1053)&gt;=19, HOUR(E1053)&lt;=23), "Night"
)</f>
        <v>Evening</v>
      </c>
    </row>
    <row r="1054" spans="1:14" x14ac:dyDescent="0.25">
      <c r="A1054" s="3">
        <v>42718.85</v>
      </c>
      <c r="B1054" s="2">
        <f t="shared" si="98"/>
        <v>42718</v>
      </c>
      <c r="C1054" t="str">
        <f t="shared" si="99"/>
        <v>December</v>
      </c>
      <c r="D1054" t="str">
        <f t="shared" si="100"/>
        <v>Wednesday</v>
      </c>
      <c r="E1054" t="str">
        <f t="shared" si="96"/>
        <v>08:24:00 PM</v>
      </c>
      <c r="F1054" s="3">
        <v>42718.861111111109</v>
      </c>
      <c r="G1054" s="4">
        <f t="shared" si="101"/>
        <v>0.86111111110949423</v>
      </c>
      <c r="H1054" t="str">
        <f t="shared" si="97"/>
        <v>16 min</v>
      </c>
      <c r="I1054" t="s">
        <v>2</v>
      </c>
      <c r="J1054" t="s">
        <v>56</v>
      </c>
      <c r="K1054" t="s">
        <v>55</v>
      </c>
      <c r="L1054">
        <v>3.1</v>
      </c>
      <c r="M1054" t="s">
        <v>7</v>
      </c>
      <c r="N1054" t="str" cm="1">
        <f t="array" ref="N1054">_xlfn.IFS(
    AND(HOUR(A1054)&gt;=0, HOUR(A1054)&lt;10), "Morning",
    AND(HOUR(A1054)&gt;=10, HOUR(A1054)&lt;15), "Afternoon",
    AND(HOUR(E1054)&gt;=15, HOUR(E1054)&lt;19), "Evening",
    AND(HOUR(E1054)&gt;=19, HOUR(E1054)&lt;=23), "Night"
)</f>
        <v>Night</v>
      </c>
    </row>
    <row r="1055" spans="1:14" x14ac:dyDescent="0.25">
      <c r="A1055" s="3">
        <v>42719.597222222219</v>
      </c>
      <c r="B1055" s="2">
        <f t="shared" si="98"/>
        <v>42719</v>
      </c>
      <c r="C1055" t="str">
        <f t="shared" si="99"/>
        <v>December</v>
      </c>
      <c r="D1055" t="str">
        <f t="shared" si="100"/>
        <v>Thursday</v>
      </c>
      <c r="E1055" t="str">
        <f t="shared" si="96"/>
        <v>02:20:00 PM</v>
      </c>
      <c r="F1055" s="3">
        <v>42719.620833333334</v>
      </c>
      <c r="G1055" s="4">
        <f t="shared" si="101"/>
        <v>0.62083333333430346</v>
      </c>
      <c r="H1055" t="str">
        <f t="shared" si="97"/>
        <v>34 min</v>
      </c>
      <c r="I1055" t="s">
        <v>2</v>
      </c>
      <c r="J1055" t="s">
        <v>55</v>
      </c>
      <c r="K1055" t="s">
        <v>56</v>
      </c>
      <c r="L1055">
        <v>10.6</v>
      </c>
      <c r="M1055" t="s">
        <v>10</v>
      </c>
      <c r="N1055" t="str" cm="1">
        <f t="array" ref="N1055">_xlfn.IFS(
    AND(HOUR(A1055)&gt;=0, HOUR(A1055)&lt;10), "Morning",
    AND(HOUR(A1055)&gt;=10, HOUR(A1055)&lt;15), "Afternoon",
    AND(HOUR(E1055)&gt;=15, HOUR(E1055)&lt;19), "Evening",
    AND(HOUR(E1055)&gt;=19, HOUR(E1055)&lt;=23), "Night"
)</f>
        <v>Afternoon</v>
      </c>
    </row>
    <row r="1056" spans="1:14" x14ac:dyDescent="0.25">
      <c r="A1056" s="3">
        <v>42721.651388888888</v>
      </c>
      <c r="B1056" s="2">
        <f t="shared" si="98"/>
        <v>42721</v>
      </c>
      <c r="C1056" t="str">
        <f t="shared" si="99"/>
        <v>December</v>
      </c>
      <c r="D1056" t="str">
        <f t="shared" si="100"/>
        <v>Saturday</v>
      </c>
      <c r="E1056" t="str">
        <f t="shared" si="96"/>
        <v>03:38:00 PM</v>
      </c>
      <c r="F1056" s="3">
        <v>42721.675000000003</v>
      </c>
      <c r="G1056" s="4">
        <f t="shared" si="101"/>
        <v>0.67500000000291038</v>
      </c>
      <c r="H1056" t="str">
        <f t="shared" si="97"/>
        <v>34 min</v>
      </c>
      <c r="I1056" t="s">
        <v>2</v>
      </c>
      <c r="J1056" t="s">
        <v>102</v>
      </c>
      <c r="K1056" t="s">
        <v>102</v>
      </c>
      <c r="L1056">
        <v>4.8</v>
      </c>
      <c r="M1056" t="s">
        <v>224</v>
      </c>
      <c r="N1056" t="str" cm="1">
        <f t="array" ref="N1056">_xlfn.IFS(
    AND(HOUR(A1056)&gt;=0, HOUR(A1056)&lt;10), "Morning",
    AND(HOUR(A1056)&gt;=10, HOUR(A1056)&lt;15), "Afternoon",
    AND(HOUR(E1056)&gt;=15, HOUR(E1056)&lt;19), "Evening",
    AND(HOUR(E1056)&gt;=19, HOUR(E1056)&lt;=23), "Night"
)</f>
        <v>Evening</v>
      </c>
    </row>
    <row r="1057" spans="1:14" x14ac:dyDescent="0.25">
      <c r="A1057" s="3">
        <v>42721.72152777778</v>
      </c>
      <c r="B1057" s="2">
        <f t="shared" si="98"/>
        <v>42721</v>
      </c>
      <c r="C1057" t="str">
        <f t="shared" si="99"/>
        <v>December</v>
      </c>
      <c r="D1057" t="str">
        <f t="shared" si="100"/>
        <v>Saturday</v>
      </c>
      <c r="E1057" t="str">
        <f t="shared" si="96"/>
        <v>05:19:00 PM</v>
      </c>
      <c r="F1057" s="3">
        <v>42721.749305555553</v>
      </c>
      <c r="G1057" s="4">
        <f t="shared" si="101"/>
        <v>0.74930555555329192</v>
      </c>
      <c r="H1057" t="str">
        <f t="shared" si="97"/>
        <v>40 min</v>
      </c>
      <c r="I1057" t="s">
        <v>2</v>
      </c>
      <c r="J1057" t="s">
        <v>102</v>
      </c>
      <c r="K1057" t="s">
        <v>102</v>
      </c>
      <c r="L1057">
        <v>5.3</v>
      </c>
      <c r="M1057" t="s">
        <v>11</v>
      </c>
      <c r="N1057" t="str" cm="1">
        <f t="array" ref="N1057">_xlfn.IFS(
    AND(HOUR(A1057)&gt;=0, HOUR(A1057)&lt;10), "Morning",
    AND(HOUR(A1057)&gt;=10, HOUR(A1057)&lt;15), "Afternoon",
    AND(HOUR(E1057)&gt;=15, HOUR(E1057)&lt;19), "Evening",
    AND(HOUR(E1057)&gt;=19, HOUR(E1057)&lt;=23), "Night"
)</f>
        <v>Evening</v>
      </c>
    </row>
    <row r="1058" spans="1:14" x14ac:dyDescent="0.25">
      <c r="A1058" s="3">
        <v>42722.543749999997</v>
      </c>
      <c r="B1058" s="2">
        <f t="shared" si="98"/>
        <v>42722</v>
      </c>
      <c r="C1058" t="str">
        <f t="shared" si="99"/>
        <v>December</v>
      </c>
      <c r="D1058" t="str">
        <f t="shared" si="100"/>
        <v>Sunday</v>
      </c>
      <c r="E1058" t="str">
        <f t="shared" si="96"/>
        <v>01:03:00 PM</v>
      </c>
      <c r="F1058" s="3">
        <v>42722.570138888892</v>
      </c>
      <c r="G1058" s="4">
        <f t="shared" si="101"/>
        <v>0.57013888889196096</v>
      </c>
      <c r="H1058" t="str">
        <f t="shared" si="97"/>
        <v>38 min</v>
      </c>
      <c r="I1058" t="s">
        <v>2</v>
      </c>
      <c r="J1058" t="s">
        <v>102</v>
      </c>
      <c r="K1058" t="s">
        <v>102</v>
      </c>
      <c r="L1058">
        <v>4.9000000000000004</v>
      </c>
      <c r="M1058" t="s">
        <v>8</v>
      </c>
      <c r="N1058" t="str" cm="1">
        <f t="array" ref="N1058">_xlfn.IFS(
    AND(HOUR(A1058)&gt;=0, HOUR(A1058)&lt;10), "Morning",
    AND(HOUR(A1058)&gt;=10, HOUR(A1058)&lt;15), "Afternoon",
    AND(HOUR(E1058)&gt;=15, HOUR(E1058)&lt;19), "Evening",
    AND(HOUR(E1058)&gt;=19, HOUR(E1058)&lt;=23), "Night"
)</f>
        <v>Afternoon</v>
      </c>
    </row>
    <row r="1059" spans="1:14" x14ac:dyDescent="0.25">
      <c r="A1059" s="3">
        <v>42722.693055555559</v>
      </c>
      <c r="B1059" s="2">
        <f t="shared" si="98"/>
        <v>42722</v>
      </c>
      <c r="C1059" t="str">
        <f t="shared" si="99"/>
        <v>December</v>
      </c>
      <c r="D1059" t="str">
        <f t="shared" si="100"/>
        <v>Sunday</v>
      </c>
      <c r="E1059" t="str">
        <f t="shared" si="96"/>
        <v>04:38:00 PM</v>
      </c>
      <c r="F1059" s="3">
        <v>42722.725694444445</v>
      </c>
      <c r="G1059" s="4">
        <f t="shared" si="101"/>
        <v>0.72569444444525288</v>
      </c>
      <c r="H1059" t="str">
        <f t="shared" si="97"/>
        <v>47 min</v>
      </c>
      <c r="I1059" t="s">
        <v>2</v>
      </c>
      <c r="J1059" t="s">
        <v>102</v>
      </c>
      <c r="K1059" t="s">
        <v>102</v>
      </c>
      <c r="L1059">
        <v>10.199999999999999</v>
      </c>
      <c r="M1059" t="s">
        <v>8</v>
      </c>
      <c r="N1059" t="str" cm="1">
        <f t="array" ref="N1059">_xlfn.IFS(
    AND(HOUR(A1059)&gt;=0, HOUR(A1059)&lt;10), "Morning",
    AND(HOUR(A1059)&gt;=10, HOUR(A1059)&lt;15), "Afternoon",
    AND(HOUR(E1059)&gt;=15, HOUR(E1059)&lt;19), "Evening",
    AND(HOUR(E1059)&gt;=19, HOUR(E1059)&lt;=23), "Night"
)</f>
        <v>Evening</v>
      </c>
    </row>
    <row r="1060" spans="1:14" x14ac:dyDescent="0.25">
      <c r="A1060" s="3">
        <v>42722.857638888891</v>
      </c>
      <c r="B1060" s="2">
        <f t="shared" si="98"/>
        <v>42722</v>
      </c>
      <c r="C1060" t="str">
        <f t="shared" si="99"/>
        <v>December</v>
      </c>
      <c r="D1060" t="str">
        <f t="shared" si="100"/>
        <v>Sunday</v>
      </c>
      <c r="E1060" t="str">
        <f t="shared" si="96"/>
        <v>08:35:00 PM</v>
      </c>
      <c r="F1060" s="3">
        <v>42722.87777777778</v>
      </c>
      <c r="G1060" s="4">
        <f t="shared" si="101"/>
        <v>0.87777777777955635</v>
      </c>
      <c r="H1060" t="str">
        <f t="shared" si="97"/>
        <v>29 min</v>
      </c>
      <c r="I1060" t="s">
        <v>2</v>
      </c>
      <c r="J1060" t="s">
        <v>102</v>
      </c>
      <c r="K1060" t="s">
        <v>102</v>
      </c>
      <c r="L1060">
        <v>9.1999999999999993</v>
      </c>
      <c r="M1060" t="s">
        <v>52</v>
      </c>
      <c r="N1060" t="str" cm="1">
        <f t="array" ref="N1060">_xlfn.IFS(
    AND(HOUR(A1060)&gt;=0, HOUR(A1060)&lt;10), "Morning",
    AND(HOUR(A1060)&gt;=10, HOUR(A1060)&lt;15), "Afternoon",
    AND(HOUR(E1060)&gt;=15, HOUR(E1060)&lt;19), "Evening",
    AND(HOUR(E1060)&gt;=19, HOUR(E1060)&lt;=23), "Night"
)</f>
        <v>Night</v>
      </c>
    </row>
    <row r="1061" spans="1:14" x14ac:dyDescent="0.25">
      <c r="A1061" s="3">
        <v>42723.380555555559</v>
      </c>
      <c r="B1061" s="2">
        <f t="shared" si="98"/>
        <v>42723</v>
      </c>
      <c r="C1061" t="str">
        <f t="shared" si="99"/>
        <v>December</v>
      </c>
      <c r="D1061" t="str">
        <f t="shared" si="100"/>
        <v>Monday</v>
      </c>
      <c r="E1061" t="str">
        <f t="shared" si="96"/>
        <v>09:08:00 AM</v>
      </c>
      <c r="F1061" s="3">
        <v>42723.4</v>
      </c>
      <c r="G1061" s="4">
        <f t="shared" si="101"/>
        <v>0.40000000000145519</v>
      </c>
      <c r="H1061" t="str">
        <f t="shared" si="97"/>
        <v>28 min</v>
      </c>
      <c r="I1061" t="s">
        <v>2</v>
      </c>
      <c r="J1061" t="s">
        <v>102</v>
      </c>
      <c r="K1061" t="s">
        <v>105</v>
      </c>
      <c r="L1061">
        <v>7.7</v>
      </c>
      <c r="M1061" t="s">
        <v>8</v>
      </c>
      <c r="N1061" t="str" cm="1">
        <f t="array" ref="N1061">_xlfn.IFS(
    AND(HOUR(A1061)&gt;=0, HOUR(A1061)&lt;10), "Morning",
    AND(HOUR(A1061)&gt;=10, HOUR(A1061)&lt;15), "Afternoon",
    AND(HOUR(E1061)&gt;=15, HOUR(E1061)&lt;19), "Evening",
    AND(HOUR(E1061)&gt;=19, HOUR(E1061)&lt;=23), "Night"
)</f>
        <v>Morning</v>
      </c>
    </row>
    <row r="1062" spans="1:14" x14ac:dyDescent="0.25">
      <c r="A1062" s="3">
        <v>42723.427083333336</v>
      </c>
      <c r="B1062" s="2">
        <f t="shared" si="98"/>
        <v>42723</v>
      </c>
      <c r="C1062" t="str">
        <f t="shared" si="99"/>
        <v>December</v>
      </c>
      <c r="D1062" t="str">
        <f t="shared" si="100"/>
        <v>Monday</v>
      </c>
      <c r="E1062" t="str">
        <f t="shared" si="96"/>
        <v>10:15:00 AM</v>
      </c>
      <c r="F1062" s="3">
        <v>42723.44027777778</v>
      </c>
      <c r="G1062" s="4">
        <f t="shared" si="101"/>
        <v>0.44027777777955635</v>
      </c>
      <c r="H1062" t="str">
        <f t="shared" si="97"/>
        <v>19 min</v>
      </c>
      <c r="I1062" t="s">
        <v>2</v>
      </c>
      <c r="J1062" t="s">
        <v>105</v>
      </c>
      <c r="K1062" t="s">
        <v>260</v>
      </c>
      <c r="L1062">
        <v>5.9</v>
      </c>
      <c r="M1062" t="s">
        <v>11</v>
      </c>
      <c r="N1062" t="str" cm="1">
        <f t="array" ref="N1062">_xlfn.IFS(
    AND(HOUR(A1062)&gt;=0, HOUR(A1062)&lt;10), "Morning",
    AND(HOUR(A1062)&gt;=10, HOUR(A1062)&lt;15), "Afternoon",
    AND(HOUR(E1062)&gt;=15, HOUR(E1062)&lt;19), "Evening",
    AND(HOUR(E1062)&gt;=19, HOUR(E1062)&lt;=23), "Night"
)</f>
        <v>Afternoon</v>
      </c>
    </row>
    <row r="1063" spans="1:14" x14ac:dyDescent="0.25">
      <c r="A1063" s="3">
        <v>42723.544444444444</v>
      </c>
      <c r="B1063" s="2">
        <f t="shared" si="98"/>
        <v>42723</v>
      </c>
      <c r="C1063" t="str">
        <f t="shared" si="99"/>
        <v>December</v>
      </c>
      <c r="D1063" t="str">
        <f t="shared" si="100"/>
        <v>Monday</v>
      </c>
      <c r="E1063" t="str">
        <f t="shared" si="96"/>
        <v>01:04:00 PM</v>
      </c>
      <c r="F1063" s="3">
        <v>42723.547222222223</v>
      </c>
      <c r="G1063" s="4">
        <f t="shared" si="101"/>
        <v>0.54722222222335404</v>
      </c>
      <c r="H1063" t="str">
        <f t="shared" si="97"/>
        <v>4 min</v>
      </c>
      <c r="I1063" t="s">
        <v>2</v>
      </c>
      <c r="J1063" t="s">
        <v>260</v>
      </c>
      <c r="K1063" t="s">
        <v>102</v>
      </c>
      <c r="L1063">
        <v>0.7</v>
      </c>
      <c r="M1063" t="s">
        <v>8</v>
      </c>
      <c r="N1063" t="str" cm="1">
        <f t="array" ref="N1063">_xlfn.IFS(
    AND(HOUR(A1063)&gt;=0, HOUR(A1063)&lt;10), "Morning",
    AND(HOUR(A1063)&gt;=10, HOUR(A1063)&lt;15), "Afternoon",
    AND(HOUR(E1063)&gt;=15, HOUR(E1063)&lt;19), "Evening",
    AND(HOUR(E1063)&gt;=19, HOUR(E1063)&lt;=23), "Night"
)</f>
        <v>Afternoon</v>
      </c>
    </row>
    <row r="1064" spans="1:14" x14ac:dyDescent="0.25">
      <c r="A1064" s="3">
        <v>42723.558333333334</v>
      </c>
      <c r="B1064" s="2">
        <f t="shared" si="98"/>
        <v>42723</v>
      </c>
      <c r="C1064" t="str">
        <f t="shared" si="99"/>
        <v>December</v>
      </c>
      <c r="D1064" t="str">
        <f t="shared" si="100"/>
        <v>Monday</v>
      </c>
      <c r="E1064" t="str">
        <f t="shared" si="96"/>
        <v>01:24:00 PM</v>
      </c>
      <c r="F1064" s="3">
        <v>42723.565972222219</v>
      </c>
      <c r="G1064" s="4">
        <f t="shared" si="101"/>
        <v>0.56597222221898846</v>
      </c>
      <c r="H1064" t="str">
        <f t="shared" si="97"/>
        <v>11 min</v>
      </c>
      <c r="I1064" t="s">
        <v>2</v>
      </c>
      <c r="J1064" t="s">
        <v>102</v>
      </c>
      <c r="K1064" t="s">
        <v>102</v>
      </c>
      <c r="L1064">
        <v>1.3</v>
      </c>
      <c r="M1064" t="s">
        <v>52</v>
      </c>
      <c r="N1064" t="str" cm="1">
        <f t="array" ref="N1064">_xlfn.IFS(
    AND(HOUR(A1064)&gt;=0, HOUR(A1064)&lt;10), "Morning",
    AND(HOUR(A1064)&gt;=10, HOUR(A1064)&lt;15), "Afternoon",
    AND(HOUR(E1064)&gt;=15, HOUR(E1064)&lt;19), "Evening",
    AND(HOUR(E1064)&gt;=19, HOUR(E1064)&lt;=23), "Night"
)</f>
        <v>Afternoon</v>
      </c>
    </row>
    <row r="1065" spans="1:14" x14ac:dyDescent="0.25">
      <c r="A1065" s="3">
        <v>42723.588194444441</v>
      </c>
      <c r="B1065" s="2">
        <f t="shared" si="98"/>
        <v>42723</v>
      </c>
      <c r="C1065" t="str">
        <f t="shared" si="99"/>
        <v>December</v>
      </c>
      <c r="D1065" t="str">
        <f t="shared" si="100"/>
        <v>Monday</v>
      </c>
      <c r="E1065" t="str">
        <f t="shared" si="96"/>
        <v>02:07:00 PM</v>
      </c>
      <c r="F1065" s="3">
        <v>42723.59375</v>
      </c>
      <c r="G1065" s="4">
        <f t="shared" si="101"/>
        <v>0.59375</v>
      </c>
      <c r="H1065" t="str">
        <f t="shared" si="97"/>
        <v>8 min</v>
      </c>
      <c r="I1065" t="s">
        <v>2</v>
      </c>
      <c r="J1065" t="s">
        <v>102</v>
      </c>
      <c r="K1065" t="s">
        <v>102</v>
      </c>
      <c r="L1065">
        <v>2.5</v>
      </c>
      <c r="M1065" t="s">
        <v>52</v>
      </c>
      <c r="N1065" t="str" cm="1">
        <f t="array" ref="N1065">_xlfn.IFS(
    AND(HOUR(A1065)&gt;=0, HOUR(A1065)&lt;10), "Morning",
    AND(HOUR(A1065)&gt;=10, HOUR(A1065)&lt;15), "Afternoon",
    AND(HOUR(E1065)&gt;=15, HOUR(E1065)&lt;19), "Evening",
    AND(HOUR(E1065)&gt;=19, HOUR(E1065)&lt;=23), "Night"
)</f>
        <v>Afternoon</v>
      </c>
    </row>
    <row r="1066" spans="1:14" x14ac:dyDescent="0.25">
      <c r="A1066" s="3">
        <v>42723.595833333333</v>
      </c>
      <c r="B1066" s="2">
        <f t="shared" si="98"/>
        <v>42723</v>
      </c>
      <c r="C1066" t="str">
        <f t="shared" si="99"/>
        <v>December</v>
      </c>
      <c r="D1066" t="str">
        <f t="shared" si="100"/>
        <v>Monday</v>
      </c>
      <c r="E1066" t="str">
        <f t="shared" si="96"/>
        <v>02:18:00 PM</v>
      </c>
      <c r="F1066" s="3">
        <v>42723.605555555558</v>
      </c>
      <c r="G1066" s="4">
        <f t="shared" si="101"/>
        <v>0.6055555555576575</v>
      </c>
      <c r="H1066" t="str">
        <f t="shared" si="97"/>
        <v>14 min</v>
      </c>
      <c r="I1066" t="s">
        <v>2</v>
      </c>
      <c r="J1066" t="s">
        <v>102</v>
      </c>
      <c r="K1066" t="s">
        <v>102</v>
      </c>
      <c r="L1066">
        <v>5.3</v>
      </c>
      <c r="M1066" t="s">
        <v>52</v>
      </c>
      <c r="N1066" t="str" cm="1">
        <f t="array" ref="N1066">_xlfn.IFS(
    AND(HOUR(A1066)&gt;=0, HOUR(A1066)&lt;10), "Morning",
    AND(HOUR(A1066)&gt;=10, HOUR(A1066)&lt;15), "Afternoon",
    AND(HOUR(E1066)&gt;=15, HOUR(E1066)&lt;19), "Evening",
    AND(HOUR(E1066)&gt;=19, HOUR(E1066)&lt;=23), "Night"
)</f>
        <v>Afternoon</v>
      </c>
    </row>
    <row r="1067" spans="1:14" x14ac:dyDescent="0.25">
      <c r="A1067" s="3">
        <v>42723.609027777777</v>
      </c>
      <c r="B1067" s="2">
        <f t="shared" si="98"/>
        <v>42723</v>
      </c>
      <c r="C1067" t="str">
        <f t="shared" si="99"/>
        <v>December</v>
      </c>
      <c r="D1067" t="str">
        <f t="shared" si="100"/>
        <v>Monday</v>
      </c>
      <c r="E1067" t="str">
        <f t="shared" si="96"/>
        <v>02:37:00 PM</v>
      </c>
      <c r="F1067" s="3">
        <v>42723.618055555555</v>
      </c>
      <c r="G1067" s="4">
        <f t="shared" si="101"/>
        <v>0.61805555555474712</v>
      </c>
      <c r="H1067" t="str">
        <f t="shared" si="97"/>
        <v>13 min</v>
      </c>
      <c r="I1067" t="s">
        <v>2</v>
      </c>
      <c r="J1067" t="s">
        <v>102</v>
      </c>
      <c r="K1067" t="s">
        <v>102</v>
      </c>
      <c r="L1067">
        <v>5.4</v>
      </c>
      <c r="M1067" t="s">
        <v>52</v>
      </c>
      <c r="N1067" t="str" cm="1">
        <f t="array" ref="N1067">_xlfn.IFS(
    AND(HOUR(A1067)&gt;=0, HOUR(A1067)&lt;10), "Morning",
    AND(HOUR(A1067)&gt;=10, HOUR(A1067)&lt;15), "Afternoon",
    AND(HOUR(E1067)&gt;=15, HOUR(E1067)&lt;19), "Evening",
    AND(HOUR(E1067)&gt;=19, HOUR(E1067)&lt;=23), "Night"
)</f>
        <v>Afternoon</v>
      </c>
    </row>
    <row r="1068" spans="1:14" x14ac:dyDescent="0.25">
      <c r="A1068" s="3">
        <v>42723.631249999999</v>
      </c>
      <c r="B1068" s="2">
        <f t="shared" si="98"/>
        <v>42723</v>
      </c>
      <c r="C1068" t="str">
        <f t="shared" si="99"/>
        <v>December</v>
      </c>
      <c r="D1068" t="str">
        <f t="shared" si="100"/>
        <v>Monday</v>
      </c>
      <c r="E1068" t="str">
        <f t="shared" si="96"/>
        <v>03:09:00 PM</v>
      </c>
      <c r="F1068" s="3">
        <v>42723.651388888888</v>
      </c>
      <c r="G1068" s="4">
        <f t="shared" si="101"/>
        <v>0.65138888888759539</v>
      </c>
      <c r="H1068" t="str">
        <f t="shared" si="97"/>
        <v>29 min</v>
      </c>
      <c r="I1068" t="s">
        <v>2</v>
      </c>
      <c r="J1068" t="s">
        <v>102</v>
      </c>
      <c r="K1068" t="s">
        <v>260</v>
      </c>
      <c r="L1068">
        <v>10.199999999999999</v>
      </c>
      <c r="M1068" t="s">
        <v>7</v>
      </c>
      <c r="N1068" t="str" cm="1">
        <f t="array" ref="N1068">_xlfn.IFS(
    AND(HOUR(A1068)&gt;=0, HOUR(A1068)&lt;10), "Morning",
    AND(HOUR(A1068)&gt;=10, HOUR(A1068)&lt;15), "Afternoon",
    AND(HOUR(E1068)&gt;=15, HOUR(E1068)&lt;19), "Evening",
    AND(HOUR(E1068)&gt;=19, HOUR(E1068)&lt;=23), "Night"
)</f>
        <v>Evening</v>
      </c>
    </row>
    <row r="1069" spans="1:14" x14ac:dyDescent="0.25">
      <c r="A1069" s="3">
        <v>42723.701388888891</v>
      </c>
      <c r="B1069" s="2">
        <f t="shared" si="98"/>
        <v>42723</v>
      </c>
      <c r="C1069" t="str">
        <f t="shared" si="99"/>
        <v>December</v>
      </c>
      <c r="D1069" t="str">
        <f t="shared" si="100"/>
        <v>Monday</v>
      </c>
      <c r="E1069" t="str">
        <f t="shared" si="96"/>
        <v>04:50:00 PM</v>
      </c>
      <c r="F1069" s="3">
        <v>42723.714583333334</v>
      </c>
      <c r="G1069" s="4">
        <f t="shared" si="101"/>
        <v>0.71458333333430346</v>
      </c>
      <c r="H1069" t="str">
        <f t="shared" si="97"/>
        <v>19 min</v>
      </c>
      <c r="I1069" t="s">
        <v>2</v>
      </c>
      <c r="J1069" t="s">
        <v>260</v>
      </c>
      <c r="K1069" t="s">
        <v>105</v>
      </c>
      <c r="L1069">
        <v>7.2</v>
      </c>
      <c r="M1069" t="s">
        <v>7</v>
      </c>
      <c r="N1069" t="str" cm="1">
        <f t="array" ref="N1069">_xlfn.IFS(
    AND(HOUR(A1069)&gt;=0, HOUR(A1069)&lt;10), "Morning",
    AND(HOUR(A1069)&gt;=10, HOUR(A1069)&lt;15), "Afternoon",
    AND(HOUR(E1069)&gt;=15, HOUR(E1069)&lt;19), "Evening",
    AND(HOUR(E1069)&gt;=19, HOUR(E1069)&lt;=23), "Night"
)</f>
        <v>Evening</v>
      </c>
    </row>
    <row r="1070" spans="1:14" x14ac:dyDescent="0.25">
      <c r="A1070" s="3">
        <v>42723.795138888891</v>
      </c>
      <c r="B1070" s="2">
        <f t="shared" si="98"/>
        <v>42723</v>
      </c>
      <c r="C1070" t="str">
        <f t="shared" si="99"/>
        <v>December</v>
      </c>
      <c r="D1070" t="str">
        <f t="shared" si="100"/>
        <v>Monday</v>
      </c>
      <c r="E1070" t="str">
        <f t="shared" si="96"/>
        <v>07:05:00 PM</v>
      </c>
      <c r="F1070" s="3">
        <v>42723.803472222222</v>
      </c>
      <c r="G1070" s="4">
        <f t="shared" si="101"/>
        <v>0.80347222222189885</v>
      </c>
      <c r="H1070" t="str">
        <f t="shared" si="97"/>
        <v>12 min</v>
      </c>
      <c r="I1070" t="s">
        <v>2</v>
      </c>
      <c r="J1070" t="s">
        <v>105</v>
      </c>
      <c r="K1070" t="s">
        <v>102</v>
      </c>
      <c r="L1070">
        <v>2.2000000000000002</v>
      </c>
      <c r="M1070" t="s">
        <v>52</v>
      </c>
      <c r="N1070" t="str" cm="1">
        <f t="array" ref="N1070">_xlfn.IFS(
    AND(HOUR(A1070)&gt;=0, HOUR(A1070)&lt;10), "Morning",
    AND(HOUR(A1070)&gt;=10, HOUR(A1070)&lt;15), "Afternoon",
    AND(HOUR(E1070)&gt;=15, HOUR(E1070)&lt;19), "Evening",
    AND(HOUR(E1070)&gt;=19, HOUR(E1070)&lt;=23), "Night"
)</f>
        <v>Night</v>
      </c>
    </row>
    <row r="1071" spans="1:14" x14ac:dyDescent="0.25">
      <c r="A1071" s="3">
        <v>42723.829861111109</v>
      </c>
      <c r="B1071" s="2">
        <f t="shared" si="98"/>
        <v>42723</v>
      </c>
      <c r="C1071" t="str">
        <f t="shared" si="99"/>
        <v>December</v>
      </c>
      <c r="D1071" t="str">
        <f t="shared" si="100"/>
        <v>Monday</v>
      </c>
      <c r="E1071" t="str">
        <f t="shared" si="96"/>
        <v>07:55:00 PM</v>
      </c>
      <c r="F1071" s="3">
        <v>42723.854166666664</v>
      </c>
      <c r="G1071" s="4">
        <f t="shared" si="101"/>
        <v>0.85416666666424135</v>
      </c>
      <c r="H1071" t="str">
        <f t="shared" si="97"/>
        <v>35 min</v>
      </c>
      <c r="I1071" t="s">
        <v>2</v>
      </c>
      <c r="J1071" t="s">
        <v>102</v>
      </c>
      <c r="K1071" t="s">
        <v>102</v>
      </c>
      <c r="L1071">
        <v>11</v>
      </c>
      <c r="M1071" t="s">
        <v>10</v>
      </c>
      <c r="N1071" t="str" cm="1">
        <f t="array" ref="N1071">_xlfn.IFS(
    AND(HOUR(A1071)&gt;=0, HOUR(A1071)&lt;10), "Morning",
    AND(HOUR(A1071)&gt;=10, HOUR(A1071)&lt;15), "Afternoon",
    AND(HOUR(E1071)&gt;=15, HOUR(E1071)&lt;19), "Evening",
    AND(HOUR(E1071)&gt;=19, HOUR(E1071)&lt;=23), "Night"
)</f>
        <v>Night</v>
      </c>
    </row>
    <row r="1072" spans="1:14" x14ac:dyDescent="0.25">
      <c r="A1072" s="3">
        <v>42724.367361111108</v>
      </c>
      <c r="B1072" s="2">
        <f t="shared" si="98"/>
        <v>42724</v>
      </c>
      <c r="C1072" t="str">
        <f t="shared" si="99"/>
        <v>December</v>
      </c>
      <c r="D1072" t="str">
        <f t="shared" si="100"/>
        <v>Tuesday</v>
      </c>
      <c r="E1072" t="str">
        <f t="shared" si="96"/>
        <v>08:49:00 AM</v>
      </c>
      <c r="F1072" s="3">
        <v>42724.39166666667</v>
      </c>
      <c r="G1072" s="4">
        <f t="shared" si="101"/>
        <v>0.39166666667006211</v>
      </c>
      <c r="H1072" t="str">
        <f t="shared" si="97"/>
        <v>35 min</v>
      </c>
      <c r="I1072" t="s">
        <v>2</v>
      </c>
      <c r="J1072" t="s">
        <v>102</v>
      </c>
      <c r="K1072" t="s">
        <v>260</v>
      </c>
      <c r="L1072">
        <v>12</v>
      </c>
      <c r="M1072" t="s">
        <v>52</v>
      </c>
      <c r="N1072" t="str" cm="1">
        <f t="array" ref="N1072">_xlfn.IFS(
    AND(HOUR(A1072)&gt;=0, HOUR(A1072)&lt;10), "Morning",
    AND(HOUR(A1072)&gt;=10, HOUR(A1072)&lt;15), "Afternoon",
    AND(HOUR(E1072)&gt;=15, HOUR(E1072)&lt;19), "Evening",
    AND(HOUR(E1072)&gt;=19, HOUR(E1072)&lt;=23), "Night"
)</f>
        <v>Morning</v>
      </c>
    </row>
    <row r="1073" spans="1:14" x14ac:dyDescent="0.25">
      <c r="A1073" s="3">
        <v>42724.4375</v>
      </c>
      <c r="B1073" s="2">
        <f t="shared" si="98"/>
        <v>42724</v>
      </c>
      <c r="C1073" t="str">
        <f t="shared" si="99"/>
        <v>December</v>
      </c>
      <c r="D1073" t="str">
        <f t="shared" si="100"/>
        <v>Tuesday</v>
      </c>
      <c r="E1073" t="str">
        <f t="shared" si="96"/>
        <v>10:30:00 AM</v>
      </c>
      <c r="F1073" s="3">
        <v>42724.45</v>
      </c>
      <c r="G1073" s="4">
        <f t="shared" si="101"/>
        <v>0.44999999999708962</v>
      </c>
      <c r="H1073" t="str">
        <f t="shared" si="97"/>
        <v>18 min</v>
      </c>
      <c r="I1073" t="s">
        <v>2</v>
      </c>
      <c r="J1073" t="s">
        <v>260</v>
      </c>
      <c r="K1073" t="s">
        <v>260</v>
      </c>
      <c r="L1073">
        <v>3.3</v>
      </c>
      <c r="M1073" t="s">
        <v>8</v>
      </c>
      <c r="N1073" t="str" cm="1">
        <f t="array" ref="N1073">_xlfn.IFS(
    AND(HOUR(A1073)&gt;=0, HOUR(A1073)&lt;10), "Morning",
    AND(HOUR(A1073)&gt;=10, HOUR(A1073)&lt;15), "Afternoon",
    AND(HOUR(E1073)&gt;=15, HOUR(E1073)&lt;19), "Evening",
    AND(HOUR(E1073)&gt;=19, HOUR(E1073)&lt;=23), "Night"
)</f>
        <v>Afternoon</v>
      </c>
    </row>
    <row r="1074" spans="1:14" x14ac:dyDescent="0.25">
      <c r="A1074" s="3">
        <v>42724.479166666664</v>
      </c>
      <c r="B1074" s="2">
        <f t="shared" si="98"/>
        <v>42724</v>
      </c>
      <c r="C1074" t="str">
        <f t="shared" si="99"/>
        <v>December</v>
      </c>
      <c r="D1074" t="str">
        <f t="shared" si="100"/>
        <v>Tuesday</v>
      </c>
      <c r="E1074" t="str">
        <f t="shared" si="96"/>
        <v>11:30:00 AM</v>
      </c>
      <c r="F1074" s="3">
        <v>42724.511805555558</v>
      </c>
      <c r="G1074" s="4">
        <f t="shared" si="101"/>
        <v>0.5118055555576575</v>
      </c>
      <c r="H1074" t="str">
        <f t="shared" si="97"/>
        <v>47 min</v>
      </c>
      <c r="I1074" t="s">
        <v>2</v>
      </c>
      <c r="J1074" t="s">
        <v>260</v>
      </c>
      <c r="K1074" t="s">
        <v>102</v>
      </c>
      <c r="L1074">
        <v>19.399999999999999</v>
      </c>
      <c r="M1074" t="s">
        <v>10</v>
      </c>
      <c r="N1074" t="str" cm="1">
        <f t="array" ref="N1074">_xlfn.IFS(
    AND(HOUR(A1074)&gt;=0, HOUR(A1074)&lt;10), "Morning",
    AND(HOUR(A1074)&gt;=10, HOUR(A1074)&lt;15), "Afternoon",
    AND(HOUR(E1074)&gt;=15, HOUR(E1074)&lt;19), "Evening",
    AND(HOUR(E1074)&gt;=19, HOUR(E1074)&lt;=23), "Night"
)</f>
        <v>Afternoon</v>
      </c>
    </row>
    <row r="1075" spans="1:14" x14ac:dyDescent="0.25">
      <c r="A1075" s="3">
        <v>42724.551388888889</v>
      </c>
      <c r="B1075" s="2">
        <f t="shared" si="98"/>
        <v>42724</v>
      </c>
      <c r="C1075" t="str">
        <f t="shared" si="99"/>
        <v>December</v>
      </c>
      <c r="D1075" t="str">
        <f t="shared" si="100"/>
        <v>Tuesday</v>
      </c>
      <c r="E1075" t="str">
        <f t="shared" si="96"/>
        <v>01:14:00 PM</v>
      </c>
      <c r="F1075" s="3">
        <v>42724.555555555555</v>
      </c>
      <c r="G1075" s="4">
        <f t="shared" si="101"/>
        <v>0.55555555555474712</v>
      </c>
      <c r="H1075" t="str">
        <f t="shared" si="97"/>
        <v>6 min</v>
      </c>
      <c r="I1075" t="s">
        <v>2</v>
      </c>
      <c r="J1075" t="s">
        <v>102</v>
      </c>
      <c r="K1075" t="s">
        <v>102</v>
      </c>
      <c r="L1075">
        <v>1.7</v>
      </c>
      <c r="M1075" t="s">
        <v>8</v>
      </c>
      <c r="N1075" t="str" cm="1">
        <f t="array" ref="N1075">_xlfn.IFS(
    AND(HOUR(A1075)&gt;=0, HOUR(A1075)&lt;10), "Morning",
    AND(HOUR(A1075)&gt;=10, HOUR(A1075)&lt;15), "Afternoon",
    AND(HOUR(E1075)&gt;=15, HOUR(E1075)&lt;19), "Evening",
    AND(HOUR(E1075)&gt;=19, HOUR(E1075)&lt;=23), "Night"
)</f>
        <v>Afternoon</v>
      </c>
    </row>
    <row r="1076" spans="1:14" x14ac:dyDescent="0.25">
      <c r="A1076" s="3">
        <v>42724.57916666667</v>
      </c>
      <c r="B1076" s="2">
        <f t="shared" si="98"/>
        <v>42724</v>
      </c>
      <c r="C1076" t="str">
        <f t="shared" si="99"/>
        <v>December</v>
      </c>
      <c r="D1076" t="str">
        <f t="shared" si="100"/>
        <v>Tuesday</v>
      </c>
      <c r="E1076" t="str">
        <f t="shared" si="96"/>
        <v>01:54:00 PM</v>
      </c>
      <c r="F1076" s="3">
        <v>42724.595138888886</v>
      </c>
      <c r="G1076" s="4">
        <f t="shared" si="101"/>
        <v>0.59513888888614019</v>
      </c>
      <c r="H1076" t="str">
        <f t="shared" si="97"/>
        <v>23 min</v>
      </c>
      <c r="I1076" t="s">
        <v>2</v>
      </c>
      <c r="J1076" t="s">
        <v>102</v>
      </c>
      <c r="K1076" t="s">
        <v>105</v>
      </c>
      <c r="L1076">
        <v>5.7</v>
      </c>
      <c r="M1076" t="s">
        <v>11</v>
      </c>
      <c r="N1076" t="str" cm="1">
        <f t="array" ref="N1076">_xlfn.IFS(
    AND(HOUR(A1076)&gt;=0, HOUR(A1076)&lt;10), "Morning",
    AND(HOUR(A1076)&gt;=10, HOUR(A1076)&lt;15), "Afternoon",
    AND(HOUR(E1076)&gt;=15, HOUR(E1076)&lt;19), "Evening",
    AND(HOUR(E1076)&gt;=19, HOUR(E1076)&lt;=23), "Night"
)</f>
        <v>Afternoon</v>
      </c>
    </row>
    <row r="1077" spans="1:14" x14ac:dyDescent="0.25">
      <c r="A1077" s="3">
        <v>42724.676388888889</v>
      </c>
      <c r="B1077" s="2">
        <f t="shared" si="98"/>
        <v>42724</v>
      </c>
      <c r="C1077" t="str">
        <f t="shared" si="99"/>
        <v>December</v>
      </c>
      <c r="D1077" t="str">
        <f t="shared" si="100"/>
        <v>Tuesday</v>
      </c>
      <c r="E1077" t="str">
        <f t="shared" si="96"/>
        <v>04:14:00 PM</v>
      </c>
      <c r="F1077" s="3">
        <v>42724.683333333334</v>
      </c>
      <c r="G1077" s="4">
        <f t="shared" si="101"/>
        <v>0.68333333333430346</v>
      </c>
      <c r="H1077" t="str">
        <f t="shared" si="97"/>
        <v>10 min</v>
      </c>
      <c r="I1077" t="s">
        <v>2</v>
      </c>
      <c r="J1077" t="s">
        <v>105</v>
      </c>
      <c r="K1077" t="s">
        <v>105</v>
      </c>
      <c r="L1077">
        <v>1.8</v>
      </c>
      <c r="M1077" t="s">
        <v>8</v>
      </c>
      <c r="N1077" t="str" cm="1">
        <f t="array" ref="N1077">_xlfn.IFS(
    AND(HOUR(A1077)&gt;=0, HOUR(A1077)&lt;10), "Morning",
    AND(HOUR(A1077)&gt;=10, HOUR(A1077)&lt;15), "Afternoon",
    AND(HOUR(E1077)&gt;=15, HOUR(E1077)&lt;19), "Evening",
    AND(HOUR(E1077)&gt;=19, HOUR(E1077)&lt;=23), "Night"
)</f>
        <v>Evening</v>
      </c>
    </row>
    <row r="1078" spans="1:14" x14ac:dyDescent="0.25">
      <c r="A1078" s="3">
        <v>42724.705555555556</v>
      </c>
      <c r="B1078" s="2">
        <f t="shared" si="98"/>
        <v>42724</v>
      </c>
      <c r="C1078" t="str">
        <f t="shared" si="99"/>
        <v>December</v>
      </c>
      <c r="D1078" t="str">
        <f t="shared" si="100"/>
        <v>Tuesday</v>
      </c>
      <c r="E1078" t="str">
        <f t="shared" si="96"/>
        <v>04:56:00 PM</v>
      </c>
      <c r="F1078" s="3">
        <v>42724.713194444441</v>
      </c>
      <c r="G1078" s="4">
        <f t="shared" si="101"/>
        <v>0.71319444444088731</v>
      </c>
      <c r="H1078" t="str">
        <f t="shared" si="97"/>
        <v>11 min</v>
      </c>
      <c r="I1078" t="s">
        <v>2</v>
      </c>
      <c r="J1078" t="s">
        <v>105</v>
      </c>
      <c r="K1078" t="s">
        <v>105</v>
      </c>
      <c r="L1078">
        <v>1.4</v>
      </c>
      <c r="M1078" t="s">
        <v>8</v>
      </c>
      <c r="N1078" t="str" cm="1">
        <f t="array" ref="N1078">_xlfn.IFS(
    AND(HOUR(A1078)&gt;=0, HOUR(A1078)&lt;10), "Morning",
    AND(HOUR(A1078)&gt;=10, HOUR(A1078)&lt;15), "Afternoon",
    AND(HOUR(E1078)&gt;=15, HOUR(E1078)&lt;19), "Evening",
    AND(HOUR(E1078)&gt;=19, HOUR(E1078)&lt;=23), "Night"
)</f>
        <v>Evening</v>
      </c>
    </row>
    <row r="1079" spans="1:14" x14ac:dyDescent="0.25">
      <c r="A1079" s="3">
        <v>42724.782638888886</v>
      </c>
      <c r="B1079" s="2">
        <f t="shared" si="98"/>
        <v>42724</v>
      </c>
      <c r="C1079" t="str">
        <f t="shared" si="99"/>
        <v>December</v>
      </c>
      <c r="D1079" t="str">
        <f t="shared" si="100"/>
        <v>Tuesday</v>
      </c>
      <c r="E1079" t="str">
        <f t="shared" si="96"/>
        <v>06:47:00 PM</v>
      </c>
      <c r="F1079" s="3">
        <v>42724.806250000001</v>
      </c>
      <c r="G1079" s="4">
        <f t="shared" si="101"/>
        <v>0.80625000000145519</v>
      </c>
      <c r="H1079" t="str">
        <f t="shared" si="97"/>
        <v>34 min</v>
      </c>
      <c r="I1079" t="s">
        <v>2</v>
      </c>
      <c r="J1079" t="s">
        <v>105</v>
      </c>
      <c r="K1079" t="s">
        <v>102</v>
      </c>
      <c r="L1079">
        <v>10.3</v>
      </c>
      <c r="M1079" t="s">
        <v>7</v>
      </c>
      <c r="N1079" t="str" cm="1">
        <f t="array" ref="N1079">_xlfn.IFS(
    AND(HOUR(A1079)&gt;=0, HOUR(A1079)&lt;10), "Morning",
    AND(HOUR(A1079)&gt;=10, HOUR(A1079)&lt;15), "Afternoon",
    AND(HOUR(E1079)&gt;=15, HOUR(E1079)&lt;19), "Evening",
    AND(HOUR(E1079)&gt;=19, HOUR(E1079)&lt;=23), "Night"
)</f>
        <v>Evening</v>
      </c>
    </row>
    <row r="1080" spans="1:14" x14ac:dyDescent="0.25">
      <c r="A1080" s="3">
        <v>42725.320833333331</v>
      </c>
      <c r="B1080" s="2">
        <f t="shared" si="98"/>
        <v>42725</v>
      </c>
      <c r="C1080" t="str">
        <f t="shared" si="99"/>
        <v>December</v>
      </c>
      <c r="D1080" t="str">
        <f t="shared" si="100"/>
        <v>Wednesday</v>
      </c>
      <c r="E1080" t="str">
        <f t="shared" si="96"/>
        <v>07:42:00 AM</v>
      </c>
      <c r="F1080" s="3">
        <v>42725.340277777781</v>
      </c>
      <c r="G1080" s="4">
        <f t="shared" si="101"/>
        <v>0.34027777778101154</v>
      </c>
      <c r="H1080" t="str">
        <f t="shared" si="97"/>
        <v>28 min</v>
      </c>
      <c r="I1080" t="s">
        <v>2</v>
      </c>
      <c r="J1080" t="s">
        <v>102</v>
      </c>
      <c r="K1080" t="s">
        <v>102</v>
      </c>
      <c r="L1080">
        <v>11.5</v>
      </c>
      <c r="M1080" t="s">
        <v>10</v>
      </c>
      <c r="N1080" t="str" cm="1">
        <f t="array" ref="N1080">_xlfn.IFS(
    AND(HOUR(A1080)&gt;=0, HOUR(A1080)&lt;10), "Morning",
    AND(HOUR(A1080)&gt;=10, HOUR(A1080)&lt;15), "Afternoon",
    AND(HOUR(E1080)&gt;=15, HOUR(E1080)&lt;19), "Evening",
    AND(HOUR(E1080)&gt;=19, HOUR(E1080)&lt;=23), "Night"
)</f>
        <v>Morning</v>
      </c>
    </row>
    <row r="1081" spans="1:14" x14ac:dyDescent="0.25">
      <c r="A1081" s="3">
        <v>42725.426388888889</v>
      </c>
      <c r="B1081" s="2">
        <f t="shared" si="98"/>
        <v>42725</v>
      </c>
      <c r="C1081" t="str">
        <f t="shared" si="99"/>
        <v>December</v>
      </c>
      <c r="D1081" t="str">
        <f t="shared" si="100"/>
        <v>Wednesday</v>
      </c>
      <c r="E1081" t="str">
        <f t="shared" si="96"/>
        <v>10:14:00 AM</v>
      </c>
      <c r="F1081" s="3">
        <v>42725.4375</v>
      </c>
      <c r="G1081" s="4">
        <f t="shared" si="101"/>
        <v>0.4375</v>
      </c>
      <c r="H1081" t="str">
        <f t="shared" si="97"/>
        <v>16 min</v>
      </c>
      <c r="I1081" t="s">
        <v>2</v>
      </c>
      <c r="J1081" t="s">
        <v>102</v>
      </c>
      <c r="K1081" t="s">
        <v>105</v>
      </c>
      <c r="L1081">
        <v>4.9000000000000004</v>
      </c>
      <c r="M1081" t="s">
        <v>8</v>
      </c>
      <c r="N1081" t="str" cm="1">
        <f t="array" ref="N1081">_xlfn.IFS(
    AND(HOUR(A1081)&gt;=0, HOUR(A1081)&lt;10), "Morning",
    AND(HOUR(A1081)&gt;=10, HOUR(A1081)&lt;15), "Afternoon",
    AND(HOUR(E1081)&gt;=15, HOUR(E1081)&lt;19), "Evening",
    AND(HOUR(E1081)&gt;=19, HOUR(E1081)&lt;=23), "Night"
)</f>
        <v>Afternoon</v>
      </c>
    </row>
    <row r="1082" spans="1:14" x14ac:dyDescent="0.25">
      <c r="A1082" s="3">
        <v>42725.482638888891</v>
      </c>
      <c r="B1082" s="2">
        <f t="shared" si="98"/>
        <v>42725</v>
      </c>
      <c r="C1082" t="str">
        <f t="shared" si="99"/>
        <v>December</v>
      </c>
      <c r="D1082" t="str">
        <f t="shared" si="100"/>
        <v>Wednesday</v>
      </c>
      <c r="E1082" t="str">
        <f t="shared" si="96"/>
        <v>11:35:00 AM</v>
      </c>
      <c r="F1082" s="3">
        <v>42725.492361111108</v>
      </c>
      <c r="G1082" s="4">
        <f t="shared" si="101"/>
        <v>0.49236111110803904</v>
      </c>
      <c r="H1082" t="str">
        <f t="shared" si="97"/>
        <v>14 min</v>
      </c>
      <c r="I1082" t="s">
        <v>2</v>
      </c>
      <c r="J1082" t="s">
        <v>105</v>
      </c>
      <c r="K1082" t="s">
        <v>102</v>
      </c>
      <c r="L1082">
        <v>3.5</v>
      </c>
      <c r="M1082" t="s">
        <v>9</v>
      </c>
      <c r="N1082" t="str" cm="1">
        <f t="array" ref="N1082">_xlfn.IFS(
    AND(HOUR(A1082)&gt;=0, HOUR(A1082)&lt;10), "Morning",
    AND(HOUR(A1082)&gt;=10, HOUR(A1082)&lt;15), "Afternoon",
    AND(HOUR(E1082)&gt;=15, HOUR(E1082)&lt;19), "Evening",
    AND(HOUR(E1082)&gt;=19, HOUR(E1082)&lt;=23), "Night"
)</f>
        <v>Afternoon</v>
      </c>
    </row>
    <row r="1083" spans="1:14" x14ac:dyDescent="0.25">
      <c r="A1083" s="3">
        <v>42725.535416666666</v>
      </c>
      <c r="B1083" s="2">
        <f t="shared" si="98"/>
        <v>42725</v>
      </c>
      <c r="C1083" t="str">
        <f t="shared" si="99"/>
        <v>December</v>
      </c>
      <c r="D1083" t="str">
        <f t="shared" si="100"/>
        <v>Wednesday</v>
      </c>
      <c r="E1083" t="str">
        <f t="shared" si="96"/>
        <v>12:51:00 PM</v>
      </c>
      <c r="F1083" s="3">
        <v>42725.564583333333</v>
      </c>
      <c r="G1083" s="4">
        <f t="shared" si="101"/>
        <v>0.56458333333284827</v>
      </c>
      <c r="H1083" t="str">
        <f t="shared" si="97"/>
        <v>42 min</v>
      </c>
      <c r="I1083" t="s">
        <v>2</v>
      </c>
      <c r="J1083" t="s">
        <v>102</v>
      </c>
      <c r="K1083" t="s">
        <v>102</v>
      </c>
      <c r="L1083">
        <v>16.2</v>
      </c>
      <c r="M1083" t="s">
        <v>10</v>
      </c>
      <c r="N1083" t="str" cm="1">
        <f t="array" ref="N1083">_xlfn.IFS(
    AND(HOUR(A1083)&gt;=0, HOUR(A1083)&lt;10), "Morning",
    AND(HOUR(A1083)&gt;=10, HOUR(A1083)&lt;15), "Afternoon",
    AND(HOUR(E1083)&gt;=15, HOUR(E1083)&lt;19), "Evening",
    AND(HOUR(E1083)&gt;=19, HOUR(E1083)&lt;=23), "Night"
)</f>
        <v>Afternoon</v>
      </c>
    </row>
    <row r="1084" spans="1:14" x14ac:dyDescent="0.25">
      <c r="A1084" s="3">
        <v>42725.651388888888</v>
      </c>
      <c r="B1084" s="2">
        <f t="shared" si="98"/>
        <v>42725</v>
      </c>
      <c r="C1084" t="str">
        <f t="shared" si="99"/>
        <v>December</v>
      </c>
      <c r="D1084" t="str">
        <f t="shared" si="100"/>
        <v>Wednesday</v>
      </c>
      <c r="E1084" t="str">
        <f t="shared" si="96"/>
        <v>03:38:00 PM</v>
      </c>
      <c r="F1084" s="3">
        <v>42725.65902777778</v>
      </c>
      <c r="G1084" s="4">
        <f t="shared" si="101"/>
        <v>0.65902777777955635</v>
      </c>
      <c r="H1084" t="str">
        <f t="shared" si="97"/>
        <v>11 min</v>
      </c>
      <c r="I1084" t="s">
        <v>2</v>
      </c>
      <c r="J1084" t="s">
        <v>102</v>
      </c>
      <c r="K1084" t="s">
        <v>102</v>
      </c>
      <c r="L1084">
        <v>2</v>
      </c>
      <c r="M1084" t="s">
        <v>8</v>
      </c>
      <c r="N1084" t="str" cm="1">
        <f t="array" ref="N1084">_xlfn.IFS(
    AND(HOUR(A1084)&gt;=0, HOUR(A1084)&lt;10), "Morning",
    AND(HOUR(A1084)&gt;=10, HOUR(A1084)&lt;15), "Afternoon",
    AND(HOUR(E1084)&gt;=15, HOUR(E1084)&lt;19), "Evening",
    AND(HOUR(E1084)&gt;=19, HOUR(E1084)&lt;=23), "Night"
)</f>
        <v>Evening</v>
      </c>
    </row>
    <row r="1085" spans="1:14" x14ac:dyDescent="0.25">
      <c r="A1085" s="3">
        <v>42725.663194444445</v>
      </c>
      <c r="B1085" s="2">
        <f t="shared" si="98"/>
        <v>42725</v>
      </c>
      <c r="C1085" t="str">
        <f t="shared" si="99"/>
        <v>December</v>
      </c>
      <c r="D1085" t="str">
        <f t="shared" si="100"/>
        <v>Wednesday</v>
      </c>
      <c r="E1085" t="str">
        <f t="shared" si="96"/>
        <v>03:55:00 PM</v>
      </c>
      <c r="F1085" s="3">
        <v>42725.670138888891</v>
      </c>
      <c r="G1085" s="4">
        <f t="shared" si="101"/>
        <v>0.67013888889050577</v>
      </c>
      <c r="H1085" t="str">
        <f t="shared" si="97"/>
        <v>10 min</v>
      </c>
      <c r="I1085" t="s">
        <v>2</v>
      </c>
      <c r="J1085" t="s">
        <v>102</v>
      </c>
      <c r="K1085" t="s">
        <v>105</v>
      </c>
      <c r="L1085">
        <v>2.1</v>
      </c>
      <c r="M1085" t="s">
        <v>8</v>
      </c>
      <c r="N1085" t="str" cm="1">
        <f t="array" ref="N1085">_xlfn.IFS(
    AND(HOUR(A1085)&gt;=0, HOUR(A1085)&lt;10), "Morning",
    AND(HOUR(A1085)&gt;=10, HOUR(A1085)&lt;15), "Afternoon",
    AND(HOUR(E1085)&gt;=15, HOUR(E1085)&lt;19), "Evening",
    AND(HOUR(E1085)&gt;=19, HOUR(E1085)&lt;=23), "Night"
)</f>
        <v>Evening</v>
      </c>
    </row>
    <row r="1086" spans="1:14" x14ac:dyDescent="0.25">
      <c r="A1086" s="3">
        <v>42725.739583333336</v>
      </c>
      <c r="B1086" s="2">
        <f t="shared" si="98"/>
        <v>42725</v>
      </c>
      <c r="C1086" t="str">
        <f t="shared" si="99"/>
        <v>December</v>
      </c>
      <c r="D1086" t="str">
        <f t="shared" si="100"/>
        <v>Wednesday</v>
      </c>
      <c r="E1086" t="str">
        <f t="shared" si="96"/>
        <v>05:45:00 PM</v>
      </c>
      <c r="F1086" s="3">
        <v>42725.745833333334</v>
      </c>
      <c r="G1086" s="4">
        <f t="shared" si="101"/>
        <v>0.74583333333430346</v>
      </c>
      <c r="H1086" t="str">
        <f t="shared" si="97"/>
        <v>9 min</v>
      </c>
      <c r="I1086" t="s">
        <v>2</v>
      </c>
      <c r="J1086" t="s">
        <v>105</v>
      </c>
      <c r="K1086" t="s">
        <v>105</v>
      </c>
      <c r="L1086">
        <v>2.1</v>
      </c>
      <c r="M1086" t="s">
        <v>10</v>
      </c>
      <c r="N1086" t="str" cm="1">
        <f t="array" ref="N1086">_xlfn.IFS(
    AND(HOUR(A1086)&gt;=0, HOUR(A1086)&lt;10), "Morning",
    AND(HOUR(A1086)&gt;=10, HOUR(A1086)&lt;15), "Afternoon",
    AND(HOUR(E1086)&gt;=15, HOUR(E1086)&lt;19), "Evening",
    AND(HOUR(E1086)&gt;=19, HOUR(E1086)&lt;=23), "Night"
)</f>
        <v>Evening</v>
      </c>
    </row>
    <row r="1087" spans="1:14" x14ac:dyDescent="0.25">
      <c r="A1087" s="3">
        <v>42725.749305555553</v>
      </c>
      <c r="B1087" s="2">
        <f t="shared" si="98"/>
        <v>42725</v>
      </c>
      <c r="C1087" t="str">
        <f t="shared" si="99"/>
        <v>December</v>
      </c>
      <c r="D1087" t="str">
        <f t="shared" si="100"/>
        <v>Wednesday</v>
      </c>
      <c r="E1087" t="str">
        <f t="shared" si="96"/>
        <v>05:59:00 PM</v>
      </c>
      <c r="F1087" s="3">
        <v>42725.771527777775</v>
      </c>
      <c r="G1087" s="4">
        <f t="shared" si="101"/>
        <v>0.77152777777519077</v>
      </c>
      <c r="H1087" t="str">
        <f t="shared" si="97"/>
        <v>32 min</v>
      </c>
      <c r="I1087" t="s">
        <v>2</v>
      </c>
      <c r="J1087" t="s">
        <v>105</v>
      </c>
      <c r="K1087" t="s">
        <v>102</v>
      </c>
      <c r="L1087">
        <v>7.2</v>
      </c>
      <c r="M1087" t="s">
        <v>7</v>
      </c>
      <c r="N1087" t="str" cm="1">
        <f t="array" ref="N1087">_xlfn.IFS(
    AND(HOUR(A1087)&gt;=0, HOUR(A1087)&lt;10), "Morning",
    AND(HOUR(A1087)&gt;=10, HOUR(A1087)&lt;15), "Afternoon",
    AND(HOUR(E1087)&gt;=15, HOUR(E1087)&lt;19), "Evening",
    AND(HOUR(E1087)&gt;=19, HOUR(E1087)&lt;=23), "Night"
)</f>
        <v>Evening</v>
      </c>
    </row>
    <row r="1088" spans="1:14" x14ac:dyDescent="0.25">
      <c r="A1088" s="3">
        <v>42725.825694444444</v>
      </c>
      <c r="B1088" s="2">
        <f t="shared" si="98"/>
        <v>42725</v>
      </c>
      <c r="C1088" t="str">
        <f t="shared" si="99"/>
        <v>December</v>
      </c>
      <c r="D1088" t="str">
        <f t="shared" si="100"/>
        <v>Wednesday</v>
      </c>
      <c r="E1088" t="str">
        <f t="shared" si="96"/>
        <v>07:49:00 PM</v>
      </c>
      <c r="F1088" s="3">
        <v>42725.857638888891</v>
      </c>
      <c r="G1088" s="4">
        <f t="shared" si="101"/>
        <v>0.85763888889050577</v>
      </c>
      <c r="H1088" t="str">
        <f t="shared" si="97"/>
        <v>46 min</v>
      </c>
      <c r="I1088" t="s">
        <v>2</v>
      </c>
      <c r="J1088" t="s">
        <v>102</v>
      </c>
      <c r="K1088" t="s">
        <v>260</v>
      </c>
      <c r="L1088">
        <v>12</v>
      </c>
      <c r="M1088" t="s">
        <v>10</v>
      </c>
      <c r="N1088" t="str" cm="1">
        <f t="array" ref="N1088">_xlfn.IFS(
    AND(HOUR(A1088)&gt;=0, HOUR(A1088)&lt;10), "Morning",
    AND(HOUR(A1088)&gt;=10, HOUR(A1088)&lt;15), "Afternoon",
    AND(HOUR(E1088)&gt;=15, HOUR(E1088)&lt;19), "Evening",
    AND(HOUR(E1088)&gt;=19, HOUR(E1088)&lt;=23), "Night"
)</f>
        <v>Night</v>
      </c>
    </row>
    <row r="1089" spans="1:14" x14ac:dyDescent="0.25">
      <c r="A1089" s="3">
        <v>42725.87222222222</v>
      </c>
      <c r="B1089" s="2">
        <f t="shared" si="98"/>
        <v>42725</v>
      </c>
      <c r="C1089" t="str">
        <f t="shared" si="99"/>
        <v>December</v>
      </c>
      <c r="D1089" t="str">
        <f t="shared" si="100"/>
        <v>Wednesday</v>
      </c>
      <c r="E1089" t="str">
        <f t="shared" si="96"/>
        <v>08:56:00 PM</v>
      </c>
      <c r="F1089" s="3">
        <v>42725.987500000003</v>
      </c>
      <c r="G1089" s="4">
        <f t="shared" si="101"/>
        <v>0.98750000000291038</v>
      </c>
      <c r="H1089" t="str">
        <f t="shared" si="97"/>
        <v>166 min</v>
      </c>
      <c r="I1089" t="s">
        <v>2</v>
      </c>
      <c r="J1089" t="s">
        <v>260</v>
      </c>
      <c r="K1089" t="s">
        <v>102</v>
      </c>
      <c r="L1089">
        <v>103</v>
      </c>
      <c r="M1089" t="s">
        <v>10</v>
      </c>
      <c r="N1089" t="str" cm="1">
        <f t="array" ref="N1089">_xlfn.IFS(
    AND(HOUR(A1089)&gt;=0, HOUR(A1089)&lt;10), "Morning",
    AND(HOUR(A1089)&gt;=10, HOUR(A1089)&lt;15), "Afternoon",
    AND(HOUR(E1089)&gt;=15, HOUR(E1089)&lt;19), "Evening",
    AND(HOUR(E1089)&gt;=19, HOUR(E1089)&lt;=23), "Night"
)</f>
        <v>Night</v>
      </c>
    </row>
    <row r="1090" spans="1:14" x14ac:dyDescent="0.25">
      <c r="A1090" s="3">
        <v>42726.652777777781</v>
      </c>
      <c r="B1090" s="2">
        <f t="shared" si="98"/>
        <v>42726</v>
      </c>
      <c r="C1090" t="str">
        <f t="shared" si="99"/>
        <v>December</v>
      </c>
      <c r="D1090" t="str">
        <f t="shared" si="100"/>
        <v>Thursday</v>
      </c>
      <c r="E1090" t="str">
        <f t="shared" ref="E1090:E1155" si="102">TEXT(A1090, "hh:mm:ss AM/PM")</f>
        <v>03:40:00 PM</v>
      </c>
      <c r="F1090" s="3">
        <v>42726.693055555559</v>
      </c>
      <c r="G1090" s="4">
        <f t="shared" si="101"/>
        <v>0.69305555555911269</v>
      </c>
      <c r="H1090" t="str">
        <f t="shared" ref="H1090:H1153" si="103">HOUR(IF(G1090&lt;E1090, G1090+1-E1090, G1090-E1090))*60 + MINUTE(IF(G1090&lt;E1090, G1090+1-E1090, G1090-E1090)) &amp; " min"</f>
        <v>58 min</v>
      </c>
      <c r="I1090" t="s">
        <v>2</v>
      </c>
      <c r="J1090" t="s">
        <v>102</v>
      </c>
      <c r="K1090" t="s">
        <v>102</v>
      </c>
      <c r="L1090">
        <v>32.299999999999997</v>
      </c>
      <c r="M1090" t="s">
        <v>10</v>
      </c>
      <c r="N1090" t="str" cm="1">
        <f t="array" ref="N1090">_xlfn.IFS(
    AND(HOUR(A1090)&gt;=0, HOUR(A1090)&lt;10), "Morning",
    AND(HOUR(A1090)&gt;=10, HOUR(A1090)&lt;15), "Afternoon",
    AND(HOUR(E1090)&gt;=15, HOUR(E1090)&lt;19), "Evening",
    AND(HOUR(E1090)&gt;=19, HOUR(E1090)&lt;=23), "Night"
)</f>
        <v>Evening</v>
      </c>
    </row>
    <row r="1091" spans="1:14" x14ac:dyDescent="0.25">
      <c r="A1091" s="3">
        <v>42726.711111111108</v>
      </c>
      <c r="B1091" s="2">
        <f t="shared" ref="B1091:B1154" si="104">INT(A1091)</f>
        <v>42726</v>
      </c>
      <c r="C1091" t="str">
        <f t="shared" ref="C1091:C1154" si="105">TEXT(B1091, "mmmm")</f>
        <v>December</v>
      </c>
      <c r="D1091" t="str">
        <f t="shared" ref="D1091:D1154" si="106">TEXT(B1091, "dddd")</f>
        <v>Thursday</v>
      </c>
      <c r="E1091" t="str">
        <f t="shared" si="102"/>
        <v>05:04:00 PM</v>
      </c>
      <c r="F1091" s="3">
        <v>42726.722222222219</v>
      </c>
      <c r="G1091" s="4">
        <f t="shared" ref="G1091:G1154" si="107">F1091-INT(F1091)</f>
        <v>0.72222222221898846</v>
      </c>
      <c r="H1091" t="str">
        <f t="shared" si="103"/>
        <v>16 min</v>
      </c>
      <c r="I1091" t="s">
        <v>2</v>
      </c>
      <c r="J1091" t="s">
        <v>102</v>
      </c>
      <c r="K1091" t="s">
        <v>102</v>
      </c>
      <c r="L1091">
        <v>5.3</v>
      </c>
      <c r="M1091" t="s">
        <v>7</v>
      </c>
      <c r="N1091" t="str" cm="1">
        <f t="array" ref="N1091">_xlfn.IFS(
    AND(HOUR(A1091)&gt;=0, HOUR(A1091)&lt;10), "Morning",
    AND(HOUR(A1091)&gt;=10, HOUR(A1091)&lt;15), "Afternoon",
    AND(HOUR(E1091)&gt;=15, HOUR(E1091)&lt;19), "Evening",
    AND(HOUR(E1091)&gt;=19, HOUR(E1091)&lt;=23), "Night"
)</f>
        <v>Evening</v>
      </c>
    </row>
    <row r="1092" spans="1:14" x14ac:dyDescent="0.25">
      <c r="A1092" s="3">
        <v>42726.727083333331</v>
      </c>
      <c r="B1092" s="2">
        <f t="shared" si="104"/>
        <v>42726</v>
      </c>
      <c r="C1092" t="str">
        <f t="shared" si="105"/>
        <v>December</v>
      </c>
      <c r="D1092" t="str">
        <f t="shared" si="106"/>
        <v>Thursday</v>
      </c>
      <c r="E1092" t="str">
        <f t="shared" si="102"/>
        <v>05:27:00 PM</v>
      </c>
      <c r="F1092" s="3">
        <v>42726.745138888888</v>
      </c>
      <c r="G1092" s="4">
        <f t="shared" si="107"/>
        <v>0.74513888888759539</v>
      </c>
      <c r="H1092" t="str">
        <f t="shared" si="103"/>
        <v>26 min</v>
      </c>
      <c r="I1092" t="s">
        <v>2</v>
      </c>
      <c r="J1092" t="s">
        <v>102</v>
      </c>
      <c r="K1092" t="s">
        <v>102</v>
      </c>
      <c r="L1092">
        <v>11.6</v>
      </c>
      <c r="M1092" t="s">
        <v>10</v>
      </c>
      <c r="N1092" t="str" cm="1">
        <f t="array" ref="N1092">_xlfn.IFS(
    AND(HOUR(A1092)&gt;=0, HOUR(A1092)&lt;10), "Morning",
    AND(HOUR(A1092)&gt;=10, HOUR(A1092)&lt;15), "Afternoon",
    AND(HOUR(E1092)&gt;=15, HOUR(E1092)&lt;19), "Evening",
    AND(HOUR(E1092)&gt;=19, HOUR(E1092)&lt;=23), "Night"
)</f>
        <v>Evening</v>
      </c>
    </row>
    <row r="1093" spans="1:14" x14ac:dyDescent="0.25">
      <c r="A1093" s="3">
        <v>42726.74722222222</v>
      </c>
      <c r="B1093" s="2">
        <f t="shared" si="104"/>
        <v>42726</v>
      </c>
      <c r="C1093" t="str">
        <f t="shared" si="105"/>
        <v>December</v>
      </c>
      <c r="D1093" t="str">
        <f t="shared" si="106"/>
        <v>Thursday</v>
      </c>
      <c r="E1093" t="str">
        <f t="shared" si="102"/>
        <v>05:56:00 PM</v>
      </c>
      <c r="F1093" s="3">
        <v>42726.770138888889</v>
      </c>
      <c r="G1093" s="4">
        <f t="shared" si="107"/>
        <v>0.77013888888905058</v>
      </c>
      <c r="H1093" t="str">
        <f t="shared" si="103"/>
        <v>33 min</v>
      </c>
      <c r="I1093" t="s">
        <v>2</v>
      </c>
      <c r="J1093" t="s">
        <v>102</v>
      </c>
      <c r="K1093" t="s">
        <v>102</v>
      </c>
      <c r="L1093">
        <v>23.2</v>
      </c>
      <c r="M1093" t="s">
        <v>10</v>
      </c>
      <c r="N1093" t="str" cm="1">
        <f t="array" ref="N1093">_xlfn.IFS(
    AND(HOUR(A1093)&gt;=0, HOUR(A1093)&lt;10), "Morning",
    AND(HOUR(A1093)&gt;=10, HOUR(A1093)&lt;15), "Afternoon",
    AND(HOUR(E1093)&gt;=15, HOUR(E1093)&lt;19), "Evening",
    AND(HOUR(E1093)&gt;=19, HOUR(E1093)&lt;=23), "Night"
)</f>
        <v>Evening</v>
      </c>
    </row>
    <row r="1094" spans="1:14" x14ac:dyDescent="0.25">
      <c r="A1094" s="3">
        <v>42726.771527777775</v>
      </c>
      <c r="B1094" s="2">
        <f t="shared" si="104"/>
        <v>42726</v>
      </c>
      <c r="C1094" t="str">
        <f t="shared" si="105"/>
        <v>December</v>
      </c>
      <c r="D1094" t="str">
        <f t="shared" si="106"/>
        <v>Thursday</v>
      </c>
      <c r="E1094" t="str">
        <f t="shared" si="102"/>
        <v>06:31:00 PM</v>
      </c>
      <c r="F1094" s="3">
        <v>42726.775694444441</v>
      </c>
      <c r="G1094" s="4">
        <f t="shared" si="107"/>
        <v>0.77569444444088731</v>
      </c>
      <c r="H1094" t="str">
        <f t="shared" si="103"/>
        <v>6 min</v>
      </c>
      <c r="I1094" t="s">
        <v>2</v>
      </c>
      <c r="J1094" t="s">
        <v>102</v>
      </c>
      <c r="K1094" t="s">
        <v>102</v>
      </c>
      <c r="L1094">
        <v>3.2</v>
      </c>
      <c r="M1094" t="s">
        <v>8</v>
      </c>
      <c r="N1094" t="str" cm="1">
        <f t="array" ref="N1094">_xlfn.IFS(
    AND(HOUR(A1094)&gt;=0, HOUR(A1094)&lt;10), "Morning",
    AND(HOUR(A1094)&gt;=10, HOUR(A1094)&lt;15), "Afternoon",
    AND(HOUR(E1094)&gt;=15, HOUR(E1094)&lt;19), "Evening",
    AND(HOUR(E1094)&gt;=19, HOUR(E1094)&lt;=23), "Night"
)</f>
        <v>Evening</v>
      </c>
    </row>
    <row r="1095" spans="1:14" x14ac:dyDescent="0.25">
      <c r="A1095" s="3">
        <v>42726.776388888888</v>
      </c>
      <c r="B1095" s="2">
        <f t="shared" si="104"/>
        <v>42726</v>
      </c>
      <c r="C1095" t="str">
        <f t="shared" si="105"/>
        <v>December</v>
      </c>
      <c r="D1095" t="str">
        <f t="shared" si="106"/>
        <v>Thursday</v>
      </c>
      <c r="E1095" t="str">
        <f t="shared" si="102"/>
        <v>06:38:00 PM</v>
      </c>
      <c r="F1095" s="3">
        <v>42726.782638888886</v>
      </c>
      <c r="G1095" s="4">
        <f t="shared" si="107"/>
        <v>0.78263888888614019</v>
      </c>
      <c r="H1095" t="str">
        <f t="shared" si="103"/>
        <v>9 min</v>
      </c>
      <c r="I1095" t="s">
        <v>2</v>
      </c>
      <c r="J1095" t="s">
        <v>102</v>
      </c>
      <c r="K1095" t="s">
        <v>102</v>
      </c>
      <c r="L1095">
        <v>12.3</v>
      </c>
      <c r="M1095" t="s">
        <v>11</v>
      </c>
      <c r="N1095" t="str" cm="1">
        <f t="array" ref="N1095">_xlfn.IFS(
    AND(HOUR(A1095)&gt;=0, HOUR(A1095)&lt;10), "Morning",
    AND(HOUR(A1095)&gt;=10, HOUR(A1095)&lt;15), "Afternoon",
    AND(HOUR(E1095)&gt;=15, HOUR(E1095)&lt;19), "Evening",
    AND(HOUR(E1095)&gt;=19, HOUR(E1095)&lt;=23), "Night"
)</f>
        <v>Evening</v>
      </c>
    </row>
    <row r="1096" spans="1:14" x14ac:dyDescent="0.25">
      <c r="A1096" s="3">
        <v>42726.794444444444</v>
      </c>
      <c r="B1096" s="2">
        <f t="shared" si="104"/>
        <v>42726</v>
      </c>
      <c r="C1096" t="str">
        <f t="shared" si="105"/>
        <v>December</v>
      </c>
      <c r="D1096" t="str">
        <f t="shared" si="106"/>
        <v>Thursday</v>
      </c>
      <c r="E1096" t="str">
        <f t="shared" si="102"/>
        <v>07:04:00 PM</v>
      </c>
      <c r="F1096" s="3">
        <v>42726.826388888891</v>
      </c>
      <c r="G1096" s="4">
        <f t="shared" si="107"/>
        <v>0.82638888889050577</v>
      </c>
      <c r="H1096" t="str">
        <f t="shared" si="103"/>
        <v>46 min</v>
      </c>
      <c r="I1096" t="s">
        <v>2</v>
      </c>
      <c r="J1096" t="s">
        <v>102</v>
      </c>
      <c r="K1096" t="s">
        <v>225</v>
      </c>
      <c r="L1096">
        <v>14</v>
      </c>
      <c r="M1096" t="s">
        <v>10</v>
      </c>
      <c r="N1096" t="str" cm="1">
        <f t="array" ref="N1096">_xlfn.IFS(
    AND(HOUR(A1096)&gt;=0, HOUR(A1096)&lt;10), "Morning",
    AND(HOUR(A1096)&gt;=10, HOUR(A1096)&lt;15), "Afternoon",
    AND(HOUR(E1096)&gt;=15, HOUR(E1096)&lt;19), "Evening",
    AND(HOUR(E1096)&gt;=19, HOUR(E1096)&lt;=23), "Night"
)</f>
        <v>Night</v>
      </c>
    </row>
    <row r="1097" spans="1:14" x14ac:dyDescent="0.25">
      <c r="A1097" s="3">
        <v>42726.90347222222</v>
      </c>
      <c r="B1097" s="2">
        <f t="shared" si="104"/>
        <v>42726</v>
      </c>
      <c r="C1097" t="str">
        <f t="shared" si="105"/>
        <v>December</v>
      </c>
      <c r="D1097" t="str">
        <f t="shared" si="106"/>
        <v>Thursday</v>
      </c>
      <c r="E1097" t="str">
        <f t="shared" si="102"/>
        <v>09:41:00 PM</v>
      </c>
      <c r="F1097" s="3">
        <v>42726.911805555559</v>
      </c>
      <c r="G1097" s="4">
        <f t="shared" si="107"/>
        <v>0.91180555555911269</v>
      </c>
      <c r="H1097" t="str">
        <f t="shared" si="103"/>
        <v>12 min</v>
      </c>
      <c r="I1097" t="s">
        <v>2</v>
      </c>
      <c r="J1097" t="s">
        <v>225</v>
      </c>
      <c r="K1097" t="s">
        <v>225</v>
      </c>
      <c r="L1097">
        <v>2.1</v>
      </c>
      <c r="M1097" t="s">
        <v>9</v>
      </c>
      <c r="N1097" t="str" cm="1">
        <f t="array" ref="N1097">_xlfn.IFS(
    AND(HOUR(A1097)&gt;=0, HOUR(A1097)&lt;10), "Morning",
    AND(HOUR(A1097)&gt;=10, HOUR(A1097)&lt;15), "Afternoon",
    AND(HOUR(E1097)&gt;=15, HOUR(E1097)&lt;19), "Evening",
    AND(HOUR(E1097)&gt;=19, HOUR(E1097)&lt;=23), "Night"
)</f>
        <v>Night</v>
      </c>
    </row>
    <row r="1098" spans="1:14" x14ac:dyDescent="0.25">
      <c r="A1098" s="3">
        <v>42726.977083333331</v>
      </c>
      <c r="B1098" s="2">
        <f t="shared" si="104"/>
        <v>42726</v>
      </c>
      <c r="C1098" t="str">
        <f t="shared" si="105"/>
        <v>December</v>
      </c>
      <c r="D1098" t="str">
        <f t="shared" si="106"/>
        <v>Thursday</v>
      </c>
      <c r="E1098" t="str">
        <f t="shared" si="102"/>
        <v>11:27:00 PM</v>
      </c>
      <c r="F1098" s="3">
        <v>42726.980555555558</v>
      </c>
      <c r="G1098" s="4">
        <f t="shared" si="107"/>
        <v>0.9805555555576575</v>
      </c>
      <c r="H1098" t="str">
        <f t="shared" si="103"/>
        <v>5 min</v>
      </c>
      <c r="I1098" t="s">
        <v>2</v>
      </c>
      <c r="J1098" t="s">
        <v>225</v>
      </c>
      <c r="K1098" t="s">
        <v>225</v>
      </c>
      <c r="L1098">
        <v>2.1</v>
      </c>
      <c r="M1098" t="s">
        <v>7</v>
      </c>
      <c r="N1098" t="str" cm="1">
        <f t="array" ref="N1098">_xlfn.IFS(
    AND(HOUR(A1098)&gt;=0, HOUR(A1098)&lt;10), "Morning",
    AND(HOUR(A1098)&gt;=10, HOUR(A1098)&lt;15), "Afternoon",
    AND(HOUR(E1098)&gt;=15, HOUR(E1098)&lt;19), "Evening",
    AND(HOUR(E1098)&gt;=19, HOUR(E1098)&lt;=23), "Night"
)</f>
        <v>Night</v>
      </c>
    </row>
    <row r="1099" spans="1:14" x14ac:dyDescent="0.25">
      <c r="A1099" s="3">
        <v>42727.38958333333</v>
      </c>
      <c r="B1099" s="2">
        <f t="shared" si="104"/>
        <v>42727</v>
      </c>
      <c r="C1099" t="str">
        <f t="shared" si="105"/>
        <v>December</v>
      </c>
      <c r="D1099" t="str">
        <f t="shared" si="106"/>
        <v>Friday</v>
      </c>
      <c r="E1099" t="str">
        <f t="shared" si="102"/>
        <v>09:21:00 AM</v>
      </c>
      <c r="F1099" s="3">
        <v>42727.40347222222</v>
      </c>
      <c r="G1099" s="4">
        <f t="shared" si="107"/>
        <v>0.40347222222044365</v>
      </c>
      <c r="H1099" t="str">
        <f t="shared" si="103"/>
        <v>20 min</v>
      </c>
      <c r="I1099" t="s">
        <v>2</v>
      </c>
      <c r="J1099" t="s">
        <v>225</v>
      </c>
      <c r="K1099" t="s">
        <v>225</v>
      </c>
      <c r="L1099">
        <v>3</v>
      </c>
      <c r="M1099" t="s">
        <v>10</v>
      </c>
      <c r="N1099" t="str" cm="1">
        <f t="array" ref="N1099">_xlfn.IFS(
    AND(HOUR(A1099)&gt;=0, HOUR(A1099)&lt;10), "Morning",
    AND(HOUR(A1099)&gt;=10, HOUR(A1099)&lt;15), "Afternoon",
    AND(HOUR(E1099)&gt;=15, HOUR(E1099)&lt;19), "Evening",
    AND(HOUR(E1099)&gt;=19, HOUR(E1099)&lt;=23), "Night"
)</f>
        <v>Morning</v>
      </c>
    </row>
    <row r="1100" spans="1:14" x14ac:dyDescent="0.25">
      <c r="A1100" s="3">
        <v>42727.481249999997</v>
      </c>
      <c r="B1100" s="2">
        <f t="shared" si="104"/>
        <v>42727</v>
      </c>
      <c r="C1100" t="str">
        <f t="shared" si="105"/>
        <v>December</v>
      </c>
      <c r="D1100" t="str">
        <f t="shared" si="106"/>
        <v>Friday</v>
      </c>
      <c r="E1100" t="str">
        <f t="shared" si="102"/>
        <v>11:33:00 AM</v>
      </c>
      <c r="F1100" s="3">
        <v>42727.498611111114</v>
      </c>
      <c r="G1100" s="4">
        <f t="shared" si="107"/>
        <v>0.49861111111385981</v>
      </c>
      <c r="H1100" t="str">
        <f t="shared" si="103"/>
        <v>25 min</v>
      </c>
      <c r="I1100" t="s">
        <v>2</v>
      </c>
      <c r="J1100" t="s">
        <v>225</v>
      </c>
      <c r="K1100" t="s">
        <v>102</v>
      </c>
      <c r="L1100">
        <v>6.2</v>
      </c>
      <c r="M1100" t="s">
        <v>10</v>
      </c>
      <c r="N1100" t="str" cm="1">
        <f t="array" ref="N1100">_xlfn.IFS(
    AND(HOUR(A1100)&gt;=0, HOUR(A1100)&lt;10), "Morning",
    AND(HOUR(A1100)&gt;=10, HOUR(A1100)&lt;15), "Afternoon",
    AND(HOUR(E1100)&gt;=15, HOUR(E1100)&lt;19), "Evening",
    AND(HOUR(E1100)&gt;=19, HOUR(E1100)&lt;=23), "Night"
)</f>
        <v>Afternoon</v>
      </c>
    </row>
    <row r="1101" spans="1:14" x14ac:dyDescent="0.25">
      <c r="A1101" s="3">
        <v>42727.59375</v>
      </c>
      <c r="B1101" s="2">
        <f t="shared" si="104"/>
        <v>42727</v>
      </c>
      <c r="C1101" t="str">
        <f t="shared" si="105"/>
        <v>December</v>
      </c>
      <c r="D1101" t="str">
        <f t="shared" si="106"/>
        <v>Friday</v>
      </c>
      <c r="E1101" t="str">
        <f t="shared" si="102"/>
        <v>02:15:00 PM</v>
      </c>
      <c r="F1101" s="3">
        <v>42727.642361111109</v>
      </c>
      <c r="G1101" s="4">
        <f t="shared" si="107"/>
        <v>0.64236111110949423</v>
      </c>
      <c r="H1101" t="str">
        <f t="shared" si="103"/>
        <v>70 min</v>
      </c>
      <c r="I1101" t="s">
        <v>2</v>
      </c>
      <c r="J1101" t="s">
        <v>102</v>
      </c>
      <c r="K1101" t="s">
        <v>102</v>
      </c>
      <c r="L1101">
        <v>9.6</v>
      </c>
      <c r="M1101" t="s">
        <v>10</v>
      </c>
      <c r="N1101" t="str" cm="1">
        <f t="array" ref="N1101">_xlfn.IFS(
    AND(HOUR(A1101)&gt;=0, HOUR(A1101)&lt;10), "Morning",
    AND(HOUR(A1101)&gt;=10, HOUR(A1101)&lt;15), "Afternoon",
    AND(HOUR(E1101)&gt;=15, HOUR(E1101)&lt;19), "Evening",
    AND(HOUR(E1101)&gt;=19, HOUR(E1101)&lt;=23), "Night"
)</f>
        <v>Afternoon</v>
      </c>
    </row>
    <row r="1102" spans="1:14" x14ac:dyDescent="0.25">
      <c r="A1102" s="3">
        <v>42727.682638888888</v>
      </c>
      <c r="B1102" s="2">
        <f t="shared" si="104"/>
        <v>42727</v>
      </c>
      <c r="C1102" t="str">
        <f t="shared" si="105"/>
        <v>December</v>
      </c>
      <c r="D1102" t="str">
        <f t="shared" si="106"/>
        <v>Friday</v>
      </c>
      <c r="E1102" t="str">
        <f t="shared" si="102"/>
        <v>04:23:00 PM</v>
      </c>
      <c r="F1102" s="3">
        <v>42727.69027777778</v>
      </c>
      <c r="G1102" s="4">
        <f t="shared" si="107"/>
        <v>0.69027777777955635</v>
      </c>
      <c r="H1102" t="str">
        <f t="shared" si="103"/>
        <v>11 min</v>
      </c>
      <c r="I1102" t="s">
        <v>2</v>
      </c>
      <c r="J1102" t="s">
        <v>102</v>
      </c>
      <c r="K1102" t="s">
        <v>102</v>
      </c>
      <c r="L1102">
        <v>1.3</v>
      </c>
      <c r="M1102" t="s">
        <v>8</v>
      </c>
      <c r="N1102" t="str" cm="1">
        <f t="array" ref="N1102">_xlfn.IFS(
    AND(HOUR(A1102)&gt;=0, HOUR(A1102)&lt;10), "Morning",
    AND(HOUR(A1102)&gt;=10, HOUR(A1102)&lt;15), "Afternoon",
    AND(HOUR(E1102)&gt;=15, HOUR(E1102)&lt;19), "Evening",
    AND(HOUR(E1102)&gt;=19, HOUR(E1102)&lt;=23), "Night"
)</f>
        <v>Evening</v>
      </c>
    </row>
    <row r="1103" spans="1:14" x14ac:dyDescent="0.25">
      <c r="A1103" s="3">
        <v>42727.731944444444</v>
      </c>
      <c r="B1103" s="2">
        <f t="shared" si="104"/>
        <v>42727</v>
      </c>
      <c r="C1103" t="str">
        <f t="shared" si="105"/>
        <v>December</v>
      </c>
      <c r="D1103" t="str">
        <f t="shared" si="106"/>
        <v>Friday</v>
      </c>
      <c r="E1103" t="str">
        <f t="shared" si="102"/>
        <v>05:34:00 PM</v>
      </c>
      <c r="F1103" s="3">
        <v>42727.768750000003</v>
      </c>
      <c r="G1103" s="4">
        <f t="shared" si="107"/>
        <v>0.76875000000291038</v>
      </c>
      <c r="H1103" t="str">
        <f t="shared" si="103"/>
        <v>53 min</v>
      </c>
      <c r="I1103" t="s">
        <v>2</v>
      </c>
      <c r="J1103" t="s">
        <v>102</v>
      </c>
      <c r="K1103" t="s">
        <v>225</v>
      </c>
      <c r="L1103">
        <v>7.1</v>
      </c>
      <c r="M1103" t="s">
        <v>9</v>
      </c>
      <c r="N1103" t="str" cm="1">
        <f t="array" ref="N1103">_xlfn.IFS(
    AND(HOUR(A1103)&gt;=0, HOUR(A1103)&lt;10), "Morning",
    AND(HOUR(A1103)&gt;=10, HOUR(A1103)&lt;15), "Afternoon",
    AND(HOUR(E1103)&gt;=15, HOUR(E1103)&lt;19), "Evening",
    AND(HOUR(E1103)&gt;=19, HOUR(E1103)&lt;=23), "Night"
)</f>
        <v>Evening</v>
      </c>
    </row>
    <row r="1104" spans="1:14" x14ac:dyDescent="0.25">
      <c r="A1104" s="3">
        <v>42728.321527777778</v>
      </c>
      <c r="B1104" s="2">
        <f t="shared" si="104"/>
        <v>42728</v>
      </c>
      <c r="C1104" t="str">
        <f t="shared" si="105"/>
        <v>December</v>
      </c>
      <c r="D1104" t="str">
        <f t="shared" si="106"/>
        <v>Saturday</v>
      </c>
      <c r="E1104" t="str">
        <f t="shared" si="102"/>
        <v>07:43:00 AM</v>
      </c>
      <c r="F1104" s="3">
        <v>42728.336111111108</v>
      </c>
      <c r="G1104" s="4">
        <f t="shared" si="107"/>
        <v>0.33611111110803904</v>
      </c>
      <c r="H1104" t="str">
        <f t="shared" si="103"/>
        <v>21 min</v>
      </c>
      <c r="I1104" t="s">
        <v>2</v>
      </c>
      <c r="J1104" t="s">
        <v>225</v>
      </c>
      <c r="K1104" t="s">
        <v>102</v>
      </c>
      <c r="L1104">
        <v>6.3</v>
      </c>
      <c r="M1104" t="s">
        <v>9</v>
      </c>
      <c r="N1104" t="str" cm="1">
        <f t="array" ref="N1104">_xlfn.IFS(
    AND(HOUR(A1104)&gt;=0, HOUR(A1104)&lt;10), "Morning",
    AND(HOUR(A1104)&gt;=10, HOUR(A1104)&lt;15), "Afternoon",
    AND(HOUR(E1104)&gt;=15, HOUR(E1104)&lt;19), "Evening",
    AND(HOUR(E1104)&gt;=19, HOUR(E1104)&lt;=23), "Night"
)</f>
        <v>Morning</v>
      </c>
    </row>
    <row r="1105" spans="1:14" x14ac:dyDescent="0.25">
      <c r="A1105" s="3">
        <v>42728.388194444444</v>
      </c>
      <c r="B1105" s="2">
        <f t="shared" si="104"/>
        <v>42728</v>
      </c>
      <c r="C1105" t="str">
        <f t="shared" si="105"/>
        <v>December</v>
      </c>
      <c r="D1105" t="str">
        <f t="shared" si="106"/>
        <v>Saturday</v>
      </c>
      <c r="E1105" t="str">
        <f t="shared" si="102"/>
        <v>09:19:00 AM</v>
      </c>
      <c r="F1105" s="3">
        <v>42728.413194444445</v>
      </c>
      <c r="G1105" s="4">
        <f t="shared" si="107"/>
        <v>0.41319444444525288</v>
      </c>
      <c r="H1105" t="str">
        <f t="shared" si="103"/>
        <v>36 min</v>
      </c>
      <c r="I1105" t="s">
        <v>2</v>
      </c>
      <c r="J1105" t="s">
        <v>102</v>
      </c>
      <c r="K1105" t="s">
        <v>225</v>
      </c>
      <c r="L1105">
        <v>10.7</v>
      </c>
      <c r="M1105" t="s">
        <v>9</v>
      </c>
      <c r="N1105" t="str" cm="1">
        <f t="array" ref="N1105">_xlfn.IFS(
    AND(HOUR(A1105)&gt;=0, HOUR(A1105)&lt;10), "Morning",
    AND(HOUR(A1105)&gt;=10, HOUR(A1105)&lt;15), "Afternoon",
    AND(HOUR(E1105)&gt;=15, HOUR(E1105)&lt;19), "Evening",
    AND(HOUR(E1105)&gt;=19, HOUR(E1105)&lt;=23), "Night"
)</f>
        <v>Morning</v>
      </c>
    </row>
    <row r="1106" spans="1:14" x14ac:dyDescent="0.25">
      <c r="A1106" s="3">
        <v>42728.44027777778</v>
      </c>
      <c r="B1106" s="2">
        <f t="shared" si="104"/>
        <v>42728</v>
      </c>
      <c r="C1106" t="str">
        <f t="shared" si="105"/>
        <v>December</v>
      </c>
      <c r="D1106" t="str">
        <f t="shared" si="106"/>
        <v>Saturday</v>
      </c>
      <c r="E1106" t="str">
        <f t="shared" si="102"/>
        <v>10:34:00 AM</v>
      </c>
      <c r="F1106" s="3">
        <v>42728.453472222223</v>
      </c>
      <c r="G1106" s="4">
        <f t="shared" si="107"/>
        <v>0.45347222222335404</v>
      </c>
      <c r="H1106" t="str">
        <f t="shared" si="103"/>
        <v>19 min</v>
      </c>
      <c r="I1106" t="s">
        <v>2</v>
      </c>
      <c r="J1106" t="s">
        <v>225</v>
      </c>
      <c r="K1106" t="s">
        <v>225</v>
      </c>
      <c r="L1106">
        <v>5.3</v>
      </c>
      <c r="M1106" t="s">
        <v>9</v>
      </c>
      <c r="N1106" t="str" cm="1">
        <f t="array" ref="N1106">_xlfn.IFS(
    AND(HOUR(A1106)&gt;=0, HOUR(A1106)&lt;10), "Morning",
    AND(HOUR(A1106)&gt;=10, HOUR(A1106)&lt;15), "Afternoon",
    AND(HOUR(E1106)&gt;=15, HOUR(E1106)&lt;19), "Evening",
    AND(HOUR(E1106)&gt;=19, HOUR(E1106)&lt;=23), "Night"
)</f>
        <v>Afternoon</v>
      </c>
    </row>
    <row r="1107" spans="1:14" x14ac:dyDescent="0.25">
      <c r="A1107" s="3">
        <v>42728.535416666666</v>
      </c>
      <c r="B1107" s="2">
        <f t="shared" si="104"/>
        <v>42728</v>
      </c>
      <c r="C1107" t="str">
        <f t="shared" si="105"/>
        <v>December</v>
      </c>
      <c r="D1107" t="str">
        <f t="shared" si="106"/>
        <v>Saturday</v>
      </c>
      <c r="E1107" t="str">
        <f t="shared" si="102"/>
        <v>12:51:00 PM</v>
      </c>
      <c r="F1107" s="3">
        <v>42728.536805555559</v>
      </c>
      <c r="G1107" s="4">
        <f t="shared" si="107"/>
        <v>0.53680555555911269</v>
      </c>
      <c r="H1107" t="str">
        <f t="shared" si="103"/>
        <v>2 min</v>
      </c>
      <c r="I1107" t="s">
        <v>2</v>
      </c>
      <c r="J1107" t="s">
        <v>225</v>
      </c>
      <c r="K1107" t="s">
        <v>225</v>
      </c>
      <c r="L1107">
        <v>1.6</v>
      </c>
      <c r="M1107" t="s">
        <v>8</v>
      </c>
      <c r="N1107" t="str" cm="1">
        <f t="array" ref="N1107">_xlfn.IFS(
    AND(HOUR(A1107)&gt;=0, HOUR(A1107)&lt;10), "Morning",
    AND(HOUR(A1107)&gt;=10, HOUR(A1107)&lt;15), "Afternoon",
    AND(HOUR(E1107)&gt;=15, HOUR(E1107)&lt;19), "Evening",
    AND(HOUR(E1107)&gt;=19, HOUR(E1107)&lt;=23), "Night"
)</f>
        <v>Afternoon</v>
      </c>
    </row>
    <row r="1108" spans="1:14" x14ac:dyDescent="0.25">
      <c r="A1108" s="3">
        <v>42728.547222222223</v>
      </c>
      <c r="B1108" s="2">
        <f t="shared" si="104"/>
        <v>42728</v>
      </c>
      <c r="C1108" t="str">
        <f t="shared" si="105"/>
        <v>December</v>
      </c>
      <c r="D1108" t="str">
        <f t="shared" si="106"/>
        <v>Saturday</v>
      </c>
      <c r="E1108" t="str">
        <f t="shared" si="102"/>
        <v>01:08:00 PM</v>
      </c>
      <c r="F1108" s="3">
        <v>42728.561805555553</v>
      </c>
      <c r="G1108" s="4">
        <f t="shared" si="107"/>
        <v>0.56180555555329192</v>
      </c>
      <c r="H1108" t="str">
        <f t="shared" si="103"/>
        <v>21 min</v>
      </c>
      <c r="I1108" t="s">
        <v>2</v>
      </c>
      <c r="J1108" t="s">
        <v>225</v>
      </c>
      <c r="K1108" t="s">
        <v>225</v>
      </c>
      <c r="L1108">
        <v>3.6</v>
      </c>
      <c r="M1108" t="s">
        <v>8</v>
      </c>
      <c r="N1108" t="str" cm="1">
        <f t="array" ref="N1108">_xlfn.IFS(
    AND(HOUR(A1108)&gt;=0, HOUR(A1108)&lt;10), "Morning",
    AND(HOUR(A1108)&gt;=10, HOUR(A1108)&lt;15), "Afternoon",
    AND(HOUR(E1108)&gt;=15, HOUR(E1108)&lt;19), "Evening",
    AND(HOUR(E1108)&gt;=19, HOUR(E1108)&lt;=23), "Night"
)</f>
        <v>Afternoon</v>
      </c>
    </row>
    <row r="1109" spans="1:14" x14ac:dyDescent="0.25">
      <c r="A1109" s="3">
        <v>42728.716666666667</v>
      </c>
      <c r="B1109" s="2">
        <f t="shared" si="104"/>
        <v>42728</v>
      </c>
      <c r="C1109" t="str">
        <f t="shared" si="105"/>
        <v>December</v>
      </c>
      <c r="D1109" t="str">
        <f t="shared" si="106"/>
        <v>Saturday</v>
      </c>
      <c r="E1109" t="str">
        <f t="shared" si="102"/>
        <v>05:12:00 PM</v>
      </c>
      <c r="F1109" s="3">
        <v>42728.727083333331</v>
      </c>
      <c r="G1109" s="4">
        <f t="shared" si="107"/>
        <v>0.72708333333139308</v>
      </c>
      <c r="H1109" t="str">
        <f t="shared" si="103"/>
        <v>15 min</v>
      </c>
      <c r="I1109" t="s">
        <v>2</v>
      </c>
      <c r="J1109" t="s">
        <v>225</v>
      </c>
      <c r="K1109" t="s">
        <v>225</v>
      </c>
      <c r="L1109">
        <v>1.7</v>
      </c>
      <c r="M1109" t="s">
        <v>8</v>
      </c>
      <c r="N1109" t="str" cm="1">
        <f t="array" ref="N1109">_xlfn.IFS(
    AND(HOUR(A1109)&gt;=0, HOUR(A1109)&lt;10), "Morning",
    AND(HOUR(A1109)&gt;=10, HOUR(A1109)&lt;15), "Afternoon",
    AND(HOUR(E1109)&gt;=15, HOUR(E1109)&lt;19), "Evening",
    AND(HOUR(E1109)&gt;=19, HOUR(E1109)&lt;=23), "Night"
)</f>
        <v>Evening</v>
      </c>
    </row>
    <row r="1110" spans="1:14" x14ac:dyDescent="0.25">
      <c r="A1110" s="3">
        <v>42728.800000000003</v>
      </c>
      <c r="B1110" s="2">
        <f t="shared" si="104"/>
        <v>42728</v>
      </c>
      <c r="C1110" t="str">
        <f t="shared" si="105"/>
        <v>December</v>
      </c>
      <c r="D1110" t="str">
        <f t="shared" si="106"/>
        <v>Saturday</v>
      </c>
      <c r="E1110" t="str">
        <f t="shared" si="102"/>
        <v>07:12:00 PM</v>
      </c>
      <c r="F1110" s="3">
        <v>42728.810416666667</v>
      </c>
      <c r="G1110" s="4">
        <f t="shared" si="107"/>
        <v>0.81041666666715173</v>
      </c>
      <c r="H1110" t="str">
        <f t="shared" si="103"/>
        <v>15 min</v>
      </c>
      <c r="I1110" t="s">
        <v>2</v>
      </c>
      <c r="J1110" t="s">
        <v>225</v>
      </c>
      <c r="K1110" t="s">
        <v>225</v>
      </c>
      <c r="L1110">
        <v>2.9</v>
      </c>
      <c r="M1110" t="s">
        <v>9</v>
      </c>
      <c r="N1110" t="str" cm="1">
        <f t="array" ref="N1110">_xlfn.IFS(
    AND(HOUR(A1110)&gt;=0, HOUR(A1110)&lt;10), "Morning",
    AND(HOUR(A1110)&gt;=10, HOUR(A1110)&lt;15), "Afternoon",
    AND(HOUR(E1110)&gt;=15, HOUR(E1110)&lt;19), "Evening",
    AND(HOUR(E1110)&gt;=19, HOUR(E1110)&lt;=23), "Night"
)</f>
        <v>Night</v>
      </c>
    </row>
    <row r="1111" spans="1:14" x14ac:dyDescent="0.25">
      <c r="A1111" s="3">
        <v>42728.919444444444</v>
      </c>
      <c r="B1111" s="2">
        <f t="shared" si="104"/>
        <v>42728</v>
      </c>
      <c r="C1111" t="str">
        <f t="shared" si="105"/>
        <v>December</v>
      </c>
      <c r="D1111" t="str">
        <f t="shared" si="106"/>
        <v>Saturday</v>
      </c>
      <c r="E1111" t="str">
        <f t="shared" si="102"/>
        <v>10:04:00 PM</v>
      </c>
      <c r="F1111" s="3">
        <v>42728.92291666667</v>
      </c>
      <c r="G1111" s="4">
        <f t="shared" si="107"/>
        <v>0.92291666667006211</v>
      </c>
      <c r="H1111" t="str">
        <f t="shared" si="103"/>
        <v>5 min</v>
      </c>
      <c r="I1111" t="s">
        <v>2</v>
      </c>
      <c r="J1111" t="s">
        <v>225</v>
      </c>
      <c r="K1111" t="s">
        <v>225</v>
      </c>
      <c r="L1111">
        <v>0.6</v>
      </c>
      <c r="M1111" t="s">
        <v>8</v>
      </c>
      <c r="N1111" t="str" cm="1">
        <f t="array" ref="N1111">_xlfn.IFS(
    AND(HOUR(A1111)&gt;=0, HOUR(A1111)&lt;10), "Morning",
    AND(HOUR(A1111)&gt;=10, HOUR(A1111)&lt;15), "Afternoon",
    AND(HOUR(E1111)&gt;=15, HOUR(E1111)&lt;19), "Evening",
    AND(HOUR(E1111)&gt;=19, HOUR(E1111)&lt;=23), "Night"
)</f>
        <v>Night</v>
      </c>
    </row>
    <row r="1112" spans="1:14" x14ac:dyDescent="0.25">
      <c r="A1112" s="3">
        <v>42729.006944444445</v>
      </c>
      <c r="B1112" s="2">
        <f t="shared" si="104"/>
        <v>42729</v>
      </c>
      <c r="C1112" t="str">
        <f t="shared" si="105"/>
        <v>December</v>
      </c>
      <c r="D1112" t="str">
        <f t="shared" si="106"/>
        <v>Sunday</v>
      </c>
      <c r="E1112" t="str">
        <f t="shared" si="102"/>
        <v>12:10:00 AM</v>
      </c>
      <c r="F1112" s="3">
        <v>42729.009722222225</v>
      </c>
      <c r="G1112" s="4">
        <f t="shared" si="107"/>
        <v>9.7222222248092294E-3</v>
      </c>
      <c r="H1112" t="str">
        <f t="shared" si="103"/>
        <v>4 min</v>
      </c>
      <c r="I1112" t="s">
        <v>2</v>
      </c>
      <c r="J1112" t="s">
        <v>225</v>
      </c>
      <c r="K1112" t="s">
        <v>225</v>
      </c>
      <c r="L1112">
        <v>0.6</v>
      </c>
      <c r="M1112" t="s">
        <v>8</v>
      </c>
      <c r="N1112" t="str" cm="1">
        <f t="array" ref="N1112">_xlfn.IFS(
    AND(HOUR(A1112)&gt;=0, HOUR(A1112)&lt;10), "Morning",
    AND(HOUR(A1112)&gt;=10, HOUR(A1112)&lt;15), "Afternoon",
    AND(HOUR(E1112)&gt;=15, HOUR(E1112)&lt;19), "Evening",
    AND(HOUR(E1112)&gt;=19, HOUR(E1112)&lt;=23), "Night"
)</f>
        <v>Morning</v>
      </c>
    </row>
    <row r="1113" spans="1:14" x14ac:dyDescent="0.25">
      <c r="A1113" s="3">
        <v>42729.802083333336</v>
      </c>
      <c r="B1113" s="2">
        <f t="shared" si="104"/>
        <v>42729</v>
      </c>
      <c r="C1113" t="str">
        <f t="shared" si="105"/>
        <v>December</v>
      </c>
      <c r="D1113" t="str">
        <f t="shared" si="106"/>
        <v>Sunday</v>
      </c>
      <c r="E1113" t="str">
        <f t="shared" si="102"/>
        <v>07:15:00 PM</v>
      </c>
      <c r="F1113" s="3">
        <v>42729.80972222222</v>
      </c>
      <c r="G1113" s="4">
        <f t="shared" si="107"/>
        <v>0.80972222222044365</v>
      </c>
      <c r="H1113" t="str">
        <f t="shared" si="103"/>
        <v>11 min</v>
      </c>
      <c r="I1113" t="s">
        <v>2</v>
      </c>
      <c r="J1113" t="s">
        <v>225</v>
      </c>
      <c r="K1113" t="s">
        <v>225</v>
      </c>
      <c r="L1113">
        <v>2.2999999999999998</v>
      </c>
      <c r="M1113" t="s">
        <v>9</v>
      </c>
      <c r="N1113" t="str" cm="1">
        <f t="array" ref="N1113">_xlfn.IFS(
    AND(HOUR(A1113)&gt;=0, HOUR(A1113)&lt;10), "Morning",
    AND(HOUR(A1113)&gt;=10, HOUR(A1113)&lt;15), "Afternoon",
    AND(HOUR(E1113)&gt;=15, HOUR(E1113)&lt;19), "Evening",
    AND(HOUR(E1113)&gt;=19, HOUR(E1113)&lt;=23), "Night"
)</f>
        <v>Night</v>
      </c>
    </row>
    <row r="1114" spans="1:14" x14ac:dyDescent="0.25">
      <c r="A1114" s="3">
        <v>42729.915277777778</v>
      </c>
      <c r="B1114" s="2">
        <f t="shared" si="104"/>
        <v>42729</v>
      </c>
      <c r="C1114" t="str">
        <f t="shared" si="105"/>
        <v>December</v>
      </c>
      <c r="D1114" t="str">
        <f t="shared" si="106"/>
        <v>Sunday</v>
      </c>
      <c r="E1114" t="str">
        <f t="shared" si="102"/>
        <v>09:58:00 PM</v>
      </c>
      <c r="F1114" s="3">
        <v>42729.919444444444</v>
      </c>
      <c r="G1114" s="4">
        <f t="shared" si="107"/>
        <v>0.91944444444379769</v>
      </c>
      <c r="H1114" t="str">
        <f t="shared" si="103"/>
        <v>6 min</v>
      </c>
      <c r="I1114" t="s">
        <v>2</v>
      </c>
      <c r="J1114" t="s">
        <v>225</v>
      </c>
      <c r="K1114" t="s">
        <v>225</v>
      </c>
      <c r="L1114">
        <v>2.2999999999999998</v>
      </c>
      <c r="M1114" t="s">
        <v>9</v>
      </c>
      <c r="N1114" t="str" cm="1">
        <f t="array" ref="N1114">_xlfn.IFS(
    AND(HOUR(A1114)&gt;=0, HOUR(A1114)&lt;10), "Morning",
    AND(HOUR(A1114)&gt;=10, HOUR(A1114)&lt;15), "Afternoon",
    AND(HOUR(E1114)&gt;=15, HOUR(E1114)&lt;19), "Evening",
    AND(HOUR(E1114)&gt;=19, HOUR(E1114)&lt;=23), "Night"
)</f>
        <v>Night</v>
      </c>
    </row>
    <row r="1115" spans="1:14" x14ac:dyDescent="0.25">
      <c r="A1115" s="3">
        <v>42730.354166666664</v>
      </c>
      <c r="B1115" s="2">
        <f t="shared" si="104"/>
        <v>42730</v>
      </c>
      <c r="C1115" t="str">
        <f t="shared" si="105"/>
        <v>December</v>
      </c>
      <c r="D1115" t="str">
        <f t="shared" si="106"/>
        <v>Monday</v>
      </c>
      <c r="E1115" t="str">
        <f t="shared" si="102"/>
        <v>08:30:00 AM</v>
      </c>
      <c r="F1115" s="3">
        <v>42730.361805555556</v>
      </c>
      <c r="G1115" s="4">
        <f t="shared" si="107"/>
        <v>0.36180555555620231</v>
      </c>
      <c r="H1115" t="str">
        <f t="shared" si="103"/>
        <v>11 min</v>
      </c>
      <c r="I1115" t="s">
        <v>2</v>
      </c>
      <c r="J1115" t="s">
        <v>225</v>
      </c>
      <c r="K1115" t="s">
        <v>225</v>
      </c>
      <c r="L1115">
        <v>3.2</v>
      </c>
      <c r="M1115" t="s">
        <v>9</v>
      </c>
      <c r="N1115" t="str" cm="1">
        <f t="array" ref="N1115">_xlfn.IFS(
    AND(HOUR(A1115)&gt;=0, HOUR(A1115)&lt;10), "Morning",
    AND(HOUR(A1115)&gt;=10, HOUR(A1115)&lt;15), "Afternoon",
    AND(HOUR(E1115)&gt;=15, HOUR(E1115)&lt;19), "Evening",
    AND(HOUR(E1115)&gt;=19, HOUR(E1115)&lt;=23), "Night"
)</f>
        <v>Morning</v>
      </c>
    </row>
    <row r="1116" spans="1:14" x14ac:dyDescent="0.25">
      <c r="A1116" s="3">
        <v>42730.378472222219</v>
      </c>
      <c r="B1116" s="2">
        <f t="shared" si="104"/>
        <v>42730</v>
      </c>
      <c r="C1116" t="str">
        <f t="shared" si="105"/>
        <v>December</v>
      </c>
      <c r="D1116" t="str">
        <f t="shared" si="106"/>
        <v>Monday</v>
      </c>
      <c r="E1116" t="str">
        <f t="shared" si="102"/>
        <v>09:05:00 AM</v>
      </c>
      <c r="F1116" s="3">
        <v>42730.388194444444</v>
      </c>
      <c r="G1116" s="4">
        <f t="shared" si="107"/>
        <v>0.38819444444379769</v>
      </c>
      <c r="H1116" t="str">
        <f t="shared" si="103"/>
        <v>14 min</v>
      </c>
      <c r="I1116" t="s">
        <v>2</v>
      </c>
      <c r="J1116" t="s">
        <v>225</v>
      </c>
      <c r="K1116" t="s">
        <v>225</v>
      </c>
      <c r="L1116">
        <v>6.2</v>
      </c>
      <c r="M1116" t="s">
        <v>7</v>
      </c>
      <c r="N1116" t="str" cm="1">
        <f t="array" ref="N1116">_xlfn.IFS(
    AND(HOUR(A1116)&gt;=0, HOUR(A1116)&lt;10), "Morning",
    AND(HOUR(A1116)&gt;=10, HOUR(A1116)&lt;15), "Afternoon",
    AND(HOUR(E1116)&gt;=15, HOUR(E1116)&lt;19), "Evening",
    AND(HOUR(E1116)&gt;=19, HOUR(E1116)&lt;=23), "Night"
)</f>
        <v>Morning</v>
      </c>
    </row>
    <row r="1117" spans="1:14" x14ac:dyDescent="0.25">
      <c r="A1117" s="3">
        <v>42730.427083333336</v>
      </c>
      <c r="B1117" s="2">
        <f t="shared" si="104"/>
        <v>42730</v>
      </c>
      <c r="C1117" t="str">
        <f t="shared" si="105"/>
        <v>December</v>
      </c>
      <c r="D1117" t="str">
        <f t="shared" si="106"/>
        <v>Monday</v>
      </c>
      <c r="E1117" t="str">
        <f t="shared" si="102"/>
        <v>10:15:00 AM</v>
      </c>
      <c r="F1117" s="3">
        <v>42730.441666666666</v>
      </c>
      <c r="G1117" s="4">
        <f t="shared" si="107"/>
        <v>0.44166666666569654</v>
      </c>
      <c r="H1117" t="str">
        <f t="shared" si="103"/>
        <v>21 min</v>
      </c>
      <c r="I1117" t="s">
        <v>2</v>
      </c>
      <c r="J1117" t="s">
        <v>225</v>
      </c>
      <c r="K1117" t="s">
        <v>225</v>
      </c>
      <c r="L1117">
        <v>7.7</v>
      </c>
      <c r="M1117" t="s">
        <v>7</v>
      </c>
      <c r="N1117" t="str" cm="1">
        <f t="array" ref="N1117">_xlfn.IFS(
    AND(HOUR(A1117)&gt;=0, HOUR(A1117)&lt;10), "Morning",
    AND(HOUR(A1117)&gt;=10, HOUR(A1117)&lt;15), "Afternoon",
    AND(HOUR(E1117)&gt;=15, HOUR(E1117)&lt;19), "Evening",
    AND(HOUR(E1117)&gt;=19, HOUR(E1117)&lt;=23), "Night"
)</f>
        <v>Afternoon</v>
      </c>
    </row>
    <row r="1118" spans="1:14" x14ac:dyDescent="0.25">
      <c r="A1118" s="3">
        <v>42730.478472222225</v>
      </c>
      <c r="B1118" s="2">
        <f t="shared" si="104"/>
        <v>42730</v>
      </c>
      <c r="C1118" t="str">
        <f t="shared" si="105"/>
        <v>December</v>
      </c>
      <c r="D1118" t="str">
        <f t="shared" si="106"/>
        <v>Monday</v>
      </c>
      <c r="E1118" t="str">
        <f t="shared" si="102"/>
        <v>11:29:00 AM</v>
      </c>
      <c r="F1118" s="3">
        <v>42730.487500000003</v>
      </c>
      <c r="G1118" s="4">
        <f t="shared" si="107"/>
        <v>0.48750000000291038</v>
      </c>
      <c r="H1118" t="str">
        <f t="shared" si="103"/>
        <v>13 min</v>
      </c>
      <c r="I1118" t="s">
        <v>2</v>
      </c>
      <c r="J1118" t="s">
        <v>225</v>
      </c>
      <c r="K1118" t="s">
        <v>225</v>
      </c>
      <c r="L1118">
        <v>3.8</v>
      </c>
      <c r="M1118" t="s">
        <v>7</v>
      </c>
      <c r="N1118" t="str" cm="1">
        <f t="array" ref="N1118">_xlfn.IFS(
    AND(HOUR(A1118)&gt;=0, HOUR(A1118)&lt;10), "Morning",
    AND(HOUR(A1118)&gt;=10, HOUR(A1118)&lt;15), "Afternoon",
    AND(HOUR(E1118)&gt;=15, HOUR(E1118)&lt;19), "Evening",
    AND(HOUR(E1118)&gt;=19, HOUR(E1118)&lt;=23), "Night"
)</f>
        <v>Afternoon</v>
      </c>
    </row>
    <row r="1119" spans="1:14" x14ac:dyDescent="0.25">
      <c r="A1119" s="3">
        <v>42730.54791666667</v>
      </c>
      <c r="B1119" s="2">
        <f t="shared" si="104"/>
        <v>42730</v>
      </c>
      <c r="C1119" t="str">
        <f t="shared" si="105"/>
        <v>December</v>
      </c>
      <c r="D1119" t="str">
        <f t="shared" si="106"/>
        <v>Monday</v>
      </c>
      <c r="E1119" t="str">
        <f t="shared" si="102"/>
        <v>01:09:00 PM</v>
      </c>
      <c r="F1119" s="3">
        <v>42730.571527777778</v>
      </c>
      <c r="G1119" s="4">
        <f t="shared" si="107"/>
        <v>0.57152777777810115</v>
      </c>
      <c r="H1119" t="str">
        <f t="shared" si="103"/>
        <v>34 min</v>
      </c>
      <c r="I1119" t="s">
        <v>2</v>
      </c>
      <c r="J1119" t="s">
        <v>225</v>
      </c>
      <c r="K1119" t="s">
        <v>102</v>
      </c>
      <c r="L1119">
        <v>7.9</v>
      </c>
      <c r="M1119" t="s">
        <v>10</v>
      </c>
      <c r="N1119" t="str" cm="1">
        <f t="array" ref="N1119">_xlfn.IFS(
    AND(HOUR(A1119)&gt;=0, HOUR(A1119)&lt;10), "Morning",
    AND(HOUR(A1119)&gt;=10, HOUR(A1119)&lt;15), "Afternoon",
    AND(HOUR(E1119)&gt;=15, HOUR(E1119)&lt;19), "Evening",
    AND(HOUR(E1119)&gt;=19, HOUR(E1119)&lt;=23), "Night"
)</f>
        <v>Afternoon</v>
      </c>
    </row>
    <row r="1120" spans="1:14" x14ac:dyDescent="0.25">
      <c r="A1120" s="3">
        <v>42731.293055555558</v>
      </c>
      <c r="B1120" s="2">
        <f t="shared" si="104"/>
        <v>42731</v>
      </c>
      <c r="C1120" t="str">
        <f t="shared" si="105"/>
        <v>December</v>
      </c>
      <c r="D1120" t="str">
        <f t="shared" si="106"/>
        <v>Tuesday</v>
      </c>
      <c r="E1120" t="str">
        <f t="shared" si="102"/>
        <v>07:02:00 AM</v>
      </c>
      <c r="F1120" s="3">
        <v>42731.301388888889</v>
      </c>
      <c r="G1120" s="4">
        <f t="shared" si="107"/>
        <v>0.30138888888905058</v>
      </c>
      <c r="H1120" t="str">
        <f t="shared" si="103"/>
        <v>12 min</v>
      </c>
      <c r="I1120" t="s">
        <v>2</v>
      </c>
      <c r="J1120" t="s">
        <v>261</v>
      </c>
      <c r="K1120" t="s">
        <v>261</v>
      </c>
      <c r="L1120">
        <v>4.9000000000000004</v>
      </c>
      <c r="M1120" t="s">
        <v>11</v>
      </c>
      <c r="N1120" t="str" cm="1">
        <f t="array" ref="N1120">_xlfn.IFS(
    AND(HOUR(A1120)&gt;=0, HOUR(A1120)&lt;10), "Morning",
    AND(HOUR(A1120)&gt;=10, HOUR(A1120)&lt;15), "Afternoon",
    AND(HOUR(E1120)&gt;=15, HOUR(E1120)&lt;19), "Evening",
    AND(HOUR(E1120)&gt;=19, HOUR(E1120)&lt;=23), "Night"
)</f>
        <v>Morning</v>
      </c>
    </row>
    <row r="1121" spans="1:14" x14ac:dyDescent="0.25">
      <c r="A1121" s="3">
        <v>42731.359027777777</v>
      </c>
      <c r="B1121" s="2">
        <f t="shared" si="104"/>
        <v>42731</v>
      </c>
      <c r="C1121" t="str">
        <f t="shared" si="105"/>
        <v>December</v>
      </c>
      <c r="D1121" t="str">
        <f t="shared" si="106"/>
        <v>Tuesday</v>
      </c>
      <c r="E1121" t="str">
        <f t="shared" si="102"/>
        <v>08:37:00 AM</v>
      </c>
      <c r="F1121" s="3">
        <v>42731.374305555553</v>
      </c>
      <c r="G1121" s="4">
        <f t="shared" si="107"/>
        <v>0.37430555555329192</v>
      </c>
      <c r="H1121" t="str">
        <f t="shared" si="103"/>
        <v>22 min</v>
      </c>
      <c r="I1121" t="s">
        <v>2</v>
      </c>
      <c r="J1121" t="s">
        <v>261</v>
      </c>
      <c r="K1121" t="s">
        <v>261</v>
      </c>
      <c r="L1121">
        <v>5</v>
      </c>
      <c r="M1121" t="s">
        <v>9</v>
      </c>
      <c r="N1121" t="str" cm="1">
        <f t="array" ref="N1121">_xlfn.IFS(
    AND(HOUR(A1121)&gt;=0, HOUR(A1121)&lt;10), "Morning",
    AND(HOUR(A1121)&gt;=10, HOUR(A1121)&lt;15), "Afternoon",
    AND(HOUR(E1121)&gt;=15, HOUR(E1121)&lt;19), "Evening",
    AND(HOUR(E1121)&gt;=19, HOUR(E1121)&lt;=23), "Night"
)</f>
        <v>Morning</v>
      </c>
    </row>
    <row r="1122" spans="1:14" x14ac:dyDescent="0.25">
      <c r="A1122" s="3">
        <v>42731.536805555559</v>
      </c>
      <c r="B1122" s="2">
        <f t="shared" si="104"/>
        <v>42731</v>
      </c>
      <c r="C1122" t="str">
        <f t="shared" si="105"/>
        <v>December</v>
      </c>
      <c r="D1122" t="str">
        <f t="shared" si="106"/>
        <v>Tuesday</v>
      </c>
      <c r="E1122" t="str">
        <f t="shared" si="102"/>
        <v>12:53:00 PM</v>
      </c>
      <c r="F1122" s="3">
        <v>42731.539583333331</v>
      </c>
      <c r="G1122" s="4">
        <f t="shared" si="107"/>
        <v>0.53958333333139308</v>
      </c>
      <c r="H1122" t="str">
        <f t="shared" si="103"/>
        <v>4 min</v>
      </c>
      <c r="I1122" t="s">
        <v>2</v>
      </c>
      <c r="J1122" t="s">
        <v>261</v>
      </c>
      <c r="K1122" t="s">
        <v>261</v>
      </c>
      <c r="L1122">
        <v>0.6</v>
      </c>
      <c r="M1122" t="s">
        <v>9</v>
      </c>
      <c r="N1122" t="str" cm="1">
        <f t="array" ref="N1122">_xlfn.IFS(
    AND(HOUR(A1122)&gt;=0, HOUR(A1122)&lt;10), "Morning",
    AND(HOUR(A1122)&gt;=10, HOUR(A1122)&lt;15), "Afternoon",
    AND(HOUR(E1122)&gt;=15, HOUR(E1122)&lt;19), "Evening",
    AND(HOUR(E1122)&gt;=19, HOUR(E1122)&lt;=23), "Night"
)</f>
        <v>Afternoon</v>
      </c>
    </row>
    <row r="1123" spans="1:14" x14ac:dyDescent="0.25">
      <c r="A1123" s="3">
        <v>42731.617361111108</v>
      </c>
      <c r="B1123" s="2">
        <f t="shared" si="104"/>
        <v>42731</v>
      </c>
      <c r="C1123" t="str">
        <f t="shared" si="105"/>
        <v>December</v>
      </c>
      <c r="D1123" t="str">
        <f t="shared" si="106"/>
        <v>Tuesday</v>
      </c>
      <c r="E1123" t="str">
        <f t="shared" si="102"/>
        <v>02:49:00 PM</v>
      </c>
      <c r="F1123" s="3">
        <v>42731.627083333333</v>
      </c>
      <c r="G1123" s="4">
        <f t="shared" si="107"/>
        <v>0.62708333333284827</v>
      </c>
      <c r="H1123" t="str">
        <f t="shared" si="103"/>
        <v>14 min</v>
      </c>
      <c r="I1123" t="s">
        <v>2</v>
      </c>
      <c r="J1123" t="s">
        <v>261</v>
      </c>
      <c r="K1123" t="s">
        <v>102</v>
      </c>
      <c r="L1123">
        <v>3.1</v>
      </c>
      <c r="M1123" t="s">
        <v>7</v>
      </c>
      <c r="N1123" t="str" cm="1">
        <f t="array" ref="N1123">_xlfn.IFS(
    AND(HOUR(A1123)&gt;=0, HOUR(A1123)&lt;10), "Morning",
    AND(HOUR(A1123)&gt;=10, HOUR(A1123)&lt;15), "Afternoon",
    AND(HOUR(E1123)&gt;=15, HOUR(E1123)&lt;19), "Evening",
    AND(HOUR(E1123)&gt;=19, HOUR(E1123)&lt;=23), "Night"
)</f>
        <v>Afternoon</v>
      </c>
    </row>
    <row r="1124" spans="1:14" x14ac:dyDescent="0.25">
      <c r="A1124" s="3">
        <v>42731.69027777778</v>
      </c>
      <c r="B1124" s="2">
        <f t="shared" si="104"/>
        <v>42731</v>
      </c>
      <c r="C1124" t="str">
        <f t="shared" si="105"/>
        <v>December</v>
      </c>
      <c r="D1124" t="str">
        <f t="shared" si="106"/>
        <v>Tuesday</v>
      </c>
      <c r="E1124" t="str">
        <f t="shared" si="102"/>
        <v>04:34:00 PM</v>
      </c>
      <c r="F1124" s="3">
        <v>42731.706944444442</v>
      </c>
      <c r="G1124" s="4">
        <f t="shared" si="107"/>
        <v>0.7069444444423425</v>
      </c>
      <c r="H1124" t="str">
        <f t="shared" si="103"/>
        <v>24 min</v>
      </c>
      <c r="I1124" t="s">
        <v>2</v>
      </c>
      <c r="J1124" t="s">
        <v>102</v>
      </c>
      <c r="K1124" t="s">
        <v>261</v>
      </c>
      <c r="L1124">
        <v>7.9</v>
      </c>
      <c r="M1124" t="s">
        <v>10</v>
      </c>
      <c r="N1124" t="str" cm="1">
        <f t="array" ref="N1124">_xlfn.IFS(
    AND(HOUR(A1124)&gt;=0, HOUR(A1124)&lt;10), "Morning",
    AND(HOUR(A1124)&gt;=10, HOUR(A1124)&lt;15), "Afternoon",
    AND(HOUR(E1124)&gt;=15, HOUR(E1124)&lt;19), "Evening",
    AND(HOUR(E1124)&gt;=19, HOUR(E1124)&lt;=23), "Night"
)</f>
        <v>Evening</v>
      </c>
    </row>
    <row r="1125" spans="1:14" x14ac:dyDescent="0.25">
      <c r="A1125" s="3">
        <v>42731.804861111108</v>
      </c>
      <c r="B1125" s="2">
        <f t="shared" si="104"/>
        <v>42731</v>
      </c>
      <c r="C1125" t="str">
        <f t="shared" si="105"/>
        <v>December</v>
      </c>
      <c r="D1125" t="str">
        <f t="shared" si="106"/>
        <v>Tuesday</v>
      </c>
      <c r="E1125" t="str">
        <f t="shared" si="102"/>
        <v>07:19:00 PM</v>
      </c>
      <c r="F1125" s="3">
        <v>42731.826388888891</v>
      </c>
      <c r="G1125" s="4">
        <f t="shared" si="107"/>
        <v>0.82638888889050577</v>
      </c>
      <c r="H1125" t="str">
        <f t="shared" si="103"/>
        <v>31 min</v>
      </c>
      <c r="I1125" t="s">
        <v>2</v>
      </c>
      <c r="J1125" t="s">
        <v>261</v>
      </c>
      <c r="K1125" t="s">
        <v>261</v>
      </c>
      <c r="L1125">
        <v>5.5</v>
      </c>
      <c r="M1125" t="s">
        <v>7</v>
      </c>
      <c r="N1125" t="str" cm="1">
        <f t="array" ref="N1125">_xlfn.IFS(
    AND(HOUR(A1125)&gt;=0, HOUR(A1125)&lt;10), "Morning",
    AND(HOUR(A1125)&gt;=10, HOUR(A1125)&lt;15), "Afternoon",
    AND(HOUR(E1125)&gt;=15, HOUR(E1125)&lt;19), "Evening",
    AND(HOUR(E1125)&gt;=19, HOUR(E1125)&lt;=23), "Night"
)</f>
        <v>Night</v>
      </c>
    </row>
    <row r="1126" spans="1:14" x14ac:dyDescent="0.25">
      <c r="A1126" s="3">
        <v>42732.356944444444</v>
      </c>
      <c r="B1126" s="2">
        <f t="shared" si="104"/>
        <v>42732</v>
      </c>
      <c r="C1126" t="str">
        <f t="shared" si="105"/>
        <v>December</v>
      </c>
      <c r="D1126" t="str">
        <f t="shared" si="106"/>
        <v>Wednesday</v>
      </c>
      <c r="E1126" t="str">
        <f t="shared" si="102"/>
        <v>08:34:00 AM</v>
      </c>
      <c r="F1126" s="3">
        <v>42732.379166666666</v>
      </c>
      <c r="G1126" s="4">
        <f t="shared" si="107"/>
        <v>0.37916666666569654</v>
      </c>
      <c r="H1126" t="str">
        <f t="shared" si="103"/>
        <v>32 min</v>
      </c>
      <c r="I1126" t="s">
        <v>2</v>
      </c>
      <c r="J1126" t="s">
        <v>261</v>
      </c>
      <c r="K1126" t="s">
        <v>102</v>
      </c>
      <c r="L1126">
        <v>10.3</v>
      </c>
      <c r="M1126" t="s">
        <v>9</v>
      </c>
      <c r="N1126" t="str" cm="1">
        <f t="array" ref="N1126">_xlfn.IFS(
    AND(HOUR(A1126)&gt;=0, HOUR(A1126)&lt;10), "Morning",
    AND(HOUR(A1126)&gt;=10, HOUR(A1126)&lt;15), "Afternoon",
    AND(HOUR(E1126)&gt;=15, HOUR(E1126)&lt;19), "Evening",
    AND(HOUR(E1126)&gt;=19, HOUR(E1126)&lt;=23), "Night"
)</f>
        <v>Morning</v>
      </c>
    </row>
    <row r="1127" spans="1:14" x14ac:dyDescent="0.25">
      <c r="A1127" s="3">
        <v>42732.487500000003</v>
      </c>
      <c r="B1127" s="2">
        <f t="shared" si="104"/>
        <v>42732</v>
      </c>
      <c r="C1127" t="str">
        <f t="shared" si="105"/>
        <v>December</v>
      </c>
      <c r="D1127" t="str">
        <f t="shared" si="106"/>
        <v>Wednesday</v>
      </c>
      <c r="E1127" t="str">
        <f t="shared" si="102"/>
        <v>11:42:00 AM</v>
      </c>
      <c r="F1127" s="3">
        <v>42732.508333333331</v>
      </c>
      <c r="G1127" s="4">
        <f t="shared" si="107"/>
        <v>0.50833333333139308</v>
      </c>
      <c r="H1127" t="str">
        <f t="shared" si="103"/>
        <v>30 min</v>
      </c>
      <c r="I1127" t="s">
        <v>2</v>
      </c>
      <c r="J1127" t="s">
        <v>102</v>
      </c>
      <c r="K1127" t="s">
        <v>261</v>
      </c>
      <c r="L1127">
        <v>10.4</v>
      </c>
      <c r="M1127" t="s">
        <v>8</v>
      </c>
      <c r="N1127" t="str" cm="1">
        <f t="array" ref="N1127">_xlfn.IFS(
    AND(HOUR(A1127)&gt;=0, HOUR(A1127)&lt;10), "Morning",
    AND(HOUR(A1127)&gt;=10, HOUR(A1127)&lt;15), "Afternoon",
    AND(HOUR(E1127)&gt;=15, HOUR(E1127)&lt;19), "Evening",
    AND(HOUR(E1127)&gt;=19, HOUR(E1127)&lt;=23), "Night"
)</f>
        <v>Afternoon</v>
      </c>
    </row>
    <row r="1128" spans="1:14" x14ac:dyDescent="0.25">
      <c r="A1128" s="3">
        <v>42732.578472222223</v>
      </c>
      <c r="B1128" s="2">
        <f t="shared" si="104"/>
        <v>42732</v>
      </c>
      <c r="C1128" t="str">
        <f t="shared" si="105"/>
        <v>December</v>
      </c>
      <c r="D1128" t="str">
        <f t="shared" si="106"/>
        <v>Wednesday</v>
      </c>
      <c r="E1128" t="str">
        <f t="shared" si="102"/>
        <v>01:53:00 PM</v>
      </c>
      <c r="F1128" s="3">
        <v>42732.584027777775</v>
      </c>
      <c r="G1128" s="4">
        <f t="shared" si="107"/>
        <v>0.58402777777519077</v>
      </c>
      <c r="H1128" t="str">
        <f t="shared" si="103"/>
        <v>8 min</v>
      </c>
      <c r="I1128" t="s">
        <v>2</v>
      </c>
      <c r="J1128" t="s">
        <v>261</v>
      </c>
      <c r="K1128" t="s">
        <v>261</v>
      </c>
      <c r="L1128">
        <v>2</v>
      </c>
      <c r="M1128" t="s">
        <v>8</v>
      </c>
      <c r="N1128" t="str" cm="1">
        <f t="array" ref="N1128">_xlfn.IFS(
    AND(HOUR(A1128)&gt;=0, HOUR(A1128)&lt;10), "Morning",
    AND(HOUR(A1128)&gt;=10, HOUR(A1128)&lt;15), "Afternoon",
    AND(HOUR(E1128)&gt;=15, HOUR(E1128)&lt;19), "Evening",
    AND(HOUR(E1128)&gt;=19, HOUR(E1128)&lt;=23), "Night"
)</f>
        <v>Afternoon</v>
      </c>
    </row>
    <row r="1129" spans="1:14" x14ac:dyDescent="0.25">
      <c r="A1129" s="3">
        <v>42732.62777777778</v>
      </c>
      <c r="B1129" s="2">
        <f t="shared" si="104"/>
        <v>42732</v>
      </c>
      <c r="C1129" t="str">
        <f t="shared" si="105"/>
        <v>December</v>
      </c>
      <c r="D1129" t="str">
        <f t="shared" si="106"/>
        <v>Wednesday</v>
      </c>
      <c r="E1129" t="str">
        <f t="shared" si="102"/>
        <v>03:04:00 PM</v>
      </c>
      <c r="F1129" s="3">
        <v>42732.652083333334</v>
      </c>
      <c r="G1129" s="4">
        <f t="shared" si="107"/>
        <v>0.65208333333430346</v>
      </c>
      <c r="H1129" t="str">
        <f t="shared" si="103"/>
        <v>35 min</v>
      </c>
      <c r="I1129" t="s">
        <v>2</v>
      </c>
      <c r="J1129" t="s">
        <v>261</v>
      </c>
      <c r="K1129" t="s">
        <v>102</v>
      </c>
      <c r="L1129">
        <v>8.5</v>
      </c>
      <c r="M1129" t="s">
        <v>9</v>
      </c>
      <c r="N1129" t="str" cm="1">
        <f t="array" ref="N1129">_xlfn.IFS(
    AND(HOUR(A1129)&gt;=0, HOUR(A1129)&lt;10), "Morning",
    AND(HOUR(A1129)&gt;=10, HOUR(A1129)&lt;15), "Afternoon",
    AND(HOUR(E1129)&gt;=15, HOUR(E1129)&lt;19), "Evening",
    AND(HOUR(E1129)&gt;=19, HOUR(E1129)&lt;=23), "Night"
)</f>
        <v>Evening</v>
      </c>
    </row>
    <row r="1130" spans="1:14" x14ac:dyDescent="0.25">
      <c r="A1130" s="3">
        <v>42732.709722222222</v>
      </c>
      <c r="B1130" s="2">
        <f t="shared" si="104"/>
        <v>42732</v>
      </c>
      <c r="C1130" t="str">
        <f t="shared" si="105"/>
        <v>December</v>
      </c>
      <c r="D1130" t="str">
        <f t="shared" si="106"/>
        <v>Wednesday</v>
      </c>
      <c r="E1130" t="str">
        <f t="shared" si="102"/>
        <v>05:02:00 PM</v>
      </c>
      <c r="F1130" s="3">
        <v>42732.719444444447</v>
      </c>
      <c r="G1130" s="4">
        <f t="shared" si="107"/>
        <v>0.71944444444670808</v>
      </c>
      <c r="H1130" t="str">
        <f t="shared" si="103"/>
        <v>14 min</v>
      </c>
      <c r="I1130" t="s">
        <v>2</v>
      </c>
      <c r="J1130" t="s">
        <v>102</v>
      </c>
      <c r="K1130" t="s">
        <v>261</v>
      </c>
      <c r="L1130">
        <v>4.4000000000000004</v>
      </c>
      <c r="M1130" t="s">
        <v>8</v>
      </c>
      <c r="N1130" t="str" cm="1">
        <f t="array" ref="N1130">_xlfn.IFS(
    AND(HOUR(A1130)&gt;=0, HOUR(A1130)&lt;10), "Morning",
    AND(HOUR(A1130)&gt;=10, HOUR(A1130)&lt;15), "Afternoon",
    AND(HOUR(E1130)&gt;=15, HOUR(E1130)&lt;19), "Evening",
    AND(HOUR(E1130)&gt;=19, HOUR(E1130)&lt;=23), "Night"
)</f>
        <v>Evening</v>
      </c>
    </row>
    <row r="1131" spans="1:14" x14ac:dyDescent="0.25">
      <c r="A1131" s="3">
        <v>42732.772916666669</v>
      </c>
      <c r="B1131" s="2">
        <f t="shared" si="104"/>
        <v>42732</v>
      </c>
      <c r="C1131" t="str">
        <f t="shared" si="105"/>
        <v>December</v>
      </c>
      <c r="D1131" t="str">
        <f t="shared" si="106"/>
        <v>Wednesday</v>
      </c>
      <c r="E1131" t="str">
        <f t="shared" si="102"/>
        <v>06:33:00 PM</v>
      </c>
      <c r="F1131" s="3">
        <v>42732.788888888892</v>
      </c>
      <c r="G1131" s="4">
        <f t="shared" si="107"/>
        <v>0.78888888889196096</v>
      </c>
      <c r="H1131" t="str">
        <f t="shared" si="103"/>
        <v>23 min</v>
      </c>
      <c r="I1131" t="s">
        <v>2</v>
      </c>
      <c r="J1131" t="s">
        <v>261</v>
      </c>
      <c r="K1131" t="s">
        <v>261</v>
      </c>
      <c r="L1131">
        <v>3.8</v>
      </c>
      <c r="M1131" t="s">
        <v>8</v>
      </c>
      <c r="N1131" t="str" cm="1">
        <f t="array" ref="N1131">_xlfn.IFS(
    AND(HOUR(A1131)&gt;=0, HOUR(A1131)&lt;10), "Morning",
    AND(HOUR(A1131)&gt;=10, HOUR(A1131)&lt;15), "Afternoon",
    AND(HOUR(E1131)&gt;=15, HOUR(E1131)&lt;19), "Evening",
    AND(HOUR(E1131)&gt;=19, HOUR(E1131)&lt;=23), "Night"
)</f>
        <v>Evening</v>
      </c>
    </row>
    <row r="1132" spans="1:14" x14ac:dyDescent="0.25">
      <c r="A1132" s="3">
        <v>42732.947222222225</v>
      </c>
      <c r="B1132" s="2">
        <f t="shared" si="104"/>
        <v>42732</v>
      </c>
      <c r="C1132" t="str">
        <f t="shared" si="105"/>
        <v>December</v>
      </c>
      <c r="D1132" t="str">
        <f t="shared" si="106"/>
        <v>Wednesday</v>
      </c>
      <c r="E1132" t="str">
        <f t="shared" si="102"/>
        <v>10:44:00 PM</v>
      </c>
      <c r="F1132" s="3">
        <v>42732.970833333333</v>
      </c>
      <c r="G1132" s="4">
        <f t="shared" si="107"/>
        <v>0.97083333333284827</v>
      </c>
      <c r="H1132" t="str">
        <f t="shared" si="103"/>
        <v>34 min</v>
      </c>
      <c r="I1132" t="s">
        <v>2</v>
      </c>
      <c r="J1132" t="s">
        <v>261</v>
      </c>
      <c r="K1132" t="s">
        <v>261</v>
      </c>
      <c r="L1132">
        <v>5.0999999999999996</v>
      </c>
      <c r="M1132" t="s">
        <v>8</v>
      </c>
      <c r="N1132" t="str" cm="1">
        <f t="array" ref="N1132">_xlfn.IFS(
    AND(HOUR(A1132)&gt;=0, HOUR(A1132)&lt;10), "Morning",
    AND(HOUR(A1132)&gt;=10, HOUR(A1132)&lt;15), "Afternoon",
    AND(HOUR(E1132)&gt;=15, HOUR(E1132)&lt;19), "Evening",
    AND(HOUR(E1132)&gt;=19, HOUR(E1132)&lt;=23), "Night"
)</f>
        <v>Night</v>
      </c>
    </row>
    <row r="1133" spans="1:14" x14ac:dyDescent="0.25">
      <c r="A1133" s="3">
        <v>42733.03402777778</v>
      </c>
      <c r="B1133" s="2">
        <f t="shared" si="104"/>
        <v>42733</v>
      </c>
      <c r="C1133" t="str">
        <f t="shared" si="105"/>
        <v>December</v>
      </c>
      <c r="D1133" t="str">
        <f t="shared" si="106"/>
        <v>Thursday</v>
      </c>
      <c r="E1133" t="str">
        <f t="shared" si="102"/>
        <v>12:49:00 AM</v>
      </c>
      <c r="F1133" s="3">
        <v>42733.04583333333</v>
      </c>
      <c r="G1133" s="4">
        <f t="shared" si="107"/>
        <v>4.5833333329937886E-2</v>
      </c>
      <c r="H1133" t="str">
        <f t="shared" si="103"/>
        <v>17 min</v>
      </c>
      <c r="I1133" t="s">
        <v>2</v>
      </c>
      <c r="J1133" t="s">
        <v>261</v>
      </c>
      <c r="K1133" t="s">
        <v>261</v>
      </c>
      <c r="L1133">
        <v>3.8</v>
      </c>
      <c r="M1133" t="s">
        <v>8</v>
      </c>
      <c r="N1133" t="str" cm="1">
        <f t="array" ref="N1133">_xlfn.IFS(
    AND(HOUR(A1133)&gt;=0, HOUR(A1133)&lt;10), "Morning",
    AND(HOUR(A1133)&gt;=10, HOUR(A1133)&lt;15), "Afternoon",
    AND(HOUR(E1133)&gt;=15, HOUR(E1133)&lt;19), "Evening",
    AND(HOUR(E1133)&gt;=19, HOUR(E1133)&lt;=23), "Night"
)</f>
        <v>Morning</v>
      </c>
    </row>
    <row r="1134" spans="1:14" x14ac:dyDescent="0.25">
      <c r="A1134" s="3">
        <v>42733.405555555553</v>
      </c>
      <c r="B1134" s="2">
        <f t="shared" si="104"/>
        <v>42733</v>
      </c>
      <c r="C1134" t="str">
        <f t="shared" si="105"/>
        <v>December</v>
      </c>
      <c r="D1134" t="str">
        <f t="shared" si="106"/>
        <v>Thursday</v>
      </c>
      <c r="E1134" t="str">
        <f t="shared" si="102"/>
        <v>09:44:00 AM</v>
      </c>
      <c r="F1134" s="3">
        <v>42733.421527777777</v>
      </c>
      <c r="G1134" s="4">
        <f t="shared" si="107"/>
        <v>0.42152777777664596</v>
      </c>
      <c r="H1134" t="str">
        <f t="shared" si="103"/>
        <v>23 min</v>
      </c>
      <c r="I1134" t="s">
        <v>2</v>
      </c>
      <c r="J1134" t="s">
        <v>261</v>
      </c>
      <c r="K1134" t="s">
        <v>102</v>
      </c>
      <c r="L1134">
        <v>11.6</v>
      </c>
      <c r="M1134" t="s">
        <v>9</v>
      </c>
      <c r="N1134" t="str" cm="1">
        <f t="array" ref="N1134">_xlfn.IFS(
    AND(HOUR(A1134)&gt;=0, HOUR(A1134)&lt;10), "Morning",
    AND(HOUR(A1134)&gt;=10, HOUR(A1134)&lt;15), "Afternoon",
    AND(HOUR(E1134)&gt;=15, HOUR(E1134)&lt;19), "Evening",
    AND(HOUR(E1134)&gt;=19, HOUR(E1134)&lt;=23), "Night"
)</f>
        <v>Morning</v>
      </c>
    </row>
    <row r="1135" spans="1:14" x14ac:dyDescent="0.25">
      <c r="A1135" s="3">
        <v>42733.477777777778</v>
      </c>
      <c r="B1135" s="2">
        <f t="shared" si="104"/>
        <v>42733</v>
      </c>
      <c r="C1135" t="str">
        <f t="shared" si="105"/>
        <v>December</v>
      </c>
      <c r="D1135" t="str">
        <f t="shared" si="106"/>
        <v>Thursday</v>
      </c>
      <c r="E1135" t="str">
        <f t="shared" si="102"/>
        <v>11:28:00 AM</v>
      </c>
      <c r="F1135" s="3">
        <v>42733.5</v>
      </c>
      <c r="G1135" s="4">
        <f t="shared" si="107"/>
        <v>0.5</v>
      </c>
      <c r="H1135" t="str">
        <f t="shared" si="103"/>
        <v>32 min</v>
      </c>
      <c r="I1135" t="s">
        <v>2</v>
      </c>
      <c r="J1135" t="s">
        <v>102</v>
      </c>
      <c r="K1135" t="s">
        <v>261</v>
      </c>
      <c r="L1135">
        <v>11.9</v>
      </c>
      <c r="M1135" t="s">
        <v>9</v>
      </c>
      <c r="N1135" t="str" cm="1">
        <f t="array" ref="N1135">_xlfn.IFS(
    AND(HOUR(A1135)&gt;=0, HOUR(A1135)&lt;10), "Morning",
    AND(HOUR(A1135)&gt;=10, HOUR(A1135)&lt;15), "Afternoon",
    AND(HOUR(E1135)&gt;=15, HOUR(E1135)&lt;19), "Evening",
    AND(HOUR(E1135)&gt;=19, HOUR(E1135)&lt;=23), "Night"
)</f>
        <v>Afternoon</v>
      </c>
    </row>
    <row r="1136" spans="1:14" x14ac:dyDescent="0.25">
      <c r="A1136" s="3">
        <v>42733.517361111109</v>
      </c>
      <c r="B1136" s="2">
        <f t="shared" si="104"/>
        <v>42733</v>
      </c>
      <c r="C1136" t="str">
        <f t="shared" si="105"/>
        <v>December</v>
      </c>
      <c r="D1136" t="str">
        <f t="shared" si="106"/>
        <v>Thursday</v>
      </c>
      <c r="E1136" t="str">
        <f t="shared" si="102"/>
        <v>12:25:00 PM</v>
      </c>
      <c r="F1136" s="3">
        <v>42733.522916666669</v>
      </c>
      <c r="G1136" s="4">
        <f t="shared" si="107"/>
        <v>0.52291666666860692</v>
      </c>
      <c r="H1136" t="str">
        <f t="shared" si="103"/>
        <v>8 min</v>
      </c>
      <c r="I1136" t="s">
        <v>2</v>
      </c>
      <c r="J1136" t="s">
        <v>261</v>
      </c>
      <c r="K1136" t="s">
        <v>261</v>
      </c>
      <c r="L1136">
        <v>1.4</v>
      </c>
      <c r="M1136" t="s">
        <v>8</v>
      </c>
      <c r="N1136" t="str" cm="1">
        <f t="array" ref="N1136">_xlfn.IFS(
    AND(HOUR(A1136)&gt;=0, HOUR(A1136)&lt;10), "Morning",
    AND(HOUR(A1136)&gt;=10, HOUR(A1136)&lt;15), "Afternoon",
    AND(HOUR(E1136)&gt;=15, HOUR(E1136)&lt;19), "Evening",
    AND(HOUR(E1136)&gt;=19, HOUR(E1136)&lt;=23), "Night"
)</f>
        <v>Afternoon</v>
      </c>
    </row>
    <row r="1137" spans="1:14" x14ac:dyDescent="0.25">
      <c r="A1137" s="3">
        <v>42733.553472222222</v>
      </c>
      <c r="B1137" s="2">
        <f t="shared" si="104"/>
        <v>42733</v>
      </c>
      <c r="C1137" t="str">
        <f t="shared" si="105"/>
        <v>December</v>
      </c>
      <c r="D1137" t="str">
        <f t="shared" si="106"/>
        <v>Thursday</v>
      </c>
      <c r="E1137" t="str">
        <f t="shared" si="102"/>
        <v>01:17:00 PM</v>
      </c>
      <c r="F1137" s="3">
        <v>42733.558333333334</v>
      </c>
      <c r="G1137" s="4">
        <f t="shared" si="107"/>
        <v>0.55833333333430346</v>
      </c>
      <c r="H1137" t="str">
        <f t="shared" si="103"/>
        <v>7 min</v>
      </c>
      <c r="I1137" t="s">
        <v>2</v>
      </c>
      <c r="J1137" t="s">
        <v>261</v>
      </c>
      <c r="K1137" t="s">
        <v>261</v>
      </c>
      <c r="L1137">
        <v>1.1000000000000001</v>
      </c>
      <c r="M1137" t="s">
        <v>8</v>
      </c>
      <c r="N1137" t="str" cm="1">
        <f t="array" ref="N1137">_xlfn.IFS(
    AND(HOUR(A1137)&gt;=0, HOUR(A1137)&lt;10), "Morning",
    AND(HOUR(A1137)&gt;=10, HOUR(A1137)&lt;15), "Afternoon",
    AND(HOUR(E1137)&gt;=15, HOUR(E1137)&lt;19), "Evening",
    AND(HOUR(E1137)&gt;=19, HOUR(E1137)&lt;=23), "Night"
)</f>
        <v>Afternoon</v>
      </c>
    </row>
    <row r="1138" spans="1:14" x14ac:dyDescent="0.25">
      <c r="A1138" s="3">
        <v>42733.580555555556</v>
      </c>
      <c r="B1138" s="2">
        <f t="shared" si="104"/>
        <v>42733</v>
      </c>
      <c r="C1138" t="str">
        <f t="shared" si="105"/>
        <v>December</v>
      </c>
      <c r="D1138" t="str">
        <f t="shared" si="106"/>
        <v>Thursday</v>
      </c>
      <c r="E1138" t="str">
        <f t="shared" si="102"/>
        <v>01:56:00 PM</v>
      </c>
      <c r="F1138" s="3">
        <v>42733.59097222222</v>
      </c>
      <c r="G1138" s="4">
        <f t="shared" si="107"/>
        <v>0.59097222222044365</v>
      </c>
      <c r="H1138" t="str">
        <f t="shared" si="103"/>
        <v>15 min</v>
      </c>
      <c r="I1138" t="s">
        <v>2</v>
      </c>
      <c r="J1138" t="s">
        <v>261</v>
      </c>
      <c r="K1138" t="s">
        <v>261</v>
      </c>
      <c r="L1138">
        <v>4.0999999999999996</v>
      </c>
      <c r="M1138" t="s">
        <v>224</v>
      </c>
      <c r="N1138" t="str" cm="1">
        <f t="array" ref="N1138">_xlfn.IFS(
    AND(HOUR(A1138)&gt;=0, HOUR(A1138)&lt;10), "Morning",
    AND(HOUR(A1138)&gt;=10, HOUR(A1138)&lt;15), "Afternoon",
    AND(HOUR(E1138)&gt;=15, HOUR(E1138)&lt;19), "Evening",
    AND(HOUR(E1138)&gt;=19, HOUR(E1138)&lt;=23), "Night"
)</f>
        <v>Afternoon</v>
      </c>
    </row>
    <row r="1139" spans="1:14" x14ac:dyDescent="0.25">
      <c r="A1139" s="3">
        <v>42733.612500000003</v>
      </c>
      <c r="B1139" s="2">
        <f t="shared" si="104"/>
        <v>42733</v>
      </c>
      <c r="C1139" t="str">
        <f t="shared" si="105"/>
        <v>December</v>
      </c>
      <c r="D1139" t="str">
        <f t="shared" si="106"/>
        <v>Thursday</v>
      </c>
      <c r="E1139" t="str">
        <f t="shared" si="102"/>
        <v>02:42:00 PM</v>
      </c>
      <c r="F1139" s="3">
        <v>42733.623611111114</v>
      </c>
      <c r="G1139" s="4">
        <f t="shared" si="107"/>
        <v>0.62361111111385981</v>
      </c>
      <c r="H1139" t="str">
        <f t="shared" si="103"/>
        <v>16 min</v>
      </c>
      <c r="I1139" t="s">
        <v>2</v>
      </c>
      <c r="J1139" t="s">
        <v>261</v>
      </c>
      <c r="K1139" t="s">
        <v>261</v>
      </c>
      <c r="L1139">
        <v>6.1</v>
      </c>
      <c r="M1139" t="s">
        <v>6</v>
      </c>
      <c r="N1139" t="str" cm="1">
        <f t="array" ref="N1139">_xlfn.IFS(
    AND(HOUR(A1139)&gt;=0, HOUR(A1139)&lt;10), "Morning",
    AND(HOUR(A1139)&gt;=10, HOUR(A1139)&lt;15), "Afternoon",
    AND(HOUR(E1139)&gt;=15, HOUR(E1139)&lt;19), "Evening",
    AND(HOUR(E1139)&gt;=19, HOUR(E1139)&lt;=23), "Night"
)</f>
        <v>Afternoon</v>
      </c>
    </row>
    <row r="1140" spans="1:14" x14ac:dyDescent="0.25">
      <c r="A1140" s="3">
        <v>42733.628472222219</v>
      </c>
      <c r="B1140" s="2">
        <f t="shared" si="104"/>
        <v>42733</v>
      </c>
      <c r="C1140" t="str">
        <f t="shared" si="105"/>
        <v>December</v>
      </c>
      <c r="D1140" t="str">
        <f t="shared" si="106"/>
        <v>Thursday</v>
      </c>
      <c r="E1140" t="str">
        <f t="shared" si="102"/>
        <v>03:05:00 PM</v>
      </c>
      <c r="F1140" s="3">
        <v>42733.636111111111</v>
      </c>
      <c r="G1140" s="4">
        <f t="shared" si="107"/>
        <v>0.63611111111094942</v>
      </c>
      <c r="H1140" t="str">
        <f t="shared" si="103"/>
        <v>11 min</v>
      </c>
      <c r="I1140" t="s">
        <v>2</v>
      </c>
      <c r="J1140" t="s">
        <v>261</v>
      </c>
      <c r="K1140" t="s">
        <v>261</v>
      </c>
      <c r="L1140">
        <v>1.3</v>
      </c>
      <c r="M1140" t="s">
        <v>8</v>
      </c>
      <c r="N1140" t="str" cm="1">
        <f t="array" ref="N1140">_xlfn.IFS(
    AND(HOUR(A1140)&gt;=0, HOUR(A1140)&lt;10), "Morning",
    AND(HOUR(A1140)&gt;=10, HOUR(A1140)&lt;15), "Afternoon",
    AND(HOUR(E1140)&gt;=15, HOUR(E1140)&lt;19), "Evening",
    AND(HOUR(E1140)&gt;=19, HOUR(E1140)&lt;=23), "Night"
)</f>
        <v>Evening</v>
      </c>
    </row>
    <row r="1141" spans="1:14" x14ac:dyDescent="0.25">
      <c r="A1141" s="3">
        <v>42733.790972222225</v>
      </c>
      <c r="B1141" s="2">
        <f t="shared" si="104"/>
        <v>42733</v>
      </c>
      <c r="C1141" t="str">
        <f t="shared" si="105"/>
        <v>December</v>
      </c>
      <c r="D1141" t="str">
        <f t="shared" si="106"/>
        <v>Thursday</v>
      </c>
      <c r="E1141" t="str">
        <f t="shared" si="102"/>
        <v>06:59:00 PM</v>
      </c>
      <c r="F1141" s="3">
        <v>42733.801388888889</v>
      </c>
      <c r="G1141" s="4">
        <f t="shared" si="107"/>
        <v>0.80138888888905058</v>
      </c>
      <c r="H1141" t="str">
        <f t="shared" si="103"/>
        <v>15 min</v>
      </c>
      <c r="I1141" t="s">
        <v>2</v>
      </c>
      <c r="J1141" t="s">
        <v>261</v>
      </c>
      <c r="K1141" t="s">
        <v>102</v>
      </c>
      <c r="L1141">
        <v>3</v>
      </c>
      <c r="M1141" t="s">
        <v>9</v>
      </c>
      <c r="N1141" t="str" cm="1">
        <f t="array" ref="N1141">_xlfn.IFS(
    AND(HOUR(A1141)&gt;=0, HOUR(A1141)&lt;10), "Morning",
    AND(HOUR(A1141)&gt;=10, HOUR(A1141)&lt;15), "Afternoon",
    AND(HOUR(E1141)&gt;=15, HOUR(E1141)&lt;19), "Evening",
    AND(HOUR(E1141)&gt;=19, HOUR(E1141)&lt;=23), "Night"
)</f>
        <v>Evening</v>
      </c>
    </row>
    <row r="1142" spans="1:14" x14ac:dyDescent="0.25">
      <c r="A1142" s="3">
        <v>42733.826388888891</v>
      </c>
      <c r="B1142" s="2">
        <f t="shared" si="104"/>
        <v>42733</v>
      </c>
      <c r="C1142" t="str">
        <f t="shared" si="105"/>
        <v>December</v>
      </c>
      <c r="D1142" t="str">
        <f t="shared" si="106"/>
        <v>Thursday</v>
      </c>
      <c r="E1142" t="str">
        <f t="shared" si="102"/>
        <v>07:50:00 PM</v>
      </c>
      <c r="F1142" s="3">
        <v>42733.840277777781</v>
      </c>
      <c r="G1142" s="4">
        <f t="shared" si="107"/>
        <v>0.84027777778101154</v>
      </c>
      <c r="H1142" t="str">
        <f t="shared" si="103"/>
        <v>20 min</v>
      </c>
      <c r="I1142" t="s">
        <v>2</v>
      </c>
      <c r="J1142" t="s">
        <v>102</v>
      </c>
      <c r="K1142" t="s">
        <v>261</v>
      </c>
      <c r="L1142">
        <v>4.0999999999999996</v>
      </c>
      <c r="M1142" t="s">
        <v>7</v>
      </c>
      <c r="N1142" t="str" cm="1">
        <f t="array" ref="N1142">_xlfn.IFS(
    AND(HOUR(A1142)&gt;=0, HOUR(A1142)&lt;10), "Morning",
    AND(HOUR(A1142)&gt;=10, HOUR(A1142)&lt;15), "Afternoon",
    AND(HOUR(E1142)&gt;=15, HOUR(E1142)&lt;19), "Evening",
    AND(HOUR(E1142)&gt;=19, HOUR(E1142)&lt;=23), "Night"
)</f>
        <v>Night</v>
      </c>
    </row>
    <row r="1143" spans="1:14" x14ac:dyDescent="0.25">
      <c r="A1143" s="3">
        <v>42733.84375</v>
      </c>
      <c r="B1143" s="2">
        <f t="shared" si="104"/>
        <v>42733</v>
      </c>
      <c r="C1143" t="str">
        <f t="shared" si="105"/>
        <v>December</v>
      </c>
      <c r="D1143" t="str">
        <f t="shared" si="106"/>
        <v>Thursday</v>
      </c>
      <c r="E1143" t="str">
        <f t="shared" si="102"/>
        <v>08:15:00 PM</v>
      </c>
      <c r="F1143" s="3">
        <v>42733.864583333336</v>
      </c>
      <c r="G1143" s="4">
        <f t="shared" si="107"/>
        <v>0.86458333333575865</v>
      </c>
      <c r="H1143" t="str">
        <f t="shared" si="103"/>
        <v>30 min</v>
      </c>
      <c r="I1143" t="s">
        <v>2</v>
      </c>
      <c r="J1143" t="s">
        <v>261</v>
      </c>
      <c r="K1143" t="s">
        <v>261</v>
      </c>
      <c r="L1143">
        <v>7.2</v>
      </c>
      <c r="M1143" t="s">
        <v>10</v>
      </c>
      <c r="N1143" t="str" cm="1">
        <f t="array" ref="N1143">_xlfn.IFS(
    AND(HOUR(A1143)&gt;=0, HOUR(A1143)&lt;10), "Morning",
    AND(HOUR(A1143)&gt;=10, HOUR(A1143)&lt;15), "Afternoon",
    AND(HOUR(E1143)&gt;=15, HOUR(E1143)&lt;19), "Evening",
    AND(HOUR(E1143)&gt;=19, HOUR(E1143)&lt;=23), "Night"
)</f>
        <v>Night</v>
      </c>
    </row>
    <row r="1144" spans="1:14" x14ac:dyDescent="0.25">
      <c r="A1144" s="3">
        <v>42733.870138888888</v>
      </c>
      <c r="B1144" s="2">
        <f t="shared" si="104"/>
        <v>42733</v>
      </c>
      <c r="C1144" t="str">
        <f t="shared" si="105"/>
        <v>December</v>
      </c>
      <c r="D1144" t="str">
        <f t="shared" si="106"/>
        <v>Thursday</v>
      </c>
      <c r="E1144" t="str">
        <f t="shared" si="102"/>
        <v>08:53:00 PM</v>
      </c>
      <c r="F1144" s="3">
        <v>42733.904166666667</v>
      </c>
      <c r="G1144" s="4">
        <f t="shared" si="107"/>
        <v>0.90416666666715173</v>
      </c>
      <c r="H1144" t="str">
        <f t="shared" si="103"/>
        <v>49 min</v>
      </c>
      <c r="I1144" t="s">
        <v>2</v>
      </c>
      <c r="J1144" t="s">
        <v>261</v>
      </c>
      <c r="K1144" t="s">
        <v>102</v>
      </c>
      <c r="L1144">
        <v>6.4</v>
      </c>
      <c r="M1144" t="s">
        <v>52</v>
      </c>
      <c r="N1144" t="str" cm="1">
        <f t="array" ref="N1144">_xlfn.IFS(
    AND(HOUR(A1144)&gt;=0, HOUR(A1144)&lt;10), "Morning",
    AND(HOUR(A1144)&gt;=10, HOUR(A1144)&lt;15), "Afternoon",
    AND(HOUR(E1144)&gt;=15, HOUR(E1144)&lt;19), "Evening",
    AND(HOUR(E1144)&gt;=19, HOUR(E1144)&lt;=23), "Night"
)</f>
        <v>Night</v>
      </c>
    </row>
    <row r="1145" spans="1:14" x14ac:dyDescent="0.25">
      <c r="A1145" s="3">
        <v>42733.968055555553</v>
      </c>
      <c r="B1145" s="2">
        <f t="shared" si="104"/>
        <v>42733</v>
      </c>
      <c r="C1145" t="str">
        <f t="shared" si="105"/>
        <v>December</v>
      </c>
      <c r="D1145" t="str">
        <f t="shared" si="106"/>
        <v>Thursday</v>
      </c>
      <c r="E1145" t="str">
        <f t="shared" si="102"/>
        <v>11:14:00 PM</v>
      </c>
      <c r="F1145" s="3">
        <v>42733.990972222222</v>
      </c>
      <c r="G1145" s="4">
        <f t="shared" si="107"/>
        <v>0.99097222222189885</v>
      </c>
      <c r="H1145" t="str">
        <f t="shared" si="103"/>
        <v>33 min</v>
      </c>
      <c r="I1145" t="s">
        <v>2</v>
      </c>
      <c r="J1145" t="s">
        <v>102</v>
      </c>
      <c r="K1145" t="s">
        <v>261</v>
      </c>
      <c r="L1145">
        <v>12.9</v>
      </c>
      <c r="M1145" t="s">
        <v>52</v>
      </c>
      <c r="N1145" t="str" cm="1">
        <f t="array" ref="N1145">_xlfn.IFS(
    AND(HOUR(A1145)&gt;=0, HOUR(A1145)&lt;10), "Morning",
    AND(HOUR(A1145)&gt;=10, HOUR(A1145)&lt;15), "Afternoon",
    AND(HOUR(E1145)&gt;=15, HOUR(E1145)&lt;19), "Evening",
    AND(HOUR(E1145)&gt;=19, HOUR(E1145)&lt;=23), "Night"
)</f>
        <v>Night</v>
      </c>
    </row>
    <row r="1146" spans="1:14" x14ac:dyDescent="0.25">
      <c r="A1146" s="3">
        <v>42734.427083333336</v>
      </c>
      <c r="B1146" s="2">
        <f t="shared" si="104"/>
        <v>42734</v>
      </c>
      <c r="C1146" t="str">
        <f t="shared" si="105"/>
        <v>December</v>
      </c>
      <c r="D1146" t="str">
        <f t="shared" si="106"/>
        <v>Friday</v>
      </c>
      <c r="E1146" t="str">
        <f t="shared" si="102"/>
        <v>10:15:00 AM</v>
      </c>
      <c r="F1146" s="3">
        <v>42734.439583333333</v>
      </c>
      <c r="G1146" s="4">
        <f t="shared" si="107"/>
        <v>0.43958333333284827</v>
      </c>
      <c r="H1146" t="str">
        <f t="shared" si="103"/>
        <v>18 min</v>
      </c>
      <c r="I1146" t="s">
        <v>2</v>
      </c>
      <c r="J1146" t="s">
        <v>261</v>
      </c>
      <c r="K1146" t="s">
        <v>261</v>
      </c>
      <c r="L1146">
        <v>2.8</v>
      </c>
      <c r="M1146" t="s">
        <v>8</v>
      </c>
      <c r="N1146" t="str" cm="1">
        <f t="array" ref="N1146">_xlfn.IFS(
    AND(HOUR(A1146)&gt;=0, HOUR(A1146)&lt;10), "Morning",
    AND(HOUR(A1146)&gt;=10, HOUR(A1146)&lt;15), "Afternoon",
    AND(HOUR(E1146)&gt;=15, HOUR(E1146)&lt;19), "Evening",
    AND(HOUR(E1146)&gt;=19, HOUR(E1146)&lt;=23), "Night"
)</f>
        <v>Afternoon</v>
      </c>
    </row>
    <row r="1147" spans="1:14" x14ac:dyDescent="0.25">
      <c r="A1147" s="3">
        <v>42734.479861111111</v>
      </c>
      <c r="B1147" s="2">
        <f t="shared" si="104"/>
        <v>42734</v>
      </c>
      <c r="C1147" t="str">
        <f t="shared" si="105"/>
        <v>December</v>
      </c>
      <c r="D1147" t="str">
        <f t="shared" si="106"/>
        <v>Friday</v>
      </c>
      <c r="E1147" t="str">
        <f t="shared" si="102"/>
        <v>11:31:00 AM</v>
      </c>
      <c r="F1147" s="3">
        <v>42734.49722222222</v>
      </c>
      <c r="G1147" s="4">
        <f t="shared" si="107"/>
        <v>0.49722222222044365</v>
      </c>
      <c r="H1147" t="str">
        <f t="shared" si="103"/>
        <v>25 min</v>
      </c>
      <c r="I1147" t="s">
        <v>2</v>
      </c>
      <c r="J1147" t="s">
        <v>261</v>
      </c>
      <c r="K1147" t="s">
        <v>261</v>
      </c>
      <c r="L1147">
        <v>2.9</v>
      </c>
      <c r="M1147" t="s">
        <v>8</v>
      </c>
      <c r="N1147" t="str" cm="1">
        <f t="array" ref="N1147">_xlfn.IFS(
    AND(HOUR(A1147)&gt;=0, HOUR(A1147)&lt;10), "Morning",
    AND(HOUR(A1147)&gt;=10, HOUR(A1147)&lt;15), "Afternoon",
    AND(HOUR(E1147)&gt;=15, HOUR(E1147)&lt;19), "Evening",
    AND(HOUR(E1147)&gt;=19, HOUR(E1147)&lt;=23), "Night"
)</f>
        <v>Afternoon</v>
      </c>
    </row>
    <row r="1148" spans="1:14" x14ac:dyDescent="0.25">
      <c r="A1148" s="3">
        <v>42734.65347222222</v>
      </c>
      <c r="B1148" s="2">
        <f t="shared" si="104"/>
        <v>42734</v>
      </c>
      <c r="C1148" t="str">
        <f t="shared" si="105"/>
        <v>December</v>
      </c>
      <c r="D1148" t="str">
        <f t="shared" si="106"/>
        <v>Friday</v>
      </c>
      <c r="E1148" t="str">
        <f t="shared" si="102"/>
        <v>03:41:00 PM</v>
      </c>
      <c r="F1148" s="3">
        <v>42734.668749999997</v>
      </c>
      <c r="G1148" s="4">
        <f t="shared" si="107"/>
        <v>0.66874999999708962</v>
      </c>
      <c r="H1148" t="str">
        <f t="shared" si="103"/>
        <v>22 min</v>
      </c>
      <c r="I1148" t="s">
        <v>2</v>
      </c>
      <c r="J1148" t="s">
        <v>261</v>
      </c>
      <c r="K1148" t="s">
        <v>261</v>
      </c>
      <c r="L1148">
        <v>4.5999999999999996</v>
      </c>
      <c r="M1148" t="s">
        <v>8</v>
      </c>
      <c r="N1148" t="str" cm="1">
        <f t="array" ref="N1148">_xlfn.IFS(
    AND(HOUR(A1148)&gt;=0, HOUR(A1148)&lt;10), "Morning",
    AND(HOUR(A1148)&gt;=10, HOUR(A1148)&lt;15), "Afternoon",
    AND(HOUR(E1148)&gt;=15, HOUR(E1148)&lt;19), "Evening",
    AND(HOUR(E1148)&gt;=19, HOUR(E1148)&lt;=23), "Night"
)</f>
        <v>Evening</v>
      </c>
    </row>
    <row r="1149" spans="1:14" x14ac:dyDescent="0.25">
      <c r="A1149" s="3">
        <v>42734.697916666664</v>
      </c>
      <c r="B1149" s="2">
        <f t="shared" si="104"/>
        <v>42734</v>
      </c>
      <c r="C1149" t="str">
        <f t="shared" si="105"/>
        <v>December</v>
      </c>
      <c r="D1149" t="str">
        <f t="shared" si="106"/>
        <v>Friday</v>
      </c>
      <c r="E1149" t="str">
        <f t="shared" si="102"/>
        <v>04:45:00 PM</v>
      </c>
      <c r="F1149" s="3">
        <v>42734.713888888888</v>
      </c>
      <c r="G1149" s="4">
        <f t="shared" si="107"/>
        <v>0.71388888888759539</v>
      </c>
      <c r="H1149" t="str">
        <f t="shared" si="103"/>
        <v>23 min</v>
      </c>
      <c r="I1149" t="s">
        <v>2</v>
      </c>
      <c r="J1149" t="s">
        <v>261</v>
      </c>
      <c r="K1149" t="s">
        <v>261</v>
      </c>
      <c r="L1149">
        <v>4.5999999999999996</v>
      </c>
      <c r="M1149" t="s">
        <v>10</v>
      </c>
      <c r="N1149" t="str" cm="1">
        <f t="array" ref="N1149">_xlfn.IFS(
    AND(HOUR(A1149)&gt;=0, HOUR(A1149)&lt;10), "Morning",
    AND(HOUR(A1149)&gt;=10, HOUR(A1149)&lt;15), "Afternoon",
    AND(HOUR(E1149)&gt;=15, HOUR(E1149)&lt;19), "Evening",
    AND(HOUR(E1149)&gt;=19, HOUR(E1149)&lt;=23), "Night"
)</f>
        <v>Evening</v>
      </c>
    </row>
    <row r="1150" spans="1:14" x14ac:dyDescent="0.25">
      <c r="A1150" s="3">
        <v>42734.962500000001</v>
      </c>
      <c r="B1150" s="2">
        <f t="shared" si="104"/>
        <v>42734</v>
      </c>
      <c r="C1150" t="str">
        <f t="shared" si="105"/>
        <v>December</v>
      </c>
      <c r="D1150" t="str">
        <f t="shared" si="106"/>
        <v>Friday</v>
      </c>
      <c r="E1150" t="str">
        <f t="shared" si="102"/>
        <v>11:06:00 PM</v>
      </c>
      <c r="F1150" s="3">
        <v>42734.965277777781</v>
      </c>
      <c r="G1150" s="4">
        <f t="shared" si="107"/>
        <v>0.96527777778101154</v>
      </c>
      <c r="H1150" t="str">
        <f t="shared" si="103"/>
        <v>4 min</v>
      </c>
      <c r="I1150" t="s">
        <v>2</v>
      </c>
      <c r="J1150" t="s">
        <v>261</v>
      </c>
      <c r="K1150" t="s">
        <v>261</v>
      </c>
      <c r="L1150">
        <v>0.8</v>
      </c>
      <c r="M1150" t="s">
        <v>7</v>
      </c>
      <c r="N1150" t="str" cm="1">
        <f t="array" ref="N1150">_xlfn.IFS(
    AND(HOUR(A1150)&gt;=0, HOUR(A1150)&lt;10), "Morning",
    AND(HOUR(A1150)&gt;=10, HOUR(A1150)&lt;15), "Afternoon",
    AND(HOUR(E1150)&gt;=15, HOUR(E1150)&lt;19), "Evening",
    AND(HOUR(E1150)&gt;=19, HOUR(E1150)&lt;=23), "Night"
)</f>
        <v>Night</v>
      </c>
    </row>
    <row r="1151" spans="1:14" x14ac:dyDescent="0.25">
      <c r="A1151" s="3">
        <v>42735.046527777777</v>
      </c>
      <c r="B1151" s="2">
        <f t="shared" si="104"/>
        <v>42735</v>
      </c>
      <c r="C1151" t="str">
        <f t="shared" si="105"/>
        <v>December</v>
      </c>
      <c r="D1151" t="str">
        <f t="shared" si="106"/>
        <v>Saturday</v>
      </c>
      <c r="E1151" t="str">
        <f t="shared" si="102"/>
        <v>01:07:00 AM</v>
      </c>
      <c r="F1151" s="3">
        <v>42735.051388888889</v>
      </c>
      <c r="G1151" s="4">
        <f t="shared" si="107"/>
        <v>5.1388888889050577E-2</v>
      </c>
      <c r="H1151" t="str">
        <f t="shared" si="103"/>
        <v>7 min</v>
      </c>
      <c r="I1151" t="s">
        <v>2</v>
      </c>
      <c r="J1151" t="s">
        <v>261</v>
      </c>
      <c r="K1151" t="s">
        <v>261</v>
      </c>
      <c r="L1151">
        <v>0.7</v>
      </c>
      <c r="M1151" t="s">
        <v>10</v>
      </c>
      <c r="N1151" t="str" cm="1">
        <f t="array" ref="N1151">_xlfn.IFS(
    AND(HOUR(A1151)&gt;=0, HOUR(A1151)&lt;10), "Morning",
    AND(HOUR(A1151)&gt;=10, HOUR(A1151)&lt;15), "Afternoon",
    AND(HOUR(E1151)&gt;=15, HOUR(E1151)&lt;19), "Evening",
    AND(HOUR(E1151)&gt;=19, HOUR(E1151)&lt;=23), "Night"
)</f>
        <v>Morning</v>
      </c>
    </row>
    <row r="1152" spans="1:14" x14ac:dyDescent="0.25">
      <c r="A1152" s="3">
        <v>42735.558333333334</v>
      </c>
      <c r="B1152" s="2">
        <f t="shared" si="104"/>
        <v>42735</v>
      </c>
      <c r="C1152" t="str">
        <f t="shared" si="105"/>
        <v>December</v>
      </c>
      <c r="D1152" t="str">
        <f t="shared" si="106"/>
        <v>Saturday</v>
      </c>
      <c r="E1152" t="str">
        <f t="shared" si="102"/>
        <v>01:24:00 PM</v>
      </c>
      <c r="F1152" s="3">
        <v>42735.570833333331</v>
      </c>
      <c r="G1152" s="4">
        <f t="shared" si="107"/>
        <v>0.57083333333139308</v>
      </c>
      <c r="H1152" t="str">
        <f t="shared" si="103"/>
        <v>18 min</v>
      </c>
      <c r="I1152" t="s">
        <v>2</v>
      </c>
      <c r="J1152" t="s">
        <v>261</v>
      </c>
      <c r="K1152" t="s">
        <v>102</v>
      </c>
      <c r="L1152">
        <v>3.9</v>
      </c>
      <c r="M1152" t="s">
        <v>11</v>
      </c>
      <c r="N1152" t="str" cm="1">
        <f t="array" ref="N1152">_xlfn.IFS(
    AND(HOUR(A1152)&gt;=0, HOUR(A1152)&lt;10), "Morning",
    AND(HOUR(A1152)&gt;=10, HOUR(A1152)&lt;15), "Afternoon",
    AND(HOUR(E1152)&gt;=15, HOUR(E1152)&lt;19), "Evening",
    AND(HOUR(E1152)&gt;=19, HOUR(E1152)&lt;=23), "Night"
)</f>
        <v>Afternoon</v>
      </c>
    </row>
    <row r="1153" spans="1:14" x14ac:dyDescent="0.25">
      <c r="A1153" s="3">
        <v>42735.627083333333</v>
      </c>
      <c r="B1153" s="2">
        <f t="shared" si="104"/>
        <v>42735</v>
      </c>
      <c r="C1153" t="str">
        <f t="shared" si="105"/>
        <v>December</v>
      </c>
      <c r="D1153" t="str">
        <f t="shared" si="106"/>
        <v>Saturday</v>
      </c>
      <c r="E1153" t="str">
        <f t="shared" si="102"/>
        <v>03:03:00 PM</v>
      </c>
      <c r="F1153" s="3">
        <v>42735.651388888888</v>
      </c>
      <c r="G1153" s="4">
        <f t="shared" si="107"/>
        <v>0.65138888888759539</v>
      </c>
      <c r="H1153" t="str">
        <f t="shared" si="103"/>
        <v>35 min</v>
      </c>
      <c r="I1153" t="s">
        <v>2</v>
      </c>
      <c r="J1153" t="s">
        <v>102</v>
      </c>
      <c r="K1153" t="s">
        <v>102</v>
      </c>
      <c r="L1153">
        <v>16.2</v>
      </c>
      <c r="M1153" t="s">
        <v>10</v>
      </c>
      <c r="N1153" t="str" cm="1">
        <f t="array" ref="N1153">_xlfn.IFS(
    AND(HOUR(A1153)&gt;=0, HOUR(A1153)&lt;10), "Morning",
    AND(HOUR(A1153)&gt;=10, HOUR(A1153)&lt;15), "Afternoon",
    AND(HOUR(E1153)&gt;=15, HOUR(E1153)&lt;19), "Evening",
    AND(HOUR(E1153)&gt;=19, HOUR(E1153)&lt;=23), "Night"
)</f>
        <v>Evening</v>
      </c>
    </row>
    <row r="1154" spans="1:14" x14ac:dyDescent="0.25">
      <c r="A1154" s="3">
        <v>42735.897222222222</v>
      </c>
      <c r="B1154" s="2">
        <f t="shared" si="104"/>
        <v>42735</v>
      </c>
      <c r="C1154" t="str">
        <f t="shared" si="105"/>
        <v>December</v>
      </c>
      <c r="D1154" t="str">
        <f t="shared" si="106"/>
        <v>Saturday</v>
      </c>
      <c r="E1154" t="str">
        <f t="shared" si="102"/>
        <v>09:32:00 PM</v>
      </c>
      <c r="F1154" s="3">
        <v>42735.909722222219</v>
      </c>
      <c r="G1154" s="4">
        <f t="shared" si="107"/>
        <v>0.90972222221898846</v>
      </c>
      <c r="H1154" t="str">
        <f t="shared" ref="H1154:H1217" si="108">HOUR(IF(G1154&lt;E1154, G1154+1-E1154, G1154-E1154))*60 + MINUTE(IF(G1154&lt;E1154, G1154+1-E1154, G1154-E1154)) &amp; " min"</f>
        <v>18 min</v>
      </c>
      <c r="I1154" t="s">
        <v>2</v>
      </c>
      <c r="J1154" t="s">
        <v>262</v>
      </c>
      <c r="K1154" t="s">
        <v>263</v>
      </c>
      <c r="L1154">
        <v>6.4</v>
      </c>
      <c r="M1154" t="s">
        <v>11</v>
      </c>
      <c r="N1154" t="str" cm="1">
        <f t="array" ref="N1154">_xlfn.IFS(
    AND(HOUR(A1154)&gt;=0, HOUR(A1154)&lt;10), "Morning",
    AND(HOUR(A1154)&gt;=10, HOUR(A1154)&lt;15), "Afternoon",
    AND(HOUR(E1154)&gt;=15, HOUR(E1154)&lt;19), "Evening",
    AND(HOUR(E1154)&gt;=19, HOUR(E1154)&lt;=23), "Night"
)</f>
        <v>Night</v>
      </c>
    </row>
    <row r="1155" spans="1:14" x14ac:dyDescent="0.25">
      <c r="A1155" s="3">
        <v>42735.922222222223</v>
      </c>
      <c r="B1155" s="2">
        <f t="shared" ref="B1155" si="109">INT(A1155)</f>
        <v>42735</v>
      </c>
      <c r="C1155" t="str">
        <f t="shared" ref="C1155" si="110">TEXT(B1155, "mmmm")</f>
        <v>December</v>
      </c>
      <c r="D1155" t="str">
        <f t="shared" ref="D1155" si="111">TEXT(B1155, "dddd")</f>
        <v>Saturday</v>
      </c>
      <c r="E1155" t="str">
        <f t="shared" si="102"/>
        <v>10:08:00 PM</v>
      </c>
      <c r="F1155" s="3">
        <v>42735.993750000001</v>
      </c>
      <c r="G1155" s="4">
        <f t="shared" ref="G1155" si="112">F1155-INT(F1155)</f>
        <v>0.99375000000145519</v>
      </c>
      <c r="H1155" t="str">
        <f t="shared" si="108"/>
        <v>103 min</v>
      </c>
      <c r="I1155" t="s">
        <v>2</v>
      </c>
      <c r="J1155" t="s">
        <v>263</v>
      </c>
      <c r="K1155" t="s">
        <v>264</v>
      </c>
      <c r="L1155">
        <v>48.2</v>
      </c>
      <c r="M1155" t="s">
        <v>11</v>
      </c>
      <c r="N1155" t="str" cm="1">
        <f t="array" ref="N1155">_xlfn.IFS(
    AND(HOUR(A1155)&gt;=0, HOUR(A1155)&lt;10), "Morning",
    AND(HOUR(A1155)&gt;=10, HOUR(A1155)&lt;15), "Afternoon",
    AND(HOUR(E1155)&gt;=15, HOUR(E1155)&lt;19), "Evening",
    AND(HOUR(E1155)&gt;=19, HOUR(E1155)&lt;=23), "Night"
)</f>
        <v>Night</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Deshboard</vt:lpstr>
      <vt:lpstr>Pivot Tables</vt:lpstr>
      <vt:lpstr>in</vt:lpstr>
      <vt:lpstr>table2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cp:keywords/>
  <dc:description/>
  <cp:lastModifiedBy>chetan kumar</cp:lastModifiedBy>
  <cp:revision/>
  <dcterms:created xsi:type="dcterms:W3CDTF">2024-11-24T18:50:31Z</dcterms:created>
  <dcterms:modified xsi:type="dcterms:W3CDTF">2025-11-16T09:21:13Z</dcterms:modified>
  <cp:category/>
  <cp:contentStatus/>
</cp:coreProperties>
</file>